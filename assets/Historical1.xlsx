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l123\Documents\SMT 5\Manrisk\"/>
    </mc:Choice>
  </mc:AlternateContent>
  <xr:revisionPtr revIDLastSave="0" documentId="13_ncr:1_{858E32FF-A58A-482D-AB01-E85B2C931F1F}" xr6:coauthVersionLast="47" xr6:coauthVersionMax="47" xr10:uidLastSave="{00000000-0000-0000-0000-000000000000}"/>
  <bookViews>
    <workbookView xWindow="-108" yWindow="-108" windowWidth="23256" windowHeight="12456" xr2:uid="{020DB7C8-A26B-4ADE-88AC-44F8203E2EC7}"/>
  </bookViews>
  <sheets>
    <sheet name="Sheet1" sheetId="1" r:id="rId1"/>
  </sheets>
  <definedNames>
    <definedName name="_xlchart.v1.0" hidden="1">Sheet1!$H$3:$H$96</definedName>
    <definedName name="_xlchart.v1.1" hidden="1">Sheet1!$H$3:$H$96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" l="1"/>
  <c r="M38" i="1" s="1"/>
  <c r="L9" i="1"/>
  <c r="L8" i="1"/>
  <c r="L7" i="1"/>
  <c r="L6" i="1"/>
  <c r="L4" i="1"/>
  <c r="L3" i="1"/>
  <c r="L5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M39" i="1" l="1"/>
  <c r="M37" i="1"/>
</calcChain>
</file>

<file path=xl/sharedStrings.xml><?xml version="1.0" encoding="utf-8"?>
<sst xmlns="http://schemas.openxmlformats.org/spreadsheetml/2006/main" count="272" uniqueCount="256">
  <si>
    <t>Date</t>
  </si>
  <si>
    <t>Price</t>
  </si>
  <si>
    <t>Open</t>
  </si>
  <si>
    <t>High</t>
  </si>
  <si>
    <t>Low</t>
  </si>
  <si>
    <t>Vol.</t>
  </si>
  <si>
    <t>Change %</t>
  </si>
  <si>
    <t>6.74M</t>
  </si>
  <si>
    <t>-1.53%</t>
  </si>
  <si>
    <t>4.34M</t>
  </si>
  <si>
    <t>-1.24%</t>
  </si>
  <si>
    <t>11.76M</t>
  </si>
  <si>
    <t>-4.09%</t>
  </si>
  <si>
    <t>10.59M</t>
  </si>
  <si>
    <t>-2.62%</t>
  </si>
  <si>
    <t>6.22M</t>
  </si>
  <si>
    <t>0.34%</t>
  </si>
  <si>
    <t>01/13/2025</t>
  </si>
  <si>
    <t>6.33M</t>
  </si>
  <si>
    <t>-2.01%</t>
  </si>
  <si>
    <t>01/14/2025</t>
  </si>
  <si>
    <t>17.58M</t>
  </si>
  <si>
    <t>-4.79%</t>
  </si>
  <si>
    <t>01/15/2025</t>
  </si>
  <si>
    <t>16.66M</t>
  </si>
  <si>
    <t>3.60%</t>
  </si>
  <si>
    <t>01/16/2025</t>
  </si>
  <si>
    <t>8.77M</t>
  </si>
  <si>
    <t>-1.04%</t>
  </si>
  <si>
    <t>01/17/2025</t>
  </si>
  <si>
    <t>5.65M</t>
  </si>
  <si>
    <t>0.00%</t>
  </si>
  <si>
    <t>01/20/2025</t>
  </si>
  <si>
    <t>11.31M</t>
  </si>
  <si>
    <t>3.16%</t>
  </si>
  <si>
    <t>01/21/2025</t>
  </si>
  <si>
    <t>9.36M</t>
  </si>
  <si>
    <t>2.38%</t>
  </si>
  <si>
    <t>01/22/2025</t>
  </si>
  <si>
    <t>7.51M</t>
  </si>
  <si>
    <t>-1.99%</t>
  </si>
  <si>
    <t>01/23/2025</t>
  </si>
  <si>
    <t>8.70M</t>
  </si>
  <si>
    <t>1.36%</t>
  </si>
  <si>
    <t>01/24/2025</t>
  </si>
  <si>
    <t>5.48M</t>
  </si>
  <si>
    <t>-1.67%</t>
  </si>
  <si>
    <t>01/30/2025</t>
  </si>
  <si>
    <t>9.61M</t>
  </si>
  <si>
    <t>-3.40%</t>
  </si>
  <si>
    <t>01/31/2025</t>
  </si>
  <si>
    <t>9.24M</t>
  </si>
  <si>
    <t>-1.06%</t>
  </si>
  <si>
    <t>12.30M</t>
  </si>
  <si>
    <t>-1.78%</t>
  </si>
  <si>
    <t>12.12M</t>
  </si>
  <si>
    <t>4.35%</t>
  </si>
  <si>
    <t>6.61M</t>
  </si>
  <si>
    <t>11.65M</t>
  </si>
  <si>
    <t>-3.82%</t>
  </si>
  <si>
    <t>9.25M</t>
  </si>
  <si>
    <t>-2.53%</t>
  </si>
  <si>
    <t>8.64M</t>
  </si>
  <si>
    <t>-1.85%</t>
  </si>
  <si>
    <t>10.12M</t>
  </si>
  <si>
    <t>-2.26%</t>
  </si>
  <si>
    <t>13.19M</t>
  </si>
  <si>
    <t>-1.54%</t>
  </si>
  <si>
    <t>02/13/2025</t>
  </si>
  <si>
    <t>16.56M</t>
  </si>
  <si>
    <t>3.92%</t>
  </si>
  <si>
    <t>02/14/2025</t>
  </si>
  <si>
    <t>13.26M</t>
  </si>
  <si>
    <t>5.28%</t>
  </si>
  <si>
    <t>02/17/2025</t>
  </si>
  <si>
    <t>11.25M</t>
  </si>
  <si>
    <t>02/18/2025</t>
  </si>
  <si>
    <t>7.86M</t>
  </si>
  <si>
    <t>0.36%</t>
  </si>
  <si>
    <t>02/19/2025</t>
  </si>
  <si>
    <t>10.83M</t>
  </si>
  <si>
    <t>1.07%</t>
  </si>
  <si>
    <t>02/20/2025</t>
  </si>
  <si>
    <t>12.19M</t>
  </si>
  <si>
    <t>-1.77%</t>
  </si>
  <si>
    <t>02/21/2025</t>
  </si>
  <si>
    <t>6.25M</t>
  </si>
  <si>
    <t>02/24/2025</t>
  </si>
  <si>
    <t>-0.36%</t>
  </si>
  <si>
    <t>02/25/2025</t>
  </si>
  <si>
    <t>10.10M</t>
  </si>
  <si>
    <t>02/26/2025</t>
  </si>
  <si>
    <t>10.52M</t>
  </si>
  <si>
    <t>-3.94%</t>
  </si>
  <si>
    <t>02/27/2025</t>
  </si>
  <si>
    <t>6.05M</t>
  </si>
  <si>
    <t>-3.36%</t>
  </si>
  <si>
    <t>02/28/2025</t>
  </si>
  <si>
    <t>21.24M</t>
  </si>
  <si>
    <t>-10.04%</t>
  </si>
  <si>
    <t>18.67M</t>
  </si>
  <si>
    <t>0.43%</t>
  </si>
  <si>
    <t>29.97M</t>
  </si>
  <si>
    <t>-5.56%</t>
  </si>
  <si>
    <t>34.63M</t>
  </si>
  <si>
    <t>2.71%</t>
  </si>
  <si>
    <t>28.69M</t>
  </si>
  <si>
    <t>2.64%</t>
  </si>
  <si>
    <t>13.48M</t>
  </si>
  <si>
    <t>1.29%</t>
  </si>
  <si>
    <t>18.44M</t>
  </si>
  <si>
    <t>3.39%</t>
  </si>
  <si>
    <t>11.71M</t>
  </si>
  <si>
    <t>-4.51%</t>
  </si>
  <si>
    <t>10.72M</t>
  </si>
  <si>
    <t>03/13/2025</t>
  </si>
  <si>
    <t>9.21M</t>
  </si>
  <si>
    <t>-0.43%</t>
  </si>
  <si>
    <t>03/14/2025</t>
  </si>
  <si>
    <t>8.49M</t>
  </si>
  <si>
    <t>-3.00%</t>
  </si>
  <si>
    <t>03/17/2025</t>
  </si>
  <si>
    <t>9.28M</t>
  </si>
  <si>
    <t>03/18/2025</t>
  </si>
  <si>
    <t>17.98M</t>
  </si>
  <si>
    <t>-2.21%</t>
  </si>
  <si>
    <t>03/19/2025</t>
  </si>
  <si>
    <t>9.17M</t>
  </si>
  <si>
    <t>0.90%</t>
  </si>
  <si>
    <t>03/20/2025</t>
  </si>
  <si>
    <t>6.10M</t>
  </si>
  <si>
    <t>03/21/2025</t>
  </si>
  <si>
    <t>13.89M</t>
  </si>
  <si>
    <t>-5.78%</t>
  </si>
  <si>
    <t>03/24/2025</t>
  </si>
  <si>
    <t>9.54M</t>
  </si>
  <si>
    <t>4.72%</t>
  </si>
  <si>
    <t>03/25/2025</t>
  </si>
  <si>
    <t>21.36M</t>
  </si>
  <si>
    <t>13.06%</t>
  </si>
  <si>
    <t>03/26/2025</t>
  </si>
  <si>
    <t>27.62M</t>
  </si>
  <si>
    <t>9.56%</t>
  </si>
  <si>
    <t>03/27/2025</t>
  </si>
  <si>
    <t>13.08M</t>
  </si>
  <si>
    <t>-3.64%</t>
  </si>
  <si>
    <t>10.51M</t>
  </si>
  <si>
    <t>-14.72%</t>
  </si>
  <si>
    <t>20.08M</t>
  </si>
  <si>
    <t>-7.52%</t>
  </si>
  <si>
    <t>21.44M</t>
  </si>
  <si>
    <t>3.35%</t>
  </si>
  <si>
    <t>11.55M</t>
  </si>
  <si>
    <t>-0.93%</t>
  </si>
  <si>
    <t>04/14/2025</t>
  </si>
  <si>
    <t>34.75M</t>
  </si>
  <si>
    <t>14.95%</t>
  </si>
  <si>
    <t>04/15/2025</t>
  </si>
  <si>
    <t>25.65M</t>
  </si>
  <si>
    <t>1.63%</t>
  </si>
  <si>
    <t>04/16/2025</t>
  </si>
  <si>
    <t>10.41M</t>
  </si>
  <si>
    <t>-2.00%</t>
  </si>
  <si>
    <t>04/17/2025</t>
  </si>
  <si>
    <t>13.46M</t>
  </si>
  <si>
    <t>04/21/2025</t>
  </si>
  <si>
    <t>10.66M</t>
  </si>
  <si>
    <t>-3.27%</t>
  </si>
  <si>
    <t>04/22/2025</t>
  </si>
  <si>
    <t>14.14M</t>
  </si>
  <si>
    <t>7.17%</t>
  </si>
  <si>
    <t>04/23/2025</t>
  </si>
  <si>
    <t>10.68M</t>
  </si>
  <si>
    <t>0.39%</t>
  </si>
  <si>
    <t>04/24/2025</t>
  </si>
  <si>
    <t>18.72M</t>
  </si>
  <si>
    <t>-0.78%</t>
  </si>
  <si>
    <t>04/25/2025</t>
  </si>
  <si>
    <t>7.63M</t>
  </si>
  <si>
    <t>2.77%</t>
  </si>
  <si>
    <t>04/28/2025</t>
  </si>
  <si>
    <t>6.54M</t>
  </si>
  <si>
    <t>-1.15%</t>
  </si>
  <si>
    <t>04/29/2025</t>
  </si>
  <si>
    <t>13.81M</t>
  </si>
  <si>
    <t>-0.39%</t>
  </si>
  <si>
    <t>04/30/2025</t>
  </si>
  <si>
    <t>33.30M</t>
  </si>
  <si>
    <t>1.95%</t>
  </si>
  <si>
    <t>20.07M</t>
  </si>
  <si>
    <t>-2.68%</t>
  </si>
  <si>
    <t>18.57M</t>
  </si>
  <si>
    <t>16.65M</t>
  </si>
  <si>
    <t>19.22M</t>
  </si>
  <si>
    <t>-1.57%</t>
  </si>
  <si>
    <t>31.03M</t>
  </si>
  <si>
    <t>-0.80%</t>
  </si>
  <si>
    <t>13.86M</t>
  </si>
  <si>
    <t>-3.21%</t>
  </si>
  <si>
    <t>05/14/2025</t>
  </si>
  <si>
    <t>13.72M</t>
  </si>
  <si>
    <t>4.56%</t>
  </si>
  <si>
    <t>05/15/2025</t>
  </si>
  <si>
    <t>12.54M</t>
  </si>
  <si>
    <t>05/16/2025</t>
  </si>
  <si>
    <t>15.86M</t>
  </si>
  <si>
    <t>1.98%</t>
  </si>
  <si>
    <t>05/19/2025</t>
  </si>
  <si>
    <t>30.77M</t>
  </si>
  <si>
    <t>5.45%</t>
  </si>
  <si>
    <t>05/20/2025</t>
  </si>
  <si>
    <t>30.87M</t>
  </si>
  <si>
    <t>-6.64%</t>
  </si>
  <si>
    <t>05/21/2025</t>
  </si>
  <si>
    <t>34.23M</t>
  </si>
  <si>
    <t>1.58%</t>
  </si>
  <si>
    <t>05/22/2025</t>
  </si>
  <si>
    <t>26.41M</t>
  </si>
  <si>
    <t>3.89%</t>
  </si>
  <si>
    <t>05/23/2025</t>
  </si>
  <si>
    <t>34.52M</t>
  </si>
  <si>
    <t>1.87%</t>
  </si>
  <si>
    <t>05/26/2025</t>
  </si>
  <si>
    <t>31.63M</t>
  </si>
  <si>
    <t>5.15%</t>
  </si>
  <si>
    <t>05/27/2025</t>
  </si>
  <si>
    <t>25.00M</t>
  </si>
  <si>
    <t>-0.70%</t>
  </si>
  <si>
    <t>05/28/2025</t>
  </si>
  <si>
    <t>19.66M</t>
  </si>
  <si>
    <t>14.10M</t>
  </si>
  <si>
    <t>11.09M</t>
  </si>
  <si>
    <t>2.54%</t>
  </si>
  <si>
    <t>12.33M</t>
  </si>
  <si>
    <t>-1.41%</t>
  </si>
  <si>
    <t>12.44M</t>
  </si>
  <si>
    <t>-1.79%</t>
  </si>
  <si>
    <t>25.34M</t>
  </si>
  <si>
    <t>4.74%</t>
  </si>
  <si>
    <t>10.22M</t>
  </si>
  <si>
    <t>-1.39%</t>
  </si>
  <si>
    <t>Statistika Deskriptif</t>
  </si>
  <si>
    <t>Mean</t>
  </si>
  <si>
    <t>Varians</t>
  </si>
  <si>
    <t>Std Dev.</t>
  </si>
  <si>
    <t>Min</t>
  </si>
  <si>
    <t>Max</t>
  </si>
  <si>
    <t>Skewness</t>
  </si>
  <si>
    <t>Kurtosis</t>
  </si>
  <si>
    <t>Historical Value at Risk</t>
  </si>
  <si>
    <t>Alfa</t>
  </si>
  <si>
    <t>Nilai</t>
  </si>
  <si>
    <t>Asumsi Investasi (V0):</t>
  </si>
  <si>
    <t>Kerugian Investasi &amp; Jangka Waktu (hp)</t>
  </si>
  <si>
    <t>hp</t>
  </si>
  <si>
    <t>Log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</si>
</sst>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0.000"/>
    <numFmt numFmtId="165" formatCode="0.0000000"/>
    <numFmt numFmtId="167" formatCode="_(&quot;Rp&quot;* #,##0.00_);_(&quot;Rp&quot;* \(#,##0.00\);_(&quot;Rp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9" fontId="0" fillId="0" borderId="1" xfId="0" applyNumberFormat="1" applyBorder="1"/>
    <xf numFmtId="42" fontId="0" fillId="0" borderId="1" xfId="1" applyFont="1" applyBorder="1"/>
    <xf numFmtId="167" fontId="0" fillId="3" borderId="1" xfId="0" applyNumberFormat="1" applyFill="1" applyBorder="1"/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9" fontId="0" fillId="0" borderId="0" xfId="0" applyNumberFormat="1" applyBorder="1"/>
    <xf numFmtId="0" fontId="0" fillId="0" borderId="0" xfId="0" applyBorder="1"/>
    <xf numFmtId="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167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3">
    <dxf>
      <numFmt numFmtId="0" formatCode="General"/>
    </dxf>
    <dxf>
      <numFmt numFmtId="164" formatCode="0.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7C1821F-833E-4B66-8DB4-4CD64BB00DA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9</xdr:row>
      <xdr:rowOff>179070</xdr:rowOff>
    </xdr:from>
    <xdr:to>
      <xdr:col>17</xdr:col>
      <xdr:colOff>236220</xdr:colOff>
      <xdr:row>24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282355-5DEC-B4DB-3B48-93581A9504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7920" y="1824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7D4AD-5E60-409C-833D-E5AE61F5F7B6}" name="Table2" displayName="Table2" ref="A1:H96" totalsRowShown="0">
  <autoFilter ref="A1:H96" xr:uid="{B8A7D4AD-5E60-409C-833D-E5AE61F5F7B6}"/>
  <tableColumns count="8">
    <tableColumn id="1" xr3:uid="{9C7AB876-C0A4-4399-859C-F9596E0A412E}" name="Date" dataDxfId="2"/>
    <tableColumn id="2" xr3:uid="{2D4A5661-0E6F-4768-A474-A336E533B1E3}" name="Price" dataDxfId="1"/>
    <tableColumn id="3" xr3:uid="{5DD08997-1046-44E0-83D7-3ACF2ECFA2CC}" name="Open"/>
    <tableColumn id="4" xr3:uid="{99AD956E-B991-4ED0-9FF9-2159D74DADB9}" name="High"/>
    <tableColumn id="5" xr3:uid="{93011C9B-AF75-4F0F-87FC-59EF9B91940A}" name="Low"/>
    <tableColumn id="6" xr3:uid="{F7091A14-2CC8-4F2F-AF5A-0FA30BC584A3}" name="Vol."/>
    <tableColumn id="7" xr3:uid="{A6E6D4A3-8292-415C-8DDD-E5D3092A47D0}" name="Change %"/>
    <tableColumn id="8" xr3:uid="{482A8797-62B8-4323-8541-64D64E2C14B1}" name="Log Return" dataDxfId="0">
      <calculatedColumnFormula>LN(Table2[[#This Row],[Price]]/B1)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4AEC-FD5C-42DD-88A5-0742C822BD4C}">
  <dimension ref="A1:M96"/>
  <sheetViews>
    <sheetView tabSelected="1" topLeftCell="D17" zoomScale="77" workbookViewId="0">
      <selection activeCell="N32" sqref="N32"/>
    </sheetView>
  </sheetViews>
  <sheetFormatPr defaultRowHeight="14.4" x14ac:dyDescent="0.3"/>
  <cols>
    <col min="1" max="1" width="10.5546875" bestFit="1" customWidth="1"/>
    <col min="8" max="8" width="12.6640625" bestFit="1" customWidth="1"/>
    <col min="11" max="11" width="18.6640625" bestFit="1" customWidth="1"/>
    <col min="12" max="12" width="12.6640625" bestFit="1" customWidth="1"/>
    <col min="13" max="13" width="13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</row>
    <row r="2" spans="1:12" x14ac:dyDescent="0.3">
      <c r="A2" s="1">
        <v>45809</v>
      </c>
      <c r="B2" s="2">
        <v>3.22</v>
      </c>
      <c r="C2">
        <v>3.28</v>
      </c>
      <c r="D2">
        <v>3.29</v>
      </c>
      <c r="E2">
        <v>3.22</v>
      </c>
      <c r="F2" t="s">
        <v>7</v>
      </c>
      <c r="G2" t="s">
        <v>8</v>
      </c>
      <c r="H2" t="e">
        <f>LN(Table2[[#This Row],[Price]]/B1)</f>
        <v>#VALUE!</v>
      </c>
      <c r="K2" s="3" t="s">
        <v>241</v>
      </c>
      <c r="L2" s="3"/>
    </row>
    <row r="3" spans="1:12" x14ac:dyDescent="0.3">
      <c r="A3" s="1">
        <v>45839</v>
      </c>
      <c r="B3" s="2">
        <v>3.18</v>
      </c>
      <c r="C3">
        <v>3.23</v>
      </c>
      <c r="D3">
        <v>3.25</v>
      </c>
      <c r="E3">
        <v>3.18</v>
      </c>
      <c r="F3" t="s">
        <v>9</v>
      </c>
      <c r="G3" t="s">
        <v>10</v>
      </c>
      <c r="H3">
        <f>LN(Table2[[#This Row],[Price]]/B2)</f>
        <v>-1.2500162764231494E-2</v>
      </c>
      <c r="K3" s="4" t="s">
        <v>242</v>
      </c>
      <c r="L3" s="5">
        <f>AVERAGE(H3:H96)</f>
        <v>-1.3734537010762894E-3</v>
      </c>
    </row>
    <row r="4" spans="1:12" x14ac:dyDescent="0.3">
      <c r="A4" s="1">
        <v>45870</v>
      </c>
      <c r="B4" s="2">
        <v>3.05</v>
      </c>
      <c r="C4">
        <v>3.19</v>
      </c>
      <c r="D4">
        <v>3.21</v>
      </c>
      <c r="E4">
        <v>3.04</v>
      </c>
      <c r="F4" t="s">
        <v>11</v>
      </c>
      <c r="G4" t="s">
        <v>12</v>
      </c>
      <c r="H4">
        <f>LN(Table2[[#This Row],[Price]]/B3)</f>
        <v>-4.1739606172765314E-2</v>
      </c>
      <c r="K4" s="4" t="s">
        <v>243</v>
      </c>
      <c r="L4" s="5">
        <f>_xlfn.VAR.P(H3:H96)</f>
        <v>1.6497172904184844E-3</v>
      </c>
    </row>
    <row r="5" spans="1:12" x14ac:dyDescent="0.3">
      <c r="A5" s="1">
        <v>45901</v>
      </c>
      <c r="B5" s="2">
        <v>2.97</v>
      </c>
      <c r="C5">
        <v>3.05</v>
      </c>
      <c r="D5">
        <v>3.09</v>
      </c>
      <c r="E5">
        <v>2.97</v>
      </c>
      <c r="F5" t="s">
        <v>13</v>
      </c>
      <c r="G5" t="s">
        <v>14</v>
      </c>
      <c r="H5">
        <f>LN(Table2[[#This Row],[Price]]/B4)</f>
        <v>-2.6579637804711898E-2</v>
      </c>
      <c r="K5" s="4" t="s">
        <v>244</v>
      </c>
      <c r="L5" s="5">
        <f>SQRT(L4)</f>
        <v>4.0616711959715356E-2</v>
      </c>
    </row>
    <row r="6" spans="1:12" x14ac:dyDescent="0.3">
      <c r="A6" s="1">
        <v>45931</v>
      </c>
      <c r="B6" s="2">
        <v>2.98</v>
      </c>
      <c r="C6">
        <v>2.97</v>
      </c>
      <c r="D6">
        <v>3.06</v>
      </c>
      <c r="E6">
        <v>2.97</v>
      </c>
      <c r="F6" t="s">
        <v>15</v>
      </c>
      <c r="G6" t="s">
        <v>16</v>
      </c>
      <c r="H6">
        <f>LN(Table2[[#This Row],[Price]]/B5)</f>
        <v>3.3613477027047063E-3</v>
      </c>
      <c r="K6" s="4" t="s">
        <v>245</v>
      </c>
      <c r="L6" s="5">
        <f>MIN(H3:H96)</f>
        <v>-0.15919482671393642</v>
      </c>
    </row>
    <row r="7" spans="1:12" x14ac:dyDescent="0.3">
      <c r="A7" t="s">
        <v>17</v>
      </c>
      <c r="B7" s="2">
        <v>2.92</v>
      </c>
      <c r="C7">
        <v>2.98</v>
      </c>
      <c r="D7">
        <v>2.99</v>
      </c>
      <c r="E7">
        <v>2.9</v>
      </c>
      <c r="F7" t="s">
        <v>18</v>
      </c>
      <c r="G7" t="s">
        <v>19</v>
      </c>
      <c r="H7">
        <f>LN(Table2[[#This Row],[Price]]/B6)</f>
        <v>-2.0339684237122672E-2</v>
      </c>
      <c r="K7" s="4" t="s">
        <v>246</v>
      </c>
      <c r="L7" s="5">
        <f>MAX(H3:H96)</f>
        <v>0.13935552091051134</v>
      </c>
    </row>
    <row r="8" spans="1:12" x14ac:dyDescent="0.3">
      <c r="A8" t="s">
        <v>20</v>
      </c>
      <c r="B8" s="2">
        <v>2.78</v>
      </c>
      <c r="C8">
        <v>2.92</v>
      </c>
      <c r="D8">
        <v>2.97</v>
      </c>
      <c r="E8">
        <v>2.73</v>
      </c>
      <c r="F8" t="s">
        <v>21</v>
      </c>
      <c r="G8" t="s">
        <v>22</v>
      </c>
      <c r="H8">
        <f>LN(Table2[[#This Row],[Price]]/B7)</f>
        <v>-4.9132688577644766E-2</v>
      </c>
      <c r="K8" s="4" t="s">
        <v>247</v>
      </c>
      <c r="L8" s="5">
        <f>_xlfn.SKEW.P(H3:H96)</f>
        <v>3.5394588565854673E-2</v>
      </c>
    </row>
    <row r="9" spans="1:12" x14ac:dyDescent="0.3">
      <c r="A9" t="s">
        <v>23</v>
      </c>
      <c r="B9" s="2">
        <v>2.88</v>
      </c>
      <c r="C9">
        <v>2.79</v>
      </c>
      <c r="D9">
        <v>2.91</v>
      </c>
      <c r="E9">
        <v>2.79</v>
      </c>
      <c r="F9" t="s">
        <v>24</v>
      </c>
      <c r="G9" t="s">
        <v>25</v>
      </c>
      <c r="H9">
        <f>LN(Table2[[#This Row],[Price]]/B8)</f>
        <v>3.5339366445308863E-2</v>
      </c>
      <c r="K9" s="4" t="s">
        <v>248</v>
      </c>
      <c r="L9" s="5">
        <f>KURT(H3:H96)</f>
        <v>3.6089364272855735</v>
      </c>
    </row>
    <row r="10" spans="1:12" x14ac:dyDescent="0.3">
      <c r="A10" t="s">
        <v>26</v>
      </c>
      <c r="B10" s="2">
        <v>2.85</v>
      </c>
      <c r="C10">
        <v>2.9</v>
      </c>
      <c r="D10">
        <v>2.94</v>
      </c>
      <c r="E10">
        <v>2.85</v>
      </c>
      <c r="F10" t="s">
        <v>27</v>
      </c>
      <c r="G10" t="s">
        <v>28</v>
      </c>
      <c r="H10">
        <f>LN(Table2[[#This Row],[Price]]/B9)</f>
        <v>-1.0471299867295366E-2</v>
      </c>
    </row>
    <row r="11" spans="1:12" x14ac:dyDescent="0.3">
      <c r="A11" t="s">
        <v>29</v>
      </c>
      <c r="B11" s="2">
        <v>2.85</v>
      </c>
      <c r="C11">
        <v>2.86</v>
      </c>
      <c r="D11">
        <v>2.91</v>
      </c>
      <c r="E11">
        <v>2.82</v>
      </c>
      <c r="F11" t="s">
        <v>30</v>
      </c>
      <c r="G11" t="s">
        <v>31</v>
      </c>
      <c r="H11">
        <f>LN(Table2[[#This Row],[Price]]/B10)</f>
        <v>0</v>
      </c>
    </row>
    <row r="12" spans="1:12" x14ac:dyDescent="0.3">
      <c r="A12" t="s">
        <v>32</v>
      </c>
      <c r="B12" s="2">
        <v>2.94</v>
      </c>
      <c r="C12">
        <v>2.85</v>
      </c>
      <c r="D12">
        <v>2.99</v>
      </c>
      <c r="E12">
        <v>2.85</v>
      </c>
      <c r="F12" t="s">
        <v>33</v>
      </c>
      <c r="G12" t="s">
        <v>34</v>
      </c>
      <c r="H12">
        <f>LN(Table2[[#This Row],[Price]]/B11)</f>
        <v>3.1090587070030967E-2</v>
      </c>
    </row>
    <row r="13" spans="1:12" x14ac:dyDescent="0.3">
      <c r="A13" t="s">
        <v>35</v>
      </c>
      <c r="B13" s="2">
        <v>3.01</v>
      </c>
      <c r="C13">
        <v>2.96</v>
      </c>
      <c r="D13">
        <v>3.03</v>
      </c>
      <c r="E13">
        <v>2.95</v>
      </c>
      <c r="F13" t="s">
        <v>36</v>
      </c>
      <c r="G13" t="s">
        <v>37</v>
      </c>
      <c r="H13">
        <f>LN(Table2[[#This Row],[Price]]/B12)</f>
        <v>2.3530497410194036E-2</v>
      </c>
    </row>
    <row r="14" spans="1:12" x14ac:dyDescent="0.3">
      <c r="A14" t="s">
        <v>38</v>
      </c>
      <c r="B14" s="2">
        <v>2.95</v>
      </c>
      <c r="C14">
        <v>3.04</v>
      </c>
      <c r="D14">
        <v>3.06</v>
      </c>
      <c r="E14">
        <v>2.94</v>
      </c>
      <c r="F14" t="s">
        <v>39</v>
      </c>
      <c r="G14" t="s">
        <v>40</v>
      </c>
      <c r="H14">
        <f>LN(Table2[[#This Row],[Price]]/B13)</f>
        <v>-2.013490840905581E-2</v>
      </c>
    </row>
    <row r="15" spans="1:12" x14ac:dyDescent="0.3">
      <c r="A15" t="s">
        <v>41</v>
      </c>
      <c r="B15" s="2">
        <v>2.99</v>
      </c>
      <c r="C15">
        <v>2.97</v>
      </c>
      <c r="D15">
        <v>3.1</v>
      </c>
      <c r="E15">
        <v>2.97</v>
      </c>
      <c r="F15" t="s">
        <v>42</v>
      </c>
      <c r="G15" t="s">
        <v>43</v>
      </c>
      <c r="H15">
        <f>LN(Table2[[#This Row],[Price]]/B14)</f>
        <v>1.3468217050866611E-2</v>
      </c>
    </row>
    <row r="16" spans="1:12" x14ac:dyDescent="0.3">
      <c r="A16" t="s">
        <v>44</v>
      </c>
      <c r="B16" s="2">
        <v>2.94</v>
      </c>
      <c r="C16">
        <v>2.99</v>
      </c>
      <c r="D16">
        <v>3.02</v>
      </c>
      <c r="E16">
        <v>2.93</v>
      </c>
      <c r="F16" t="s">
        <v>45</v>
      </c>
      <c r="G16" t="s">
        <v>46</v>
      </c>
      <c r="H16">
        <f>LN(Table2[[#This Row],[Price]]/B15)</f>
        <v>-1.6863806052004916E-2</v>
      </c>
    </row>
    <row r="17" spans="1:12" x14ac:dyDescent="0.3">
      <c r="A17" t="s">
        <v>47</v>
      </c>
      <c r="B17" s="2">
        <v>2.84</v>
      </c>
      <c r="C17">
        <v>2.93</v>
      </c>
      <c r="D17">
        <v>2.94</v>
      </c>
      <c r="E17">
        <v>2.81</v>
      </c>
      <c r="F17" t="s">
        <v>48</v>
      </c>
      <c r="G17" t="s">
        <v>49</v>
      </c>
      <c r="H17">
        <f>LN(Table2[[#This Row],[Price]]/B16)</f>
        <v>-3.4605529177475607E-2</v>
      </c>
    </row>
    <row r="18" spans="1:12" x14ac:dyDescent="0.3">
      <c r="A18" t="s">
        <v>50</v>
      </c>
      <c r="B18" s="2">
        <v>2.81</v>
      </c>
      <c r="C18">
        <v>2.85</v>
      </c>
      <c r="D18">
        <v>2.92</v>
      </c>
      <c r="E18">
        <v>2.81</v>
      </c>
      <c r="F18" t="s">
        <v>51</v>
      </c>
      <c r="G18" t="s">
        <v>52</v>
      </c>
      <c r="H18">
        <f>LN(Table2[[#This Row],[Price]]/B17)</f>
        <v>-1.0619568827460261E-2</v>
      </c>
    </row>
    <row r="19" spans="1:12" x14ac:dyDescent="0.3">
      <c r="A19" s="1">
        <v>45718</v>
      </c>
      <c r="B19" s="2">
        <v>2.76</v>
      </c>
      <c r="C19">
        <v>2.81</v>
      </c>
      <c r="D19">
        <v>2.81</v>
      </c>
      <c r="E19">
        <v>2.71</v>
      </c>
      <c r="F19" t="s">
        <v>53</v>
      </c>
      <c r="G19" t="s">
        <v>54</v>
      </c>
      <c r="H19">
        <f>LN(Table2[[#This Row],[Price]]/B18)</f>
        <v>-1.795380361659582E-2</v>
      </c>
    </row>
    <row r="20" spans="1:12" x14ac:dyDescent="0.3">
      <c r="A20" s="1">
        <v>45749</v>
      </c>
      <c r="B20" s="2">
        <v>2.88</v>
      </c>
      <c r="C20">
        <v>2.79</v>
      </c>
      <c r="D20">
        <v>2.88</v>
      </c>
      <c r="E20">
        <v>2.72</v>
      </c>
      <c r="F20" t="s">
        <v>55</v>
      </c>
      <c r="G20" t="s">
        <v>56</v>
      </c>
      <c r="H20">
        <f>LN(Table2[[#This Row],[Price]]/B19)</f>
        <v>4.2559614418795903E-2</v>
      </c>
    </row>
    <row r="21" spans="1:12" x14ac:dyDescent="0.3">
      <c r="A21" s="1">
        <v>45779</v>
      </c>
      <c r="B21" s="2">
        <v>2.88</v>
      </c>
      <c r="C21">
        <v>2.85</v>
      </c>
      <c r="D21">
        <v>2.93</v>
      </c>
      <c r="E21">
        <v>2.84</v>
      </c>
      <c r="F21" t="s">
        <v>57</v>
      </c>
      <c r="G21" t="s">
        <v>31</v>
      </c>
      <c r="H21">
        <f>LN(Table2[[#This Row],[Price]]/B20)</f>
        <v>0</v>
      </c>
    </row>
    <row r="22" spans="1:12" x14ac:dyDescent="0.3">
      <c r="A22" s="1">
        <v>45810</v>
      </c>
      <c r="B22" s="2">
        <v>2.77</v>
      </c>
      <c r="C22">
        <v>2.88</v>
      </c>
      <c r="D22">
        <v>2.89</v>
      </c>
      <c r="E22">
        <v>2.74</v>
      </c>
      <c r="F22" t="s">
        <v>58</v>
      </c>
      <c r="G22" t="s">
        <v>59</v>
      </c>
      <c r="H22">
        <f>LN(Table2[[#This Row],[Price]]/B21)</f>
        <v>-3.8942973948607407E-2</v>
      </c>
    </row>
    <row r="23" spans="1:12" x14ac:dyDescent="0.3">
      <c r="A23" s="1">
        <v>45840</v>
      </c>
      <c r="B23" s="2">
        <v>2.7</v>
      </c>
      <c r="C23">
        <v>2.77</v>
      </c>
      <c r="D23">
        <v>2.77</v>
      </c>
      <c r="E23">
        <v>2.66</v>
      </c>
      <c r="F23" t="s">
        <v>60</v>
      </c>
      <c r="G23" t="s">
        <v>61</v>
      </c>
      <c r="H23">
        <f>LN(Table2[[#This Row],[Price]]/B22)</f>
        <v>-2.5595547188963653E-2</v>
      </c>
    </row>
    <row r="24" spans="1:12" x14ac:dyDescent="0.3">
      <c r="A24" s="1">
        <v>45932</v>
      </c>
      <c r="B24" s="2">
        <v>2.65</v>
      </c>
      <c r="C24">
        <v>2.71</v>
      </c>
      <c r="D24">
        <v>2.73</v>
      </c>
      <c r="E24">
        <v>2.61</v>
      </c>
      <c r="F24" t="s">
        <v>62</v>
      </c>
      <c r="G24" t="s">
        <v>63</v>
      </c>
      <c r="H24">
        <f>LN(Table2[[#This Row],[Price]]/B23)</f>
        <v>-1.8692133012152633E-2</v>
      </c>
    </row>
    <row r="25" spans="1:12" x14ac:dyDescent="0.3">
      <c r="A25" s="1">
        <v>45963</v>
      </c>
      <c r="B25" s="2">
        <v>2.59</v>
      </c>
      <c r="C25">
        <v>2.65</v>
      </c>
      <c r="D25">
        <v>2.65</v>
      </c>
      <c r="E25">
        <v>2.57</v>
      </c>
      <c r="F25" t="s">
        <v>64</v>
      </c>
      <c r="G25" t="s">
        <v>65</v>
      </c>
      <c r="H25">
        <f>LN(Table2[[#This Row],[Price]]/B24)</f>
        <v>-2.2901764286684455E-2</v>
      </c>
    </row>
    <row r="26" spans="1:12" x14ac:dyDescent="0.3">
      <c r="A26" s="1">
        <v>45993</v>
      </c>
      <c r="B26" s="2">
        <v>2.5499999999999998</v>
      </c>
      <c r="C26">
        <v>2.59</v>
      </c>
      <c r="D26">
        <v>2.63</v>
      </c>
      <c r="E26">
        <v>2.52</v>
      </c>
      <c r="F26" t="s">
        <v>66</v>
      </c>
      <c r="G26" t="s">
        <v>67</v>
      </c>
      <c r="H26">
        <f>LN(Table2[[#This Row],[Price]]/B25)</f>
        <v>-1.5564516541111573E-2</v>
      </c>
    </row>
    <row r="27" spans="1:12" x14ac:dyDescent="0.3">
      <c r="A27" t="s">
        <v>68</v>
      </c>
      <c r="B27" s="2">
        <v>2.65</v>
      </c>
      <c r="C27">
        <v>2.5499999999999998</v>
      </c>
      <c r="D27">
        <v>2.76</v>
      </c>
      <c r="E27">
        <v>2.48</v>
      </c>
      <c r="F27" t="s">
        <v>69</v>
      </c>
      <c r="G27" t="s">
        <v>70</v>
      </c>
      <c r="H27">
        <f>LN(Table2[[#This Row],[Price]]/B26)</f>
        <v>3.8466280827796143E-2</v>
      </c>
      <c r="K27" s="6" t="s">
        <v>249</v>
      </c>
      <c r="L27" s="6"/>
    </row>
    <row r="28" spans="1:12" x14ac:dyDescent="0.3">
      <c r="A28" t="s">
        <v>71</v>
      </c>
      <c r="B28" s="2">
        <v>2.79</v>
      </c>
      <c r="C28">
        <v>2.65</v>
      </c>
      <c r="D28">
        <v>2.79</v>
      </c>
      <c r="E28">
        <v>2.62</v>
      </c>
      <c r="F28" t="s">
        <v>72</v>
      </c>
      <c r="G28" t="s">
        <v>73</v>
      </c>
      <c r="H28">
        <f>LN(Table2[[#This Row],[Price]]/B27)</f>
        <v>5.1481955835143409E-2</v>
      </c>
      <c r="K28" s="7" t="s">
        <v>250</v>
      </c>
      <c r="L28" s="7" t="s">
        <v>251</v>
      </c>
    </row>
    <row r="29" spans="1:12" x14ac:dyDescent="0.3">
      <c r="A29" t="s">
        <v>74</v>
      </c>
      <c r="B29" s="2">
        <v>2.79</v>
      </c>
      <c r="C29">
        <v>2.79</v>
      </c>
      <c r="D29">
        <v>2.83</v>
      </c>
      <c r="E29">
        <v>2.72</v>
      </c>
      <c r="F29" t="s">
        <v>75</v>
      </c>
      <c r="G29" t="s">
        <v>31</v>
      </c>
      <c r="H29">
        <f>LN(Table2[[#This Row],[Price]]/B28)</f>
        <v>0</v>
      </c>
      <c r="K29" s="8">
        <v>0.05</v>
      </c>
      <c r="L29" s="4">
        <f>_xlfn.PERCENTILE.EXC(H3:H96,K29)</f>
        <v>-6.1817928687350893E-2</v>
      </c>
    </row>
    <row r="30" spans="1:12" x14ac:dyDescent="0.3">
      <c r="A30" t="s">
        <v>76</v>
      </c>
      <c r="B30" s="2">
        <v>2.8</v>
      </c>
      <c r="C30">
        <v>2.8</v>
      </c>
      <c r="D30">
        <v>2.85</v>
      </c>
      <c r="E30">
        <v>2.78</v>
      </c>
      <c r="F30" t="s">
        <v>77</v>
      </c>
      <c r="G30" t="s">
        <v>78</v>
      </c>
      <c r="H30">
        <f>LN(Table2[[#This Row],[Price]]/B29)</f>
        <v>3.5778213478839024E-3</v>
      </c>
    </row>
    <row r="31" spans="1:12" x14ac:dyDescent="0.3">
      <c r="A31" t="s">
        <v>79</v>
      </c>
      <c r="B31" s="2">
        <v>2.83</v>
      </c>
      <c r="C31">
        <v>2.8</v>
      </c>
      <c r="D31">
        <v>2.9</v>
      </c>
      <c r="E31">
        <v>2.75</v>
      </c>
      <c r="F31" t="s">
        <v>80</v>
      </c>
      <c r="G31" t="s">
        <v>81</v>
      </c>
      <c r="H31">
        <f>LN(Table2[[#This Row],[Price]]/B30)</f>
        <v>1.0657294473988199E-2</v>
      </c>
      <c r="K31" s="14"/>
      <c r="L31" s="15"/>
    </row>
    <row r="32" spans="1:12" x14ac:dyDescent="0.3">
      <c r="A32" t="s">
        <v>82</v>
      </c>
      <c r="B32" s="2">
        <v>2.78</v>
      </c>
      <c r="C32">
        <v>2.83</v>
      </c>
      <c r="D32">
        <v>2.85</v>
      </c>
      <c r="E32">
        <v>2.7</v>
      </c>
      <c r="F32" t="s">
        <v>83</v>
      </c>
      <c r="G32" t="s">
        <v>84</v>
      </c>
      <c r="H32">
        <f>LN(Table2[[#This Row],[Price]]/B31)</f>
        <v>-1.7825783952600687E-2</v>
      </c>
    </row>
    <row r="33" spans="1:13" x14ac:dyDescent="0.3">
      <c r="A33" t="s">
        <v>85</v>
      </c>
      <c r="B33" s="2">
        <v>2.79</v>
      </c>
      <c r="C33">
        <v>2.76</v>
      </c>
      <c r="D33">
        <v>2.86</v>
      </c>
      <c r="E33">
        <v>2.72</v>
      </c>
      <c r="F33" t="s">
        <v>86</v>
      </c>
      <c r="G33" t="s">
        <v>78</v>
      </c>
      <c r="H33">
        <f>LN(Table2[[#This Row],[Price]]/B32)</f>
        <v>3.59066813072854E-3</v>
      </c>
      <c r="K33" s="4" t="s">
        <v>252</v>
      </c>
      <c r="L33" s="9">
        <v>1000000</v>
      </c>
    </row>
    <row r="34" spans="1:13" x14ac:dyDescent="0.3">
      <c r="A34" t="s">
        <v>87</v>
      </c>
      <c r="B34" s="2">
        <v>2.78</v>
      </c>
      <c r="C34">
        <v>2.76</v>
      </c>
      <c r="D34">
        <v>2.86</v>
      </c>
      <c r="E34">
        <v>2.71</v>
      </c>
      <c r="F34" t="s">
        <v>39</v>
      </c>
      <c r="G34" t="s">
        <v>88</v>
      </c>
      <c r="H34">
        <f>LN(Table2[[#This Row],[Price]]/B33)</f>
        <v>-3.5906681307285959E-3</v>
      </c>
    </row>
    <row r="35" spans="1:13" x14ac:dyDescent="0.3">
      <c r="A35" t="s">
        <v>89</v>
      </c>
      <c r="B35" s="2">
        <v>2.79</v>
      </c>
      <c r="C35">
        <v>2.8</v>
      </c>
      <c r="D35">
        <v>2.82</v>
      </c>
      <c r="E35">
        <v>2.73</v>
      </c>
      <c r="F35" t="s">
        <v>90</v>
      </c>
      <c r="G35" t="s">
        <v>78</v>
      </c>
      <c r="H35">
        <f>LN(Table2[[#This Row],[Price]]/B34)</f>
        <v>3.59066813072854E-3</v>
      </c>
      <c r="K35" s="6" t="s">
        <v>253</v>
      </c>
      <c r="L35" s="6"/>
      <c r="M35" s="6"/>
    </row>
    <row r="36" spans="1:13" x14ac:dyDescent="0.3">
      <c r="A36" t="s">
        <v>91</v>
      </c>
      <c r="B36" s="2">
        <v>2.68</v>
      </c>
      <c r="C36">
        <v>2.78</v>
      </c>
      <c r="D36">
        <v>2.79</v>
      </c>
      <c r="E36">
        <v>2.6</v>
      </c>
      <c r="F36" t="s">
        <v>92</v>
      </c>
      <c r="G36" t="s">
        <v>93</v>
      </c>
      <c r="H36">
        <f>LN(Table2[[#This Row],[Price]]/B35)</f>
        <v>-4.0224801310508873E-2</v>
      </c>
      <c r="K36" s="7" t="s">
        <v>250</v>
      </c>
      <c r="L36" s="7" t="s">
        <v>254</v>
      </c>
      <c r="M36" s="7" t="s">
        <v>251</v>
      </c>
    </row>
    <row r="37" spans="1:13" x14ac:dyDescent="0.3">
      <c r="A37" t="s">
        <v>94</v>
      </c>
      <c r="B37" s="2">
        <v>2.59</v>
      </c>
      <c r="C37">
        <v>2.68</v>
      </c>
      <c r="D37">
        <v>2.71</v>
      </c>
      <c r="E37">
        <v>2.59</v>
      </c>
      <c r="F37" t="s">
        <v>95</v>
      </c>
      <c r="G37" t="s">
        <v>96</v>
      </c>
      <c r="H37">
        <f>LN(Table2[[#This Row],[Price]]/B36)</f>
        <v>-3.4158918811319085E-2</v>
      </c>
      <c r="K37" s="11">
        <v>0.05</v>
      </c>
      <c r="L37" s="12">
        <v>1</v>
      </c>
      <c r="M37" s="10">
        <f>$L$29*$L$33*SQRT(L37)</f>
        <v>-61817.92868735089</v>
      </c>
    </row>
    <row r="38" spans="1:13" x14ac:dyDescent="0.3">
      <c r="A38" t="s">
        <v>97</v>
      </c>
      <c r="B38" s="2">
        <v>2.33</v>
      </c>
      <c r="C38">
        <v>2.59</v>
      </c>
      <c r="D38">
        <v>2.6</v>
      </c>
      <c r="E38">
        <v>2.31</v>
      </c>
      <c r="F38" t="s">
        <v>98</v>
      </c>
      <c r="G38" t="s">
        <v>99</v>
      </c>
      <c r="H38">
        <f>LN(Table2[[#This Row],[Price]]/B37)</f>
        <v>-0.10578960813383709</v>
      </c>
      <c r="K38" s="13"/>
      <c r="L38" s="12">
        <v>5</v>
      </c>
      <c r="M38" s="10">
        <f>$L$29*$L$33*SQRT(L38)</f>
        <v>-138229.09077315094</v>
      </c>
    </row>
    <row r="39" spans="1:13" x14ac:dyDescent="0.3">
      <c r="A39" s="1">
        <v>45719</v>
      </c>
      <c r="B39" s="2">
        <v>2.34</v>
      </c>
      <c r="C39">
        <v>2.4</v>
      </c>
      <c r="D39">
        <v>2.41</v>
      </c>
      <c r="E39">
        <v>2.29</v>
      </c>
      <c r="F39" t="s">
        <v>100</v>
      </c>
      <c r="G39" t="s">
        <v>101</v>
      </c>
      <c r="H39">
        <f>LN(Table2[[#This Row],[Price]]/B38)</f>
        <v>4.2826617920007281E-3</v>
      </c>
      <c r="K39" s="13"/>
      <c r="L39" s="12">
        <v>20</v>
      </c>
      <c r="M39" s="10">
        <f>$L$29*$L$33*SQRT(L39)</f>
        <v>-276458.18154630187</v>
      </c>
    </row>
    <row r="40" spans="1:13" x14ac:dyDescent="0.3">
      <c r="A40" s="1">
        <v>45750</v>
      </c>
      <c r="B40" s="2">
        <v>2.21</v>
      </c>
      <c r="C40">
        <v>2.34</v>
      </c>
      <c r="D40">
        <v>2.37</v>
      </c>
      <c r="E40">
        <v>2.21</v>
      </c>
      <c r="F40" t="s">
        <v>102</v>
      </c>
      <c r="G40" t="s">
        <v>103</v>
      </c>
      <c r="H40">
        <f>LN(Table2[[#This Row],[Price]]/B39)</f>
        <v>-5.7158413839948519E-2</v>
      </c>
    </row>
    <row r="41" spans="1:13" x14ac:dyDescent="0.3">
      <c r="A41" s="1">
        <v>45780</v>
      </c>
      <c r="B41" s="2">
        <v>2.27</v>
      </c>
      <c r="C41">
        <v>2.23</v>
      </c>
      <c r="D41">
        <v>2.3199999999999998</v>
      </c>
      <c r="E41">
        <v>2.14</v>
      </c>
      <c r="F41" t="s">
        <v>104</v>
      </c>
      <c r="G41" t="s">
        <v>105</v>
      </c>
      <c r="H41">
        <f>LN(Table2[[#This Row],[Price]]/B40)</f>
        <v>2.6787315963649982E-2</v>
      </c>
    </row>
    <row r="42" spans="1:13" x14ac:dyDescent="0.3">
      <c r="A42" s="1">
        <v>45811</v>
      </c>
      <c r="B42" s="2">
        <v>2.33</v>
      </c>
      <c r="C42">
        <v>2.27</v>
      </c>
      <c r="D42">
        <v>2.38</v>
      </c>
      <c r="E42">
        <v>2.25</v>
      </c>
      <c r="F42" t="s">
        <v>106</v>
      </c>
      <c r="G42" t="s">
        <v>107</v>
      </c>
      <c r="H42">
        <f>LN(Table2[[#This Row],[Price]]/B41)</f>
        <v>2.6088436084297874E-2</v>
      </c>
    </row>
    <row r="43" spans="1:13" x14ac:dyDescent="0.3">
      <c r="A43" s="1">
        <v>45841</v>
      </c>
      <c r="B43" s="2">
        <v>2.36</v>
      </c>
      <c r="C43">
        <v>2.36</v>
      </c>
      <c r="D43">
        <v>2.42</v>
      </c>
      <c r="E43">
        <v>2.35</v>
      </c>
      <c r="F43" t="s">
        <v>108</v>
      </c>
      <c r="G43" t="s">
        <v>109</v>
      </c>
      <c r="H43">
        <f>LN(Table2[[#This Row],[Price]]/B42)</f>
        <v>1.2793351459909322E-2</v>
      </c>
      <c r="K43" s="16"/>
      <c r="L43" s="17"/>
      <c r="M43" s="18"/>
    </row>
    <row r="44" spans="1:13" x14ac:dyDescent="0.3">
      <c r="A44" s="1">
        <v>45933</v>
      </c>
      <c r="B44" s="2">
        <v>2.44</v>
      </c>
      <c r="C44">
        <v>2.35</v>
      </c>
      <c r="D44">
        <v>2.48</v>
      </c>
      <c r="E44">
        <v>2.34</v>
      </c>
      <c r="F44" t="s">
        <v>110</v>
      </c>
      <c r="G44" t="s">
        <v>111</v>
      </c>
      <c r="H44">
        <f>LN(Table2[[#This Row],[Price]]/B43)</f>
        <v>3.3336420267591926E-2</v>
      </c>
      <c r="K44" s="19"/>
      <c r="L44" s="17"/>
      <c r="M44" s="18"/>
    </row>
    <row r="45" spans="1:13" x14ac:dyDescent="0.3">
      <c r="A45" s="1">
        <v>45964</v>
      </c>
      <c r="B45" s="2">
        <v>2.33</v>
      </c>
      <c r="C45">
        <v>2.38</v>
      </c>
      <c r="D45">
        <v>2.4</v>
      </c>
      <c r="E45">
        <v>2.2999999999999998</v>
      </c>
      <c r="F45" t="s">
        <v>112</v>
      </c>
      <c r="G45" t="s">
        <v>113</v>
      </c>
      <c r="H45">
        <f>LN(Table2[[#This Row],[Price]]/B44)</f>
        <v>-4.6129771727501295E-2</v>
      </c>
      <c r="K45" s="19"/>
      <c r="L45" s="17"/>
      <c r="M45" s="18"/>
    </row>
    <row r="46" spans="1:13" x14ac:dyDescent="0.3">
      <c r="A46" s="1">
        <v>45994</v>
      </c>
      <c r="B46" s="2">
        <v>2.34</v>
      </c>
      <c r="C46">
        <v>2.3199999999999998</v>
      </c>
      <c r="D46">
        <v>2.37</v>
      </c>
      <c r="E46">
        <v>2.31</v>
      </c>
      <c r="F46" t="s">
        <v>114</v>
      </c>
      <c r="G46" t="s">
        <v>101</v>
      </c>
      <c r="H46">
        <f>LN(Table2[[#This Row],[Price]]/B45)</f>
        <v>4.2826617920007281E-3</v>
      </c>
    </row>
    <row r="47" spans="1:13" x14ac:dyDescent="0.3">
      <c r="A47" t="s">
        <v>115</v>
      </c>
      <c r="B47" s="2">
        <v>2.33</v>
      </c>
      <c r="C47">
        <v>2.35</v>
      </c>
      <c r="D47">
        <v>2.38</v>
      </c>
      <c r="E47">
        <v>2.27</v>
      </c>
      <c r="F47" t="s">
        <v>116</v>
      </c>
      <c r="G47" t="s">
        <v>117</v>
      </c>
      <c r="H47">
        <f>LN(Table2[[#This Row],[Price]]/B46)</f>
        <v>-4.2826617920007359E-3</v>
      </c>
    </row>
    <row r="48" spans="1:13" x14ac:dyDescent="0.3">
      <c r="A48" t="s">
        <v>118</v>
      </c>
      <c r="B48" s="2">
        <v>2.2599999999999998</v>
      </c>
      <c r="C48">
        <v>2.31</v>
      </c>
      <c r="D48">
        <v>2.31</v>
      </c>
      <c r="E48">
        <v>2.2200000000000002</v>
      </c>
      <c r="F48" t="s">
        <v>119</v>
      </c>
      <c r="G48" t="s">
        <v>120</v>
      </c>
      <c r="H48">
        <f>LN(Table2[[#This Row],[Price]]/B47)</f>
        <v>-3.0503454293414854E-2</v>
      </c>
    </row>
    <row r="49" spans="1:8" x14ac:dyDescent="0.3">
      <c r="A49" t="s">
        <v>121</v>
      </c>
      <c r="B49" s="2">
        <v>2.2599999999999998</v>
      </c>
      <c r="C49">
        <v>2.2599999999999998</v>
      </c>
      <c r="D49">
        <v>2.2799999999999998</v>
      </c>
      <c r="E49">
        <v>2.21</v>
      </c>
      <c r="F49" t="s">
        <v>122</v>
      </c>
      <c r="G49" t="s">
        <v>31</v>
      </c>
      <c r="H49">
        <f>LN(Table2[[#This Row],[Price]]/B48)</f>
        <v>0</v>
      </c>
    </row>
    <row r="50" spans="1:8" x14ac:dyDescent="0.3">
      <c r="A50" t="s">
        <v>123</v>
      </c>
      <c r="B50" s="2">
        <v>2.21</v>
      </c>
      <c r="C50">
        <v>2.2799999999999998</v>
      </c>
      <c r="D50">
        <v>2.36</v>
      </c>
      <c r="E50">
        <v>2.1</v>
      </c>
      <c r="F50" t="s">
        <v>124</v>
      </c>
      <c r="G50" t="s">
        <v>125</v>
      </c>
      <c r="H50">
        <f>LN(Table2[[#This Row],[Price]]/B49)</f>
        <v>-2.2372297754532984E-2</v>
      </c>
    </row>
    <row r="51" spans="1:8" x14ac:dyDescent="0.3">
      <c r="A51" t="s">
        <v>126</v>
      </c>
      <c r="B51" s="2">
        <v>2.23</v>
      </c>
      <c r="C51">
        <v>2.21</v>
      </c>
      <c r="D51">
        <v>2.2799999999999998</v>
      </c>
      <c r="E51">
        <v>2.2000000000000002</v>
      </c>
      <c r="F51" t="s">
        <v>127</v>
      </c>
      <c r="G51" t="s">
        <v>128</v>
      </c>
      <c r="H51">
        <f>LN(Table2[[#This Row],[Price]]/B50)</f>
        <v>9.0090699423659108E-3</v>
      </c>
    </row>
    <row r="52" spans="1:8" x14ac:dyDescent="0.3">
      <c r="A52" t="s">
        <v>129</v>
      </c>
      <c r="B52" s="2">
        <v>2.25</v>
      </c>
      <c r="C52">
        <v>2.25</v>
      </c>
      <c r="D52">
        <v>2.27</v>
      </c>
      <c r="E52">
        <v>2.2000000000000002</v>
      </c>
      <c r="F52" t="s">
        <v>130</v>
      </c>
      <c r="G52" t="s">
        <v>128</v>
      </c>
      <c r="H52">
        <f>LN(Table2[[#This Row],[Price]]/B51)</f>
        <v>8.9286307443013982E-3</v>
      </c>
    </row>
    <row r="53" spans="1:8" x14ac:dyDescent="0.3">
      <c r="A53" t="s">
        <v>131</v>
      </c>
      <c r="B53" s="2">
        <v>2.12</v>
      </c>
      <c r="C53">
        <v>2.25</v>
      </c>
      <c r="D53">
        <v>2.2599999999999998</v>
      </c>
      <c r="E53">
        <v>2.12</v>
      </c>
      <c r="F53" t="s">
        <v>132</v>
      </c>
      <c r="G53" t="s">
        <v>133</v>
      </c>
      <c r="H53">
        <f>LN(Table2[[#This Row],[Price]]/B52)</f>
        <v>-5.9514127532407604E-2</v>
      </c>
    </row>
    <row r="54" spans="1:8" x14ac:dyDescent="0.3">
      <c r="A54" t="s">
        <v>134</v>
      </c>
      <c r="B54" s="2">
        <v>2.2200000000000002</v>
      </c>
      <c r="C54">
        <v>2.15</v>
      </c>
      <c r="D54">
        <v>2.2400000000000002</v>
      </c>
      <c r="E54">
        <v>2.14</v>
      </c>
      <c r="F54" t="s">
        <v>135</v>
      </c>
      <c r="G54" t="s">
        <v>136</v>
      </c>
      <c r="H54">
        <f>LN(Table2[[#This Row],[Price]]/B53)</f>
        <v>4.6091107200267087E-2</v>
      </c>
    </row>
    <row r="55" spans="1:8" x14ac:dyDescent="0.3">
      <c r="A55" t="s">
        <v>137</v>
      </c>
      <c r="B55" s="2">
        <v>2.5099999999999998</v>
      </c>
      <c r="C55">
        <v>2.2400000000000002</v>
      </c>
      <c r="D55">
        <v>2.5499999999999998</v>
      </c>
      <c r="E55">
        <v>2.2400000000000002</v>
      </c>
      <c r="F55" t="s">
        <v>138</v>
      </c>
      <c r="G55" t="s">
        <v>139</v>
      </c>
      <c r="H55">
        <f>LN(Table2[[#This Row],[Price]]/B54)</f>
        <v>0.12277555725950424</v>
      </c>
    </row>
    <row r="56" spans="1:8" x14ac:dyDescent="0.3">
      <c r="A56" t="s">
        <v>140</v>
      </c>
      <c r="B56" s="2">
        <v>2.75</v>
      </c>
      <c r="C56">
        <v>2.5299999999999998</v>
      </c>
      <c r="D56">
        <v>2.79</v>
      </c>
      <c r="E56">
        <v>2.5099999999999998</v>
      </c>
      <c r="F56" t="s">
        <v>141</v>
      </c>
      <c r="G56" t="s">
        <v>142</v>
      </c>
      <c r="H56">
        <f>LN(Table2[[#This Row],[Price]]/B55)</f>
        <v>9.131815853478753E-2</v>
      </c>
    </row>
    <row r="57" spans="1:8" x14ac:dyDescent="0.3">
      <c r="A57" t="s">
        <v>143</v>
      </c>
      <c r="B57" s="2">
        <v>2.65</v>
      </c>
      <c r="C57">
        <v>2.75</v>
      </c>
      <c r="D57">
        <v>2.79</v>
      </c>
      <c r="E57">
        <v>2.62</v>
      </c>
      <c r="F57" t="s">
        <v>144</v>
      </c>
      <c r="G57" t="s">
        <v>145</v>
      </c>
      <c r="H57">
        <f>LN(Table2[[#This Row],[Price]]/B56)</f>
        <v>-3.7041271680349097E-2</v>
      </c>
    </row>
    <row r="58" spans="1:8" x14ac:dyDescent="0.3">
      <c r="A58" s="1">
        <v>45873</v>
      </c>
      <c r="B58" s="2">
        <v>2.2599999999999998</v>
      </c>
      <c r="C58">
        <v>2.31</v>
      </c>
      <c r="D58">
        <v>2.31</v>
      </c>
      <c r="E58">
        <v>2.2599999999999998</v>
      </c>
      <c r="F58" t="s">
        <v>146</v>
      </c>
      <c r="G58" t="s">
        <v>147</v>
      </c>
      <c r="H58">
        <f>LN(Table2[[#This Row],[Price]]/B57)</f>
        <v>-0.15919482671393642</v>
      </c>
    </row>
    <row r="59" spans="1:8" x14ac:dyDescent="0.3">
      <c r="A59" s="1">
        <v>45904</v>
      </c>
      <c r="B59" s="2">
        <v>2.09</v>
      </c>
      <c r="C59">
        <v>2.2000000000000002</v>
      </c>
      <c r="D59">
        <v>2.21</v>
      </c>
      <c r="E59">
        <v>2.0699999999999998</v>
      </c>
      <c r="F59" t="s">
        <v>148</v>
      </c>
      <c r="G59" t="s">
        <v>149</v>
      </c>
      <c r="H59">
        <f>LN(Table2[[#This Row],[Price]]/B58)</f>
        <v>-7.820074730747488E-2</v>
      </c>
    </row>
    <row r="60" spans="1:8" x14ac:dyDescent="0.3">
      <c r="A60" s="1">
        <v>45934</v>
      </c>
      <c r="B60" s="2">
        <v>2.16</v>
      </c>
      <c r="C60">
        <v>2.21</v>
      </c>
      <c r="D60">
        <v>2.29</v>
      </c>
      <c r="E60">
        <v>2.14</v>
      </c>
      <c r="F60" t="s">
        <v>150</v>
      </c>
      <c r="G60" t="s">
        <v>151</v>
      </c>
      <c r="H60">
        <f>LN(Table2[[#This Row],[Price]]/B59)</f>
        <v>3.2944155719354058E-2</v>
      </c>
    </row>
    <row r="61" spans="1:8" x14ac:dyDescent="0.3">
      <c r="A61" s="1">
        <v>45965</v>
      </c>
      <c r="B61" s="2">
        <v>2.14</v>
      </c>
      <c r="C61">
        <v>2.14</v>
      </c>
      <c r="D61">
        <v>2.19</v>
      </c>
      <c r="E61">
        <v>2.11</v>
      </c>
      <c r="F61" t="s">
        <v>152</v>
      </c>
      <c r="G61" t="s">
        <v>153</v>
      </c>
      <c r="H61">
        <f>LN(Table2[[#This Row],[Price]]/B60)</f>
        <v>-9.3023926623135612E-3</v>
      </c>
    </row>
    <row r="62" spans="1:8" x14ac:dyDescent="0.3">
      <c r="A62" t="s">
        <v>154</v>
      </c>
      <c r="B62" s="2">
        <v>2.46</v>
      </c>
      <c r="C62">
        <v>2.16</v>
      </c>
      <c r="D62">
        <v>2.46</v>
      </c>
      <c r="E62">
        <v>2.15</v>
      </c>
      <c r="F62" t="s">
        <v>155</v>
      </c>
      <c r="G62" t="s">
        <v>156</v>
      </c>
      <c r="H62">
        <f>LN(Table2[[#This Row],[Price]]/B61)</f>
        <v>0.13935552091051134</v>
      </c>
    </row>
    <row r="63" spans="1:8" x14ac:dyDescent="0.3">
      <c r="A63" t="s">
        <v>157</v>
      </c>
      <c r="B63" s="2">
        <v>2.5</v>
      </c>
      <c r="C63">
        <v>2.4900000000000002</v>
      </c>
      <c r="D63">
        <v>2.59</v>
      </c>
      <c r="E63">
        <v>2.4900000000000002</v>
      </c>
      <c r="F63" t="s">
        <v>158</v>
      </c>
      <c r="G63" t="s">
        <v>159</v>
      </c>
      <c r="H63">
        <f>LN(Table2[[#This Row],[Price]]/B62)</f>
        <v>1.6129381929883717E-2</v>
      </c>
    </row>
    <row r="64" spans="1:8" x14ac:dyDescent="0.3">
      <c r="A64" t="s">
        <v>160</v>
      </c>
      <c r="B64" s="2">
        <v>2.4500000000000002</v>
      </c>
      <c r="C64">
        <v>2.5499999999999998</v>
      </c>
      <c r="D64">
        <v>2.5499999999999998</v>
      </c>
      <c r="E64">
        <v>2.4500000000000002</v>
      </c>
      <c r="F64" t="s">
        <v>161</v>
      </c>
      <c r="G64" t="s">
        <v>162</v>
      </c>
      <c r="H64">
        <f>LN(Table2[[#This Row],[Price]]/B63)</f>
        <v>-2.0202707317519355E-2</v>
      </c>
    </row>
    <row r="65" spans="1:8" x14ac:dyDescent="0.3">
      <c r="A65" t="s">
        <v>163</v>
      </c>
      <c r="B65" s="2">
        <v>2.4500000000000002</v>
      </c>
      <c r="C65">
        <v>2.4500000000000002</v>
      </c>
      <c r="D65">
        <v>2.52</v>
      </c>
      <c r="E65">
        <v>2.4300000000000002</v>
      </c>
      <c r="F65" t="s">
        <v>164</v>
      </c>
      <c r="G65" t="s">
        <v>31</v>
      </c>
      <c r="H65">
        <f>LN(Table2[[#This Row],[Price]]/B64)</f>
        <v>0</v>
      </c>
    </row>
    <row r="66" spans="1:8" x14ac:dyDescent="0.3">
      <c r="A66" t="s">
        <v>165</v>
      </c>
      <c r="B66" s="2">
        <v>2.37</v>
      </c>
      <c r="C66">
        <v>2.4700000000000002</v>
      </c>
      <c r="D66">
        <v>2.48</v>
      </c>
      <c r="E66">
        <v>2.34</v>
      </c>
      <c r="F66" t="s">
        <v>166</v>
      </c>
      <c r="G66" t="s">
        <v>167</v>
      </c>
      <c r="H66">
        <f>LN(Table2[[#This Row],[Price]]/B65)</f>
        <v>-3.3198069409595861E-2</v>
      </c>
    </row>
    <row r="67" spans="1:8" x14ac:dyDescent="0.3">
      <c r="A67" t="s">
        <v>168</v>
      </c>
      <c r="B67" s="2">
        <v>2.54</v>
      </c>
      <c r="C67">
        <v>2.38</v>
      </c>
      <c r="D67">
        <v>2.5499999999999998</v>
      </c>
      <c r="E67">
        <v>2.38</v>
      </c>
      <c r="F67" t="s">
        <v>169</v>
      </c>
      <c r="G67" t="s">
        <v>170</v>
      </c>
      <c r="H67">
        <f>LN(Table2[[#This Row],[Price]]/B66)</f>
        <v>6.927412588340541E-2</v>
      </c>
    </row>
    <row r="68" spans="1:8" x14ac:dyDescent="0.3">
      <c r="A68" t="s">
        <v>171</v>
      </c>
      <c r="B68" s="2">
        <v>2.5499999999999998</v>
      </c>
      <c r="C68">
        <v>2.58</v>
      </c>
      <c r="D68">
        <v>2.59</v>
      </c>
      <c r="E68">
        <v>2.5299999999999998</v>
      </c>
      <c r="F68" t="s">
        <v>172</v>
      </c>
      <c r="G68" t="s">
        <v>173</v>
      </c>
      <c r="H68">
        <f>LN(Table2[[#This Row],[Price]]/B67)</f>
        <v>3.929278139889557E-3</v>
      </c>
    </row>
    <row r="69" spans="1:8" x14ac:dyDescent="0.3">
      <c r="A69" t="s">
        <v>174</v>
      </c>
      <c r="B69" s="2">
        <v>2.5299999999999998</v>
      </c>
      <c r="C69">
        <v>2.5499999999999998</v>
      </c>
      <c r="D69">
        <v>2.67</v>
      </c>
      <c r="E69">
        <v>2.5</v>
      </c>
      <c r="F69" t="s">
        <v>175</v>
      </c>
      <c r="G69" t="s">
        <v>176</v>
      </c>
      <c r="H69">
        <f>LN(Table2[[#This Row],[Price]]/B68)</f>
        <v>-7.874056430905883E-3</v>
      </c>
    </row>
    <row r="70" spans="1:8" x14ac:dyDescent="0.3">
      <c r="A70" t="s">
        <v>177</v>
      </c>
      <c r="B70" s="2">
        <v>2.6</v>
      </c>
      <c r="C70">
        <v>2.5499999999999998</v>
      </c>
      <c r="D70">
        <v>2.61</v>
      </c>
      <c r="E70">
        <v>2.52</v>
      </c>
      <c r="F70" t="s">
        <v>178</v>
      </c>
      <c r="G70" t="s">
        <v>179</v>
      </c>
      <c r="H70">
        <f>LN(Table2[[#This Row],[Price]]/B69)</f>
        <v>2.7292142288007554E-2</v>
      </c>
    </row>
    <row r="71" spans="1:8" x14ac:dyDescent="0.3">
      <c r="A71" t="s">
        <v>180</v>
      </c>
      <c r="B71" s="2">
        <v>2.57</v>
      </c>
      <c r="C71">
        <v>2.62</v>
      </c>
      <c r="D71">
        <v>2.65</v>
      </c>
      <c r="E71">
        <v>2.57</v>
      </c>
      <c r="F71" t="s">
        <v>181</v>
      </c>
      <c r="G71" t="s">
        <v>182</v>
      </c>
      <c r="H71">
        <f>LN(Table2[[#This Row],[Price]]/B70)</f>
        <v>-1.1605546120308003E-2</v>
      </c>
    </row>
    <row r="72" spans="1:8" x14ac:dyDescent="0.3">
      <c r="A72" t="s">
        <v>183</v>
      </c>
      <c r="B72" s="2">
        <v>2.56</v>
      </c>
      <c r="C72">
        <v>2.58</v>
      </c>
      <c r="D72">
        <v>2.7</v>
      </c>
      <c r="E72">
        <v>2.54</v>
      </c>
      <c r="F72" t="s">
        <v>184</v>
      </c>
      <c r="G72" t="s">
        <v>185</v>
      </c>
      <c r="H72">
        <f>LN(Table2[[#This Row],[Price]]/B71)</f>
        <v>-3.8986404156571976E-3</v>
      </c>
    </row>
    <row r="73" spans="1:8" x14ac:dyDescent="0.3">
      <c r="A73" t="s">
        <v>186</v>
      </c>
      <c r="B73" s="2">
        <v>2.61</v>
      </c>
      <c r="C73">
        <v>2.57</v>
      </c>
      <c r="D73">
        <v>2.7</v>
      </c>
      <c r="E73">
        <v>2.54</v>
      </c>
      <c r="F73" t="s">
        <v>187</v>
      </c>
      <c r="G73" t="s">
        <v>188</v>
      </c>
      <c r="H73">
        <f>LN(Table2[[#This Row],[Price]]/B72)</f>
        <v>1.9342962843130935E-2</v>
      </c>
    </row>
    <row r="74" spans="1:8" x14ac:dyDescent="0.3">
      <c r="A74" s="1">
        <v>45693</v>
      </c>
      <c r="B74" s="2">
        <v>2.54</v>
      </c>
      <c r="C74">
        <v>2.57</v>
      </c>
      <c r="D74">
        <v>2.62</v>
      </c>
      <c r="E74">
        <v>2.52</v>
      </c>
      <c r="F74" t="s">
        <v>189</v>
      </c>
      <c r="G74" t="s">
        <v>190</v>
      </c>
      <c r="H74">
        <f>LN(Table2[[#This Row],[Price]]/B73)</f>
        <v>-2.7186140304156718E-2</v>
      </c>
    </row>
    <row r="75" spans="1:8" x14ac:dyDescent="0.3">
      <c r="A75" s="1">
        <v>45782</v>
      </c>
      <c r="B75" s="2">
        <v>2.5499999999999998</v>
      </c>
      <c r="C75">
        <v>2.5499999999999998</v>
      </c>
      <c r="D75">
        <v>2.61</v>
      </c>
      <c r="E75">
        <v>2.48</v>
      </c>
      <c r="F75" t="s">
        <v>191</v>
      </c>
      <c r="G75" t="s">
        <v>173</v>
      </c>
      <c r="H75">
        <f>LN(Table2[[#This Row],[Price]]/B74)</f>
        <v>3.929278139889557E-3</v>
      </c>
    </row>
    <row r="76" spans="1:8" x14ac:dyDescent="0.3">
      <c r="A76" s="1">
        <v>45813</v>
      </c>
      <c r="B76" s="2">
        <v>2.5499999999999998</v>
      </c>
      <c r="C76">
        <v>2.5499999999999998</v>
      </c>
      <c r="D76">
        <v>2.61</v>
      </c>
      <c r="E76">
        <v>2.5</v>
      </c>
      <c r="F76" t="s">
        <v>192</v>
      </c>
      <c r="G76" t="s">
        <v>31</v>
      </c>
      <c r="H76">
        <f>LN(Table2[[#This Row],[Price]]/B75)</f>
        <v>0</v>
      </c>
    </row>
    <row r="77" spans="1:8" x14ac:dyDescent="0.3">
      <c r="A77" s="1">
        <v>45843</v>
      </c>
      <c r="B77" s="2">
        <v>2.5099999999999998</v>
      </c>
      <c r="C77">
        <v>2.57</v>
      </c>
      <c r="D77">
        <v>2.63</v>
      </c>
      <c r="E77">
        <v>2.5099999999999998</v>
      </c>
      <c r="F77" t="s">
        <v>193</v>
      </c>
      <c r="G77" t="s">
        <v>194</v>
      </c>
      <c r="H77">
        <f>LN(Table2[[#This Row],[Price]]/B76)</f>
        <v>-1.5810606026642315E-2</v>
      </c>
    </row>
    <row r="78" spans="1:8" x14ac:dyDescent="0.3">
      <c r="A78" s="1">
        <v>45874</v>
      </c>
      <c r="B78" s="2">
        <v>2.4900000000000002</v>
      </c>
      <c r="C78">
        <v>2.52</v>
      </c>
      <c r="D78">
        <v>2.63</v>
      </c>
      <c r="E78">
        <v>2.48</v>
      </c>
      <c r="F78" t="s">
        <v>195</v>
      </c>
      <c r="G78" t="s">
        <v>196</v>
      </c>
      <c r="H78">
        <f>LN(Table2[[#This Row],[Price]]/B77)</f>
        <v>-8.0000426670761519E-3</v>
      </c>
    </row>
    <row r="79" spans="1:8" x14ac:dyDescent="0.3">
      <c r="A79" s="1">
        <v>45905</v>
      </c>
      <c r="B79" s="2">
        <v>2.41</v>
      </c>
      <c r="C79">
        <v>2.5</v>
      </c>
      <c r="D79">
        <v>2.5099999999999998</v>
      </c>
      <c r="E79">
        <v>2.4</v>
      </c>
      <c r="F79" t="s">
        <v>197</v>
      </c>
      <c r="G79" t="s">
        <v>198</v>
      </c>
      <c r="H79">
        <f>LN(Table2[[#This Row],[Price]]/B78)</f>
        <v>-3.2655962974052689E-2</v>
      </c>
    </row>
    <row r="80" spans="1:8" x14ac:dyDescent="0.3">
      <c r="A80" t="s">
        <v>199</v>
      </c>
      <c r="B80" s="2">
        <v>2.52</v>
      </c>
      <c r="C80">
        <v>2.4500000000000002</v>
      </c>
      <c r="D80">
        <v>2.5299999999999998</v>
      </c>
      <c r="E80">
        <v>2.4500000000000002</v>
      </c>
      <c r="F80" t="s">
        <v>200</v>
      </c>
      <c r="G80" t="s">
        <v>201</v>
      </c>
      <c r="H80">
        <f>LN(Table2[[#This Row],[Price]]/B79)</f>
        <v>4.4632154020768158E-2</v>
      </c>
    </row>
    <row r="81" spans="1:8" x14ac:dyDescent="0.3">
      <c r="A81" t="s">
        <v>202</v>
      </c>
      <c r="B81" s="2">
        <v>2.52</v>
      </c>
      <c r="C81">
        <v>2.54</v>
      </c>
      <c r="D81">
        <v>2.58</v>
      </c>
      <c r="E81">
        <v>2.5</v>
      </c>
      <c r="F81" t="s">
        <v>203</v>
      </c>
      <c r="G81" t="s">
        <v>31</v>
      </c>
      <c r="H81">
        <f>LN(Table2[[#This Row],[Price]]/B80)</f>
        <v>0</v>
      </c>
    </row>
    <row r="82" spans="1:8" x14ac:dyDescent="0.3">
      <c r="A82" t="s">
        <v>204</v>
      </c>
      <c r="B82" s="2">
        <v>2.57</v>
      </c>
      <c r="C82">
        <v>2.56</v>
      </c>
      <c r="D82">
        <v>2.57</v>
      </c>
      <c r="E82">
        <v>2.52</v>
      </c>
      <c r="F82" t="s">
        <v>205</v>
      </c>
      <c r="G82" t="s">
        <v>206</v>
      </c>
      <c r="H82">
        <f>LN(Table2[[#This Row],[Price]]/B81)</f>
        <v>1.9646997383796421E-2</v>
      </c>
    </row>
    <row r="83" spans="1:8" x14ac:dyDescent="0.3">
      <c r="A83" t="s">
        <v>207</v>
      </c>
      <c r="B83" s="2">
        <v>2.71</v>
      </c>
      <c r="C83">
        <v>2.59</v>
      </c>
      <c r="D83">
        <v>2.75</v>
      </c>
      <c r="E83">
        <v>2.59</v>
      </c>
      <c r="F83" t="s">
        <v>208</v>
      </c>
      <c r="G83" t="s">
        <v>209</v>
      </c>
      <c r="H83">
        <f>LN(Table2[[#This Row],[Price]]/B82)</f>
        <v>5.3042735984481129E-2</v>
      </c>
    </row>
    <row r="84" spans="1:8" x14ac:dyDescent="0.3">
      <c r="A84" t="s">
        <v>210</v>
      </c>
      <c r="B84" s="2">
        <v>2.5299999999999998</v>
      </c>
      <c r="C84">
        <v>2.73</v>
      </c>
      <c r="D84">
        <v>2.74</v>
      </c>
      <c r="E84">
        <v>2.5</v>
      </c>
      <c r="F84" t="s">
        <v>211</v>
      </c>
      <c r="G84" t="s">
        <v>212</v>
      </c>
      <c r="H84">
        <f>LN(Table2[[#This Row],[Price]]/B83)</f>
        <v>-6.8729332152180772E-2</v>
      </c>
    </row>
    <row r="85" spans="1:8" x14ac:dyDescent="0.3">
      <c r="A85" t="s">
        <v>213</v>
      </c>
      <c r="B85" s="2">
        <v>2.57</v>
      </c>
      <c r="C85">
        <v>2.5499999999999998</v>
      </c>
      <c r="D85">
        <v>2.59</v>
      </c>
      <c r="E85">
        <v>2.46</v>
      </c>
      <c r="F85" t="s">
        <v>214</v>
      </c>
      <c r="G85" t="s">
        <v>215</v>
      </c>
      <c r="H85">
        <f>LN(Table2[[#This Row],[Price]]/B84)</f>
        <v>1.5686596167699473E-2</v>
      </c>
    </row>
    <row r="86" spans="1:8" x14ac:dyDescent="0.3">
      <c r="A86" t="s">
        <v>216</v>
      </c>
      <c r="B86" s="2">
        <v>2.67</v>
      </c>
      <c r="C86">
        <v>2.57</v>
      </c>
      <c r="D86">
        <v>2.68</v>
      </c>
      <c r="E86">
        <v>2.5499999999999998</v>
      </c>
      <c r="F86" t="s">
        <v>217</v>
      </c>
      <c r="G86" t="s">
        <v>218</v>
      </c>
      <c r="H86">
        <f>LN(Table2[[#This Row],[Price]]/B85)</f>
        <v>3.8172573505029811E-2</v>
      </c>
    </row>
    <row r="87" spans="1:8" x14ac:dyDescent="0.3">
      <c r="A87" t="s">
        <v>219</v>
      </c>
      <c r="B87" s="2">
        <v>2.72</v>
      </c>
      <c r="C87">
        <v>2.7</v>
      </c>
      <c r="D87">
        <v>2.84</v>
      </c>
      <c r="E87">
        <v>2.7</v>
      </c>
      <c r="F87" t="s">
        <v>220</v>
      </c>
      <c r="G87" t="s">
        <v>221</v>
      </c>
      <c r="H87">
        <f>LN(Table2[[#This Row],[Price]]/B86)</f>
        <v>1.8553407895747834E-2</v>
      </c>
    </row>
    <row r="88" spans="1:8" x14ac:dyDescent="0.3">
      <c r="A88" t="s">
        <v>222</v>
      </c>
      <c r="B88" s="2">
        <v>2.86</v>
      </c>
      <c r="C88">
        <v>2.74</v>
      </c>
      <c r="D88">
        <v>2.86</v>
      </c>
      <c r="E88">
        <v>2.73</v>
      </c>
      <c r="F88" t="s">
        <v>223</v>
      </c>
      <c r="G88" t="s">
        <v>224</v>
      </c>
      <c r="H88">
        <f>LN(Table2[[#This Row],[Price]]/B87)</f>
        <v>5.01897445238551E-2</v>
      </c>
    </row>
    <row r="89" spans="1:8" x14ac:dyDescent="0.3">
      <c r="A89" t="s">
        <v>225</v>
      </c>
      <c r="B89" s="2">
        <v>2.84</v>
      </c>
      <c r="C89">
        <v>2.88</v>
      </c>
      <c r="D89">
        <v>2.96</v>
      </c>
      <c r="E89">
        <v>2.83</v>
      </c>
      <c r="F89" t="s">
        <v>226</v>
      </c>
      <c r="G89" t="s">
        <v>227</v>
      </c>
      <c r="H89">
        <f>LN(Table2[[#This Row],[Price]]/B88)</f>
        <v>-7.0175726586465346E-3</v>
      </c>
    </row>
    <row r="90" spans="1:8" x14ac:dyDescent="0.3">
      <c r="A90" t="s">
        <v>228</v>
      </c>
      <c r="B90" s="2">
        <v>2.81</v>
      </c>
      <c r="C90">
        <v>2.86</v>
      </c>
      <c r="D90">
        <v>2.88</v>
      </c>
      <c r="E90">
        <v>2.81</v>
      </c>
      <c r="F90" t="s">
        <v>229</v>
      </c>
      <c r="G90" t="s">
        <v>52</v>
      </c>
      <c r="H90">
        <f>LN(Table2[[#This Row],[Price]]/B89)</f>
        <v>-1.0619568827460261E-2</v>
      </c>
    </row>
    <row r="91" spans="1:8" x14ac:dyDescent="0.3">
      <c r="A91" s="1">
        <v>45694</v>
      </c>
      <c r="B91" s="2">
        <v>2.76</v>
      </c>
      <c r="C91">
        <v>2.82</v>
      </c>
      <c r="D91">
        <v>2.83</v>
      </c>
      <c r="E91">
        <v>2.73</v>
      </c>
      <c r="F91" t="s">
        <v>230</v>
      </c>
      <c r="G91" t="s">
        <v>54</v>
      </c>
      <c r="H91">
        <f>LN(Table2[[#This Row],[Price]]/B90)</f>
        <v>-1.795380361659582E-2</v>
      </c>
    </row>
    <row r="92" spans="1:8" x14ac:dyDescent="0.3">
      <c r="A92" s="1">
        <v>45722</v>
      </c>
      <c r="B92" s="2">
        <v>2.83</v>
      </c>
      <c r="C92">
        <v>2.76</v>
      </c>
      <c r="D92">
        <v>2.84</v>
      </c>
      <c r="E92">
        <v>2.71</v>
      </c>
      <c r="F92" t="s">
        <v>231</v>
      </c>
      <c r="G92" t="s">
        <v>232</v>
      </c>
      <c r="H92">
        <f>LN(Table2[[#This Row],[Price]]/B91)</f>
        <v>2.5046031926087734E-2</v>
      </c>
    </row>
    <row r="93" spans="1:8" x14ac:dyDescent="0.3">
      <c r="A93" s="1">
        <v>45753</v>
      </c>
      <c r="B93" s="2">
        <v>2.79</v>
      </c>
      <c r="C93">
        <v>2.89</v>
      </c>
      <c r="D93">
        <v>2.89</v>
      </c>
      <c r="E93">
        <v>2.76</v>
      </c>
      <c r="F93" t="s">
        <v>233</v>
      </c>
      <c r="G93" t="s">
        <v>234</v>
      </c>
      <c r="H93">
        <f>LN(Table2[[#This Row],[Price]]/B92)</f>
        <v>-1.4235115821871985E-2</v>
      </c>
    </row>
    <row r="94" spans="1:8" x14ac:dyDescent="0.3">
      <c r="A94" s="1">
        <v>45783</v>
      </c>
      <c r="B94" s="2">
        <v>2.74</v>
      </c>
      <c r="C94">
        <v>2.7</v>
      </c>
      <c r="D94">
        <v>2.78</v>
      </c>
      <c r="E94">
        <v>2.7</v>
      </c>
      <c r="F94" t="s">
        <v>235</v>
      </c>
      <c r="G94" t="s">
        <v>236</v>
      </c>
      <c r="H94">
        <f>LN(Table2[[#This Row],[Price]]/B93)</f>
        <v>-1.8083675433295351E-2</v>
      </c>
    </row>
    <row r="95" spans="1:8" x14ac:dyDescent="0.3">
      <c r="A95" s="1">
        <v>45936</v>
      </c>
      <c r="B95" s="2">
        <v>2.87</v>
      </c>
      <c r="C95">
        <v>2.75</v>
      </c>
      <c r="D95">
        <v>2.95</v>
      </c>
      <c r="E95">
        <v>2.74</v>
      </c>
      <c r="F95" t="s">
        <v>237</v>
      </c>
      <c r="G95" t="s">
        <v>238</v>
      </c>
      <c r="H95">
        <f>LN(Table2[[#This Row],[Price]]/B94)</f>
        <v>4.6354109371550774E-2</v>
      </c>
    </row>
    <row r="96" spans="1:8" x14ac:dyDescent="0.3">
      <c r="A96" s="1">
        <v>45967</v>
      </c>
      <c r="B96" s="2">
        <v>2.83</v>
      </c>
      <c r="C96">
        <v>2.9</v>
      </c>
      <c r="D96">
        <v>2.91</v>
      </c>
      <c r="E96">
        <v>2.82</v>
      </c>
      <c r="F96" t="s">
        <v>239</v>
      </c>
      <c r="G96" t="s">
        <v>240</v>
      </c>
      <c r="H96">
        <f>LN(Table2[[#This Row],[Price]]/B95)</f>
        <v>-1.4035318116383481E-2</v>
      </c>
    </row>
  </sheetData>
  <mergeCells count="5">
    <mergeCell ref="K2:L2"/>
    <mergeCell ref="K27:L27"/>
    <mergeCell ref="K35:M35"/>
    <mergeCell ref="K37:K39"/>
    <mergeCell ref="K43:K4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Fajrul Falla Kamal Musthofa</dc:creator>
  <cp:lastModifiedBy>Fajrul Falla Kamal Musthofa</cp:lastModifiedBy>
  <dcterms:created xsi:type="dcterms:W3CDTF">2025-10-17T03:03:35Z</dcterms:created>
  <dcterms:modified xsi:type="dcterms:W3CDTF">2025-10-17T06:39:12Z</dcterms:modified>
</cp:coreProperties>
</file>