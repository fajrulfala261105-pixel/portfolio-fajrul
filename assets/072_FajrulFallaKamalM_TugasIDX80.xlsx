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rul123\Documents\SMT 6\optim\"/>
    </mc:Choice>
  </mc:AlternateContent>
  <xr:revisionPtr revIDLastSave="0" documentId="13_ncr:1_{909961A8-7B81-4B03-B024-A354972EC64B}" xr6:coauthVersionLast="47" xr6:coauthVersionMax="47" xr10:uidLastSave="{00000000-0000-0000-0000-000000000000}"/>
  <bookViews>
    <workbookView xWindow="-108" yWindow="-108" windowWidth="23256" windowHeight="12456" activeTab="2" xr2:uid="{711600E1-CDAC-4D39-8A6D-F19282290E23}"/>
  </bookViews>
  <sheets>
    <sheet name="Data Saham" sheetId="1" r:id="rId1"/>
    <sheet name="Return" sheetId="2" r:id="rId2"/>
    <sheet name="Korelasi" sheetId="3" r:id="rId3"/>
    <sheet name="Return Estimasi" sheetId="6" r:id="rId4"/>
    <sheet name="Residual" sheetId="8" r:id="rId5"/>
    <sheet name="Uji Asumsi" sheetId="9" r:id="rId6"/>
    <sheet name="Bi rate" sheetId="10" r:id="rId7"/>
    <sheet name="Perhitungan" sheetId="5" r:id="rId8"/>
    <sheet name="Indeks Sharpe"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9" l="1"/>
  <c r="E4" i="9"/>
  <c r="F4" i="9"/>
  <c r="G4" i="9"/>
  <c r="H4" i="9"/>
  <c r="I4" i="9"/>
  <c r="J4" i="9"/>
  <c r="K4" i="9"/>
  <c r="L4" i="9"/>
  <c r="M4" i="9"/>
  <c r="N4" i="9"/>
  <c r="O4" i="9"/>
  <c r="P4" i="9"/>
  <c r="Q4" i="9"/>
  <c r="R4" i="9"/>
  <c r="S4" i="9"/>
  <c r="T4" i="9"/>
  <c r="U4" i="9"/>
  <c r="V4" i="9"/>
  <c r="W4" i="9"/>
  <c r="X4" i="9"/>
  <c r="Y4" i="9"/>
  <c r="Z4" i="9"/>
  <c r="AA4" i="9"/>
  <c r="AB4" i="9"/>
  <c r="AC4" i="9"/>
  <c r="AD4" i="9"/>
  <c r="AE4" i="9"/>
  <c r="AF4" i="9"/>
  <c r="C4" i="9"/>
  <c r="N7" i="12"/>
  <c r="N6"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3" i="12"/>
  <c r="N5"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3" i="12"/>
  <c r="B23" i="5"/>
  <c r="C22" i="5"/>
  <c r="D22" i="5"/>
  <c r="E22" i="5"/>
  <c r="F22" i="5"/>
  <c r="G22" i="5"/>
  <c r="H22" i="5"/>
  <c r="I22" i="5"/>
  <c r="B22" i="5"/>
  <c r="C21" i="5"/>
  <c r="D21" i="5"/>
  <c r="E21" i="5"/>
  <c r="F21" i="5"/>
  <c r="G21" i="5"/>
  <c r="H21" i="5"/>
  <c r="I21" i="5"/>
  <c r="B21" i="5"/>
  <c r="I20" i="5"/>
  <c r="B19" i="5"/>
  <c r="C19" i="5"/>
  <c r="D19" i="5"/>
  <c r="E19" i="5"/>
  <c r="F19" i="5"/>
  <c r="G19" i="5"/>
  <c r="H19" i="5"/>
  <c r="I19" i="5"/>
  <c r="J19" i="5"/>
  <c r="K19" i="5"/>
  <c r="L19" i="5"/>
  <c r="M19" i="5"/>
  <c r="N19" i="5"/>
  <c r="O19" i="5"/>
  <c r="P19" i="5"/>
  <c r="Q19" i="5"/>
  <c r="R19" i="5"/>
  <c r="S19" i="5"/>
  <c r="T19" i="5"/>
  <c r="U19" i="5"/>
  <c r="V19" i="5"/>
  <c r="W19" i="5"/>
  <c r="X19" i="5"/>
  <c r="Y19" i="5"/>
  <c r="Z19" i="5"/>
  <c r="AA19" i="5"/>
  <c r="AB19" i="5"/>
  <c r="AC19" i="5"/>
  <c r="AD19" i="5"/>
  <c r="AE19" i="5"/>
  <c r="C18" i="5"/>
  <c r="D18" i="5"/>
  <c r="E18" i="5"/>
  <c r="F18" i="5"/>
  <c r="G18" i="5"/>
  <c r="H18" i="5"/>
  <c r="I18" i="5"/>
  <c r="J18" i="5"/>
  <c r="K18" i="5"/>
  <c r="L18" i="5"/>
  <c r="M18" i="5"/>
  <c r="N18" i="5"/>
  <c r="O18" i="5"/>
  <c r="P18" i="5"/>
  <c r="Q18" i="5"/>
  <c r="R18" i="5"/>
  <c r="S18" i="5"/>
  <c r="T18" i="5"/>
  <c r="U18" i="5"/>
  <c r="V18" i="5"/>
  <c r="W18" i="5"/>
  <c r="X18" i="5"/>
  <c r="Y18" i="5"/>
  <c r="Z18" i="5"/>
  <c r="AA18" i="5"/>
  <c r="AB18" i="5"/>
  <c r="AC18" i="5"/>
  <c r="AD18" i="5"/>
  <c r="AE18" i="5"/>
  <c r="B18" i="5"/>
  <c r="D17" i="5"/>
  <c r="E17" i="5"/>
  <c r="F17" i="5"/>
  <c r="G17" i="5"/>
  <c r="H17" i="5"/>
  <c r="I17" i="5"/>
  <c r="J17" i="5"/>
  <c r="K17" i="5"/>
  <c r="L17" i="5"/>
  <c r="M17" i="5"/>
  <c r="N17" i="5"/>
  <c r="O17" i="5"/>
  <c r="P17" i="5"/>
  <c r="Q17" i="5"/>
  <c r="R17" i="5"/>
  <c r="S17" i="5"/>
  <c r="T17" i="5" s="1"/>
  <c r="U17" i="5" s="1"/>
  <c r="V17" i="5" s="1"/>
  <c r="W17" i="5" s="1"/>
  <c r="X17" i="5" s="1"/>
  <c r="Y17" i="5" s="1"/>
  <c r="Z17" i="5" s="1"/>
  <c r="AA17" i="5" s="1"/>
  <c r="AB17" i="5" s="1"/>
  <c r="AC17" i="5" s="1"/>
  <c r="AD17" i="5" s="1"/>
  <c r="AE17" i="5" s="1"/>
  <c r="C17" i="5"/>
  <c r="B17" i="5"/>
  <c r="E16" i="5"/>
  <c r="F16" i="5"/>
  <c r="G16" i="5"/>
  <c r="H16" i="5" s="1"/>
  <c r="I16" i="5" s="1"/>
  <c r="J16" i="5" s="1"/>
  <c r="K16" i="5" s="1"/>
  <c r="L16" i="5" s="1"/>
  <c r="M16" i="5" s="1"/>
  <c r="N16" i="5" s="1"/>
  <c r="O16" i="5" s="1"/>
  <c r="P16" i="5" s="1"/>
  <c r="Q16" i="5" s="1"/>
  <c r="R16" i="5" s="1"/>
  <c r="S16" i="5" s="1"/>
  <c r="T16" i="5" s="1"/>
  <c r="U16" i="5" s="1"/>
  <c r="V16" i="5" s="1"/>
  <c r="W16" i="5" s="1"/>
  <c r="X16" i="5" s="1"/>
  <c r="Y16" i="5" s="1"/>
  <c r="Z16" i="5" s="1"/>
  <c r="AA16" i="5" s="1"/>
  <c r="AB16" i="5" s="1"/>
  <c r="AC16" i="5" s="1"/>
  <c r="AD16" i="5" s="1"/>
  <c r="AE16" i="5" s="1"/>
  <c r="D16" i="5"/>
  <c r="C16" i="5"/>
  <c r="B16"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B15" i="5"/>
  <c r="C14" i="5"/>
  <c r="D14" i="5"/>
  <c r="E14" i="5"/>
  <c r="F14" i="5"/>
  <c r="G14" i="5"/>
  <c r="H14" i="5"/>
  <c r="I14" i="5"/>
  <c r="J14" i="5"/>
  <c r="K14" i="5"/>
  <c r="L14" i="5"/>
  <c r="M14" i="5"/>
  <c r="N14" i="5"/>
  <c r="O14" i="5"/>
  <c r="P14" i="5"/>
  <c r="Q14" i="5"/>
  <c r="R14" i="5"/>
  <c r="S14" i="5"/>
  <c r="T14" i="5"/>
  <c r="U14" i="5"/>
  <c r="V14" i="5"/>
  <c r="W14" i="5"/>
  <c r="X14" i="5"/>
  <c r="Y14" i="5"/>
  <c r="Z14" i="5"/>
  <c r="AA14" i="5"/>
  <c r="AB14" i="5"/>
  <c r="AC14" i="5"/>
  <c r="AD14" i="5"/>
  <c r="AE14" i="5"/>
  <c r="B14" i="5"/>
  <c r="J7" i="5"/>
  <c r="C6" i="5"/>
  <c r="D6" i="5"/>
  <c r="E6" i="5"/>
  <c r="F6" i="5"/>
  <c r="G6" i="5"/>
  <c r="H6" i="5"/>
  <c r="I6" i="5"/>
  <c r="J6" i="5"/>
  <c r="K6" i="5"/>
  <c r="L6" i="5"/>
  <c r="M6" i="5"/>
  <c r="N6" i="5"/>
  <c r="O6" i="5"/>
  <c r="P6" i="5"/>
  <c r="Q6" i="5"/>
  <c r="R6" i="5"/>
  <c r="S6" i="5"/>
  <c r="T6" i="5"/>
  <c r="U6" i="5"/>
  <c r="V6" i="5"/>
  <c r="W6" i="5"/>
  <c r="X6" i="5"/>
  <c r="Y6" i="5"/>
  <c r="Z6" i="5"/>
  <c r="AA6" i="5"/>
  <c r="AB6" i="5"/>
  <c r="AC6" i="5"/>
  <c r="AD6" i="5"/>
  <c r="AE6" i="5"/>
  <c r="B6" i="5"/>
  <c r="G1" i="10"/>
  <c r="F1" i="10"/>
  <c r="B236" i="8" l="1"/>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E4" i="6" l="1"/>
  <c r="E4" i="8" s="1"/>
  <c r="F4" i="6"/>
  <c r="F4" i="8" s="1"/>
  <c r="G4" i="6"/>
  <c r="G4" i="8" s="1"/>
  <c r="H4" i="6"/>
  <c r="H4" i="8" s="1"/>
  <c r="I4" i="6"/>
  <c r="I4" i="8" s="1"/>
  <c r="J4" i="6"/>
  <c r="J4" i="8" s="1"/>
  <c r="K4" i="6"/>
  <c r="K4" i="8" s="1"/>
  <c r="L4" i="6"/>
  <c r="L4" i="8" s="1"/>
  <c r="M4" i="6"/>
  <c r="M4" i="8" s="1"/>
  <c r="N4" i="6"/>
  <c r="N4" i="8" s="1"/>
  <c r="O4" i="6"/>
  <c r="O4" i="8" s="1"/>
  <c r="P4" i="6"/>
  <c r="P4" i="8" s="1"/>
  <c r="Q4" i="6"/>
  <c r="Q4" i="8" s="1"/>
  <c r="R4" i="6"/>
  <c r="R4" i="8" s="1"/>
  <c r="S4" i="6"/>
  <c r="S4" i="8" s="1"/>
  <c r="T4" i="6"/>
  <c r="T4" i="8" s="1"/>
  <c r="U4" i="6"/>
  <c r="U4" i="8" s="1"/>
  <c r="V4" i="6"/>
  <c r="V4" i="8" s="1"/>
  <c r="W4" i="6"/>
  <c r="W4" i="8" s="1"/>
  <c r="X4" i="6"/>
  <c r="X4" i="8" s="1"/>
  <c r="Y4" i="6"/>
  <c r="Y4" i="8" s="1"/>
  <c r="Z4" i="6"/>
  <c r="Z4" i="8" s="1"/>
  <c r="AA4" i="6"/>
  <c r="AA4" i="8" s="1"/>
  <c r="AB4" i="6"/>
  <c r="AB4" i="8" s="1"/>
  <c r="AC4" i="6"/>
  <c r="AC4" i="8" s="1"/>
  <c r="AD4" i="6"/>
  <c r="AD4" i="8" s="1"/>
  <c r="AE4" i="6"/>
  <c r="AE4" i="8" s="1"/>
  <c r="AF4" i="6"/>
  <c r="AF4" i="8" s="1"/>
  <c r="E5" i="6"/>
  <c r="E5" i="8" s="1"/>
  <c r="F5" i="6"/>
  <c r="F5" i="8" s="1"/>
  <c r="G5" i="6"/>
  <c r="G5" i="8" s="1"/>
  <c r="H5" i="6"/>
  <c r="H5" i="8" s="1"/>
  <c r="I5" i="6"/>
  <c r="I5" i="8" s="1"/>
  <c r="J5" i="6"/>
  <c r="J5" i="8" s="1"/>
  <c r="K5" i="6"/>
  <c r="K5" i="8" s="1"/>
  <c r="L5" i="6"/>
  <c r="L5" i="8" s="1"/>
  <c r="M5" i="6"/>
  <c r="M5" i="8" s="1"/>
  <c r="N5" i="6"/>
  <c r="N5" i="8" s="1"/>
  <c r="O5" i="6"/>
  <c r="O5" i="8" s="1"/>
  <c r="P5" i="6"/>
  <c r="P5" i="8" s="1"/>
  <c r="Q5" i="6"/>
  <c r="Q5" i="8" s="1"/>
  <c r="R5" i="6"/>
  <c r="R5" i="8" s="1"/>
  <c r="S5" i="6"/>
  <c r="S5" i="8" s="1"/>
  <c r="T5" i="6"/>
  <c r="T5" i="8" s="1"/>
  <c r="U5" i="6"/>
  <c r="U5" i="8" s="1"/>
  <c r="V5" i="6"/>
  <c r="V5" i="8" s="1"/>
  <c r="W5" i="6"/>
  <c r="W5" i="8" s="1"/>
  <c r="X5" i="6"/>
  <c r="X5" i="8" s="1"/>
  <c r="Y5" i="6"/>
  <c r="Y5" i="8" s="1"/>
  <c r="Z5" i="6"/>
  <c r="Z5" i="8" s="1"/>
  <c r="AA5" i="6"/>
  <c r="AA5" i="8" s="1"/>
  <c r="AB5" i="6"/>
  <c r="AB5" i="8" s="1"/>
  <c r="AC5" i="6"/>
  <c r="AC5" i="8" s="1"/>
  <c r="AD5" i="6"/>
  <c r="AD5" i="8" s="1"/>
  <c r="AE5" i="6"/>
  <c r="AE5" i="8" s="1"/>
  <c r="AF5" i="6"/>
  <c r="AF5" i="8" s="1"/>
  <c r="E6" i="6"/>
  <c r="E6" i="8" s="1"/>
  <c r="F6" i="6"/>
  <c r="F6" i="8" s="1"/>
  <c r="G6" i="6"/>
  <c r="G6" i="8" s="1"/>
  <c r="H6" i="6"/>
  <c r="H6" i="8" s="1"/>
  <c r="I6" i="6"/>
  <c r="I6" i="8" s="1"/>
  <c r="J6" i="6"/>
  <c r="J6" i="8" s="1"/>
  <c r="K6" i="6"/>
  <c r="K6" i="8" s="1"/>
  <c r="L6" i="6"/>
  <c r="L6" i="8" s="1"/>
  <c r="M6" i="6"/>
  <c r="M6" i="8" s="1"/>
  <c r="N6" i="6"/>
  <c r="N6" i="8" s="1"/>
  <c r="O6" i="6"/>
  <c r="O6" i="8" s="1"/>
  <c r="P6" i="6"/>
  <c r="P6" i="8" s="1"/>
  <c r="Q6" i="6"/>
  <c r="Q6" i="8" s="1"/>
  <c r="R6" i="6"/>
  <c r="R6" i="8" s="1"/>
  <c r="S6" i="6"/>
  <c r="S6" i="8" s="1"/>
  <c r="T6" i="6"/>
  <c r="T6" i="8" s="1"/>
  <c r="U6" i="6"/>
  <c r="U6" i="8" s="1"/>
  <c r="V6" i="6"/>
  <c r="V6" i="8" s="1"/>
  <c r="W6" i="6"/>
  <c r="W6" i="8" s="1"/>
  <c r="X6" i="6"/>
  <c r="X6" i="8" s="1"/>
  <c r="Y6" i="6"/>
  <c r="Y6" i="8" s="1"/>
  <c r="Z6" i="6"/>
  <c r="Z6" i="8" s="1"/>
  <c r="AA6" i="6"/>
  <c r="AA6" i="8" s="1"/>
  <c r="AB6" i="6"/>
  <c r="AB6" i="8" s="1"/>
  <c r="AC6" i="6"/>
  <c r="AC6" i="8" s="1"/>
  <c r="AD6" i="6"/>
  <c r="AD6" i="8" s="1"/>
  <c r="AE6" i="6"/>
  <c r="AE6" i="8" s="1"/>
  <c r="AF6" i="6"/>
  <c r="AF6" i="8" s="1"/>
  <c r="E7" i="6"/>
  <c r="E7" i="8" s="1"/>
  <c r="F7" i="6"/>
  <c r="F7" i="8" s="1"/>
  <c r="G7" i="6"/>
  <c r="G7" i="8" s="1"/>
  <c r="H7" i="6"/>
  <c r="H7" i="8" s="1"/>
  <c r="I7" i="6"/>
  <c r="I7" i="8" s="1"/>
  <c r="J7" i="6"/>
  <c r="J7" i="8" s="1"/>
  <c r="K7" i="6"/>
  <c r="K7" i="8" s="1"/>
  <c r="L7" i="6"/>
  <c r="L7" i="8" s="1"/>
  <c r="M7" i="6"/>
  <c r="M7" i="8" s="1"/>
  <c r="N7" i="6"/>
  <c r="N7" i="8" s="1"/>
  <c r="O7" i="6"/>
  <c r="O7" i="8" s="1"/>
  <c r="P7" i="6"/>
  <c r="P7" i="8" s="1"/>
  <c r="Q7" i="6"/>
  <c r="Q7" i="8" s="1"/>
  <c r="R7" i="6"/>
  <c r="R7" i="8" s="1"/>
  <c r="S7" i="6"/>
  <c r="S7" i="8" s="1"/>
  <c r="T7" i="6"/>
  <c r="T7" i="8" s="1"/>
  <c r="U7" i="6"/>
  <c r="U7" i="8" s="1"/>
  <c r="V7" i="6"/>
  <c r="V7" i="8" s="1"/>
  <c r="W7" i="6"/>
  <c r="W7" i="8" s="1"/>
  <c r="X7" i="6"/>
  <c r="X7" i="8" s="1"/>
  <c r="Y7" i="6"/>
  <c r="Y7" i="8" s="1"/>
  <c r="Z7" i="6"/>
  <c r="Z7" i="8" s="1"/>
  <c r="AA7" i="6"/>
  <c r="AA7" i="8" s="1"/>
  <c r="AB7" i="6"/>
  <c r="AB7" i="8" s="1"/>
  <c r="AC7" i="6"/>
  <c r="AC7" i="8" s="1"/>
  <c r="AD7" i="6"/>
  <c r="AD7" i="8" s="1"/>
  <c r="AE7" i="6"/>
  <c r="AE7" i="8" s="1"/>
  <c r="AF7" i="6"/>
  <c r="AF7" i="8" s="1"/>
  <c r="E8" i="6"/>
  <c r="E8" i="8" s="1"/>
  <c r="F8" i="6"/>
  <c r="F8" i="8" s="1"/>
  <c r="G8" i="6"/>
  <c r="G8" i="8" s="1"/>
  <c r="H8" i="6"/>
  <c r="H8" i="8" s="1"/>
  <c r="I8" i="6"/>
  <c r="I8" i="8" s="1"/>
  <c r="J8" i="6"/>
  <c r="J8" i="8" s="1"/>
  <c r="K8" i="6"/>
  <c r="K8" i="8" s="1"/>
  <c r="L8" i="6"/>
  <c r="L8" i="8" s="1"/>
  <c r="M8" i="6"/>
  <c r="M8" i="8" s="1"/>
  <c r="N8" i="6"/>
  <c r="N8" i="8" s="1"/>
  <c r="O8" i="6"/>
  <c r="O8" i="8" s="1"/>
  <c r="P8" i="6"/>
  <c r="P8" i="8" s="1"/>
  <c r="Q8" i="6"/>
  <c r="Q8" i="8" s="1"/>
  <c r="R8" i="6"/>
  <c r="R8" i="8" s="1"/>
  <c r="S8" i="6"/>
  <c r="S8" i="8" s="1"/>
  <c r="T8" i="6"/>
  <c r="T8" i="8" s="1"/>
  <c r="U8" i="6"/>
  <c r="U8" i="8" s="1"/>
  <c r="V8" i="6"/>
  <c r="V8" i="8" s="1"/>
  <c r="W8" i="6"/>
  <c r="W8" i="8" s="1"/>
  <c r="X8" i="6"/>
  <c r="X8" i="8" s="1"/>
  <c r="Y8" i="6"/>
  <c r="Y8" i="8" s="1"/>
  <c r="Z8" i="6"/>
  <c r="Z8" i="8" s="1"/>
  <c r="AA8" i="6"/>
  <c r="AA8" i="8" s="1"/>
  <c r="AB8" i="6"/>
  <c r="AB8" i="8" s="1"/>
  <c r="AC8" i="6"/>
  <c r="AC8" i="8" s="1"/>
  <c r="AD8" i="6"/>
  <c r="AD8" i="8" s="1"/>
  <c r="AE8" i="6"/>
  <c r="AE8" i="8" s="1"/>
  <c r="AF8" i="6"/>
  <c r="AF8" i="8" s="1"/>
  <c r="E9" i="6"/>
  <c r="E9" i="8" s="1"/>
  <c r="F9" i="6"/>
  <c r="F9" i="8" s="1"/>
  <c r="G9" i="6"/>
  <c r="G9" i="8" s="1"/>
  <c r="H9" i="6"/>
  <c r="H9" i="8" s="1"/>
  <c r="I9" i="6"/>
  <c r="I9" i="8" s="1"/>
  <c r="J9" i="6"/>
  <c r="J9" i="8" s="1"/>
  <c r="K9" i="6"/>
  <c r="K9" i="8" s="1"/>
  <c r="L9" i="6"/>
  <c r="L9" i="8" s="1"/>
  <c r="M9" i="6"/>
  <c r="M9" i="8" s="1"/>
  <c r="N9" i="6"/>
  <c r="N9" i="8" s="1"/>
  <c r="O9" i="6"/>
  <c r="O9" i="8" s="1"/>
  <c r="P9" i="6"/>
  <c r="P9" i="8" s="1"/>
  <c r="Q9" i="6"/>
  <c r="Q9" i="8" s="1"/>
  <c r="R9" i="6"/>
  <c r="R9" i="8" s="1"/>
  <c r="S9" i="6"/>
  <c r="S9" i="8" s="1"/>
  <c r="T9" i="6"/>
  <c r="T9" i="8" s="1"/>
  <c r="U9" i="6"/>
  <c r="U9" i="8" s="1"/>
  <c r="V9" i="6"/>
  <c r="V9" i="8" s="1"/>
  <c r="W9" i="6"/>
  <c r="W9" i="8" s="1"/>
  <c r="X9" i="6"/>
  <c r="X9" i="8" s="1"/>
  <c r="Y9" i="6"/>
  <c r="Y9" i="8" s="1"/>
  <c r="Z9" i="6"/>
  <c r="Z9" i="8" s="1"/>
  <c r="AA9" i="6"/>
  <c r="AA9" i="8" s="1"/>
  <c r="AB9" i="6"/>
  <c r="AB9" i="8" s="1"/>
  <c r="AC9" i="6"/>
  <c r="AC9" i="8" s="1"/>
  <c r="AD9" i="6"/>
  <c r="AD9" i="8" s="1"/>
  <c r="AE9" i="6"/>
  <c r="AE9" i="8" s="1"/>
  <c r="AF9" i="6"/>
  <c r="AF9" i="8" s="1"/>
  <c r="E10" i="6"/>
  <c r="E10" i="8" s="1"/>
  <c r="F10" i="6"/>
  <c r="F10" i="8" s="1"/>
  <c r="G10" i="6"/>
  <c r="G10" i="8" s="1"/>
  <c r="H10" i="6"/>
  <c r="H10" i="8" s="1"/>
  <c r="I10" i="6"/>
  <c r="I10" i="8" s="1"/>
  <c r="J10" i="6"/>
  <c r="J10" i="8" s="1"/>
  <c r="K10" i="6"/>
  <c r="K10" i="8" s="1"/>
  <c r="L10" i="6"/>
  <c r="L10" i="8" s="1"/>
  <c r="M10" i="6"/>
  <c r="M10" i="8" s="1"/>
  <c r="N10" i="6"/>
  <c r="N10" i="8" s="1"/>
  <c r="O10" i="6"/>
  <c r="O10" i="8" s="1"/>
  <c r="P10" i="6"/>
  <c r="P10" i="8" s="1"/>
  <c r="Q10" i="6"/>
  <c r="Q10" i="8" s="1"/>
  <c r="R10" i="6"/>
  <c r="R10" i="8" s="1"/>
  <c r="S10" i="6"/>
  <c r="S10" i="8" s="1"/>
  <c r="T10" i="6"/>
  <c r="T10" i="8" s="1"/>
  <c r="U10" i="6"/>
  <c r="U10" i="8" s="1"/>
  <c r="V10" i="6"/>
  <c r="V10" i="8" s="1"/>
  <c r="W10" i="6"/>
  <c r="W10" i="8" s="1"/>
  <c r="X10" i="6"/>
  <c r="X10" i="8" s="1"/>
  <c r="Y10" i="6"/>
  <c r="Y10" i="8" s="1"/>
  <c r="Z10" i="6"/>
  <c r="Z10" i="8" s="1"/>
  <c r="AA10" i="6"/>
  <c r="AA10" i="8" s="1"/>
  <c r="AB10" i="6"/>
  <c r="AB10" i="8" s="1"/>
  <c r="AC10" i="6"/>
  <c r="AC10" i="8" s="1"/>
  <c r="AD10" i="6"/>
  <c r="AD10" i="8" s="1"/>
  <c r="AE10" i="6"/>
  <c r="AE10" i="8" s="1"/>
  <c r="AF10" i="6"/>
  <c r="AF10" i="8" s="1"/>
  <c r="E11" i="6"/>
  <c r="E11" i="8" s="1"/>
  <c r="F11" i="6"/>
  <c r="F11" i="8" s="1"/>
  <c r="G11" i="6"/>
  <c r="G11" i="8" s="1"/>
  <c r="H11" i="6"/>
  <c r="H11" i="8" s="1"/>
  <c r="I11" i="6"/>
  <c r="I11" i="8" s="1"/>
  <c r="J11" i="6"/>
  <c r="J11" i="8" s="1"/>
  <c r="K11" i="6"/>
  <c r="K11" i="8" s="1"/>
  <c r="L11" i="6"/>
  <c r="L11" i="8" s="1"/>
  <c r="M11" i="6"/>
  <c r="M11" i="8" s="1"/>
  <c r="N11" i="6"/>
  <c r="N11" i="8" s="1"/>
  <c r="O11" i="6"/>
  <c r="O11" i="8" s="1"/>
  <c r="P11" i="6"/>
  <c r="P11" i="8" s="1"/>
  <c r="Q11" i="6"/>
  <c r="Q11" i="8" s="1"/>
  <c r="R11" i="6"/>
  <c r="R11" i="8" s="1"/>
  <c r="S11" i="6"/>
  <c r="S11" i="8" s="1"/>
  <c r="T11" i="6"/>
  <c r="T11" i="8" s="1"/>
  <c r="U11" i="6"/>
  <c r="U11" i="8" s="1"/>
  <c r="V11" i="6"/>
  <c r="V11" i="8" s="1"/>
  <c r="W11" i="6"/>
  <c r="W11" i="8" s="1"/>
  <c r="X11" i="6"/>
  <c r="X11" i="8" s="1"/>
  <c r="Y11" i="6"/>
  <c r="Y11" i="8" s="1"/>
  <c r="Z11" i="6"/>
  <c r="Z11" i="8" s="1"/>
  <c r="AA11" i="6"/>
  <c r="AA11" i="8" s="1"/>
  <c r="AB11" i="6"/>
  <c r="AB11" i="8" s="1"/>
  <c r="AC11" i="6"/>
  <c r="AC11" i="8" s="1"/>
  <c r="AD11" i="6"/>
  <c r="AD11" i="8" s="1"/>
  <c r="AE11" i="6"/>
  <c r="AE11" i="8" s="1"/>
  <c r="AF11" i="6"/>
  <c r="AF11" i="8" s="1"/>
  <c r="E12" i="6"/>
  <c r="E12" i="8" s="1"/>
  <c r="F12" i="6"/>
  <c r="F12" i="8" s="1"/>
  <c r="G12" i="6"/>
  <c r="G12" i="8" s="1"/>
  <c r="H12" i="6"/>
  <c r="H12" i="8" s="1"/>
  <c r="I12" i="6"/>
  <c r="I12" i="8" s="1"/>
  <c r="J12" i="6"/>
  <c r="J12" i="8" s="1"/>
  <c r="K12" i="6"/>
  <c r="K12" i="8" s="1"/>
  <c r="L12" i="6"/>
  <c r="L12" i="8" s="1"/>
  <c r="M12" i="6"/>
  <c r="M12" i="8" s="1"/>
  <c r="N12" i="6"/>
  <c r="N12" i="8" s="1"/>
  <c r="O12" i="6"/>
  <c r="O12" i="8" s="1"/>
  <c r="P12" i="6"/>
  <c r="P12" i="8" s="1"/>
  <c r="Q12" i="6"/>
  <c r="Q12" i="8" s="1"/>
  <c r="R12" i="6"/>
  <c r="R12" i="8" s="1"/>
  <c r="S12" i="6"/>
  <c r="S12" i="8" s="1"/>
  <c r="T12" i="6"/>
  <c r="T12" i="8" s="1"/>
  <c r="U12" i="6"/>
  <c r="U12" i="8" s="1"/>
  <c r="V12" i="6"/>
  <c r="V12" i="8" s="1"/>
  <c r="W12" i="6"/>
  <c r="W12" i="8" s="1"/>
  <c r="X12" i="6"/>
  <c r="X12" i="8" s="1"/>
  <c r="Y12" i="6"/>
  <c r="Y12" i="8" s="1"/>
  <c r="Z12" i="6"/>
  <c r="Z12" i="8" s="1"/>
  <c r="AA12" i="6"/>
  <c r="AA12" i="8" s="1"/>
  <c r="AB12" i="6"/>
  <c r="AB12" i="8" s="1"/>
  <c r="AC12" i="6"/>
  <c r="AC12" i="8" s="1"/>
  <c r="AD12" i="6"/>
  <c r="AD12" i="8" s="1"/>
  <c r="AE12" i="6"/>
  <c r="AE12" i="8" s="1"/>
  <c r="AF12" i="6"/>
  <c r="AF12" i="8" s="1"/>
  <c r="E13" i="6"/>
  <c r="E13" i="8" s="1"/>
  <c r="F13" i="6"/>
  <c r="F13" i="8" s="1"/>
  <c r="G13" i="6"/>
  <c r="G13" i="8" s="1"/>
  <c r="H13" i="6"/>
  <c r="H13" i="8" s="1"/>
  <c r="I13" i="6"/>
  <c r="I13" i="8" s="1"/>
  <c r="J13" i="6"/>
  <c r="J13" i="8" s="1"/>
  <c r="K13" i="6"/>
  <c r="K13" i="8" s="1"/>
  <c r="L13" i="6"/>
  <c r="L13" i="8" s="1"/>
  <c r="M13" i="6"/>
  <c r="M13" i="8" s="1"/>
  <c r="N13" i="6"/>
  <c r="N13" i="8" s="1"/>
  <c r="O13" i="6"/>
  <c r="O13" i="8" s="1"/>
  <c r="P13" i="6"/>
  <c r="P13" i="8" s="1"/>
  <c r="Q13" i="6"/>
  <c r="Q13" i="8" s="1"/>
  <c r="R13" i="6"/>
  <c r="R13" i="8" s="1"/>
  <c r="S13" i="6"/>
  <c r="S13" i="8" s="1"/>
  <c r="T13" i="6"/>
  <c r="T13" i="8" s="1"/>
  <c r="U13" i="6"/>
  <c r="U13" i="8" s="1"/>
  <c r="V13" i="6"/>
  <c r="V13" i="8" s="1"/>
  <c r="W13" i="6"/>
  <c r="W13" i="8" s="1"/>
  <c r="X13" i="6"/>
  <c r="X13" i="8" s="1"/>
  <c r="Y13" i="6"/>
  <c r="Y13" i="8" s="1"/>
  <c r="Z13" i="6"/>
  <c r="Z13" i="8" s="1"/>
  <c r="AA13" i="6"/>
  <c r="AA13" i="8" s="1"/>
  <c r="AB13" i="6"/>
  <c r="AB13" i="8" s="1"/>
  <c r="AC13" i="6"/>
  <c r="AC13" i="8" s="1"/>
  <c r="AD13" i="6"/>
  <c r="AD13" i="8" s="1"/>
  <c r="AE13" i="6"/>
  <c r="AE13" i="8" s="1"/>
  <c r="AF13" i="6"/>
  <c r="AF13" i="8" s="1"/>
  <c r="E14" i="6"/>
  <c r="E14" i="8" s="1"/>
  <c r="F14" i="6"/>
  <c r="F14" i="8" s="1"/>
  <c r="G14" i="6"/>
  <c r="G14" i="8" s="1"/>
  <c r="H14" i="6"/>
  <c r="H14" i="8" s="1"/>
  <c r="I14" i="6"/>
  <c r="I14" i="8" s="1"/>
  <c r="J14" i="6"/>
  <c r="J14" i="8" s="1"/>
  <c r="K14" i="6"/>
  <c r="K14" i="8" s="1"/>
  <c r="L14" i="6"/>
  <c r="L14" i="8" s="1"/>
  <c r="M14" i="6"/>
  <c r="M14" i="8" s="1"/>
  <c r="N14" i="6"/>
  <c r="N14" i="8" s="1"/>
  <c r="O14" i="6"/>
  <c r="O14" i="8" s="1"/>
  <c r="P14" i="6"/>
  <c r="P14" i="8" s="1"/>
  <c r="Q14" i="6"/>
  <c r="Q14" i="8" s="1"/>
  <c r="R14" i="6"/>
  <c r="R14" i="8" s="1"/>
  <c r="S14" i="6"/>
  <c r="S14" i="8" s="1"/>
  <c r="T14" i="6"/>
  <c r="T14" i="8" s="1"/>
  <c r="U14" i="6"/>
  <c r="U14" i="8" s="1"/>
  <c r="V14" i="6"/>
  <c r="V14" i="8" s="1"/>
  <c r="W14" i="6"/>
  <c r="W14" i="8" s="1"/>
  <c r="X14" i="6"/>
  <c r="X14" i="8" s="1"/>
  <c r="Y14" i="6"/>
  <c r="Y14" i="8" s="1"/>
  <c r="Z14" i="6"/>
  <c r="Z14" i="8" s="1"/>
  <c r="AA14" i="6"/>
  <c r="AA14" i="8" s="1"/>
  <c r="AB14" i="6"/>
  <c r="AB14" i="8" s="1"/>
  <c r="AC14" i="6"/>
  <c r="AC14" i="8" s="1"/>
  <c r="AD14" i="6"/>
  <c r="AD14" i="8" s="1"/>
  <c r="AE14" i="6"/>
  <c r="AE14" i="8" s="1"/>
  <c r="AF14" i="6"/>
  <c r="AF14" i="8" s="1"/>
  <c r="E15" i="6"/>
  <c r="E15" i="8" s="1"/>
  <c r="F15" i="6"/>
  <c r="F15" i="8" s="1"/>
  <c r="G15" i="6"/>
  <c r="G15" i="8" s="1"/>
  <c r="H15" i="6"/>
  <c r="H15" i="8" s="1"/>
  <c r="I15" i="6"/>
  <c r="I15" i="8" s="1"/>
  <c r="J15" i="6"/>
  <c r="J15" i="8" s="1"/>
  <c r="K15" i="6"/>
  <c r="K15" i="8" s="1"/>
  <c r="L15" i="6"/>
  <c r="L15" i="8" s="1"/>
  <c r="M15" i="6"/>
  <c r="M15" i="8" s="1"/>
  <c r="N15" i="6"/>
  <c r="N15" i="8" s="1"/>
  <c r="O15" i="6"/>
  <c r="O15" i="8" s="1"/>
  <c r="P15" i="6"/>
  <c r="P15" i="8" s="1"/>
  <c r="Q15" i="6"/>
  <c r="Q15" i="8" s="1"/>
  <c r="R15" i="6"/>
  <c r="R15" i="8" s="1"/>
  <c r="S15" i="6"/>
  <c r="S15" i="8" s="1"/>
  <c r="T15" i="6"/>
  <c r="T15" i="8" s="1"/>
  <c r="U15" i="6"/>
  <c r="U15" i="8" s="1"/>
  <c r="V15" i="6"/>
  <c r="V15" i="8" s="1"/>
  <c r="W15" i="6"/>
  <c r="W15" i="8" s="1"/>
  <c r="X15" i="6"/>
  <c r="X15" i="8" s="1"/>
  <c r="Y15" i="6"/>
  <c r="Y15" i="8" s="1"/>
  <c r="Z15" i="6"/>
  <c r="Z15" i="8" s="1"/>
  <c r="AA15" i="6"/>
  <c r="AA15" i="8" s="1"/>
  <c r="AB15" i="6"/>
  <c r="AB15" i="8" s="1"/>
  <c r="AC15" i="6"/>
  <c r="AC15" i="8" s="1"/>
  <c r="AD15" i="6"/>
  <c r="AD15" i="8" s="1"/>
  <c r="AE15" i="6"/>
  <c r="AE15" i="8" s="1"/>
  <c r="AF15" i="6"/>
  <c r="AF15" i="8" s="1"/>
  <c r="E16" i="6"/>
  <c r="E16" i="8" s="1"/>
  <c r="F16" i="6"/>
  <c r="F16" i="8" s="1"/>
  <c r="G16" i="6"/>
  <c r="G16" i="8" s="1"/>
  <c r="H16" i="6"/>
  <c r="H16" i="8" s="1"/>
  <c r="I16" i="6"/>
  <c r="I16" i="8" s="1"/>
  <c r="J16" i="6"/>
  <c r="J16" i="8" s="1"/>
  <c r="K16" i="6"/>
  <c r="K16" i="8" s="1"/>
  <c r="L16" i="6"/>
  <c r="L16" i="8" s="1"/>
  <c r="M16" i="6"/>
  <c r="M16" i="8" s="1"/>
  <c r="N16" i="6"/>
  <c r="N16" i="8" s="1"/>
  <c r="O16" i="6"/>
  <c r="O16" i="8" s="1"/>
  <c r="P16" i="6"/>
  <c r="P16" i="8" s="1"/>
  <c r="Q16" i="6"/>
  <c r="Q16" i="8" s="1"/>
  <c r="R16" i="6"/>
  <c r="R16" i="8" s="1"/>
  <c r="S16" i="6"/>
  <c r="S16" i="8" s="1"/>
  <c r="T16" i="6"/>
  <c r="T16" i="8" s="1"/>
  <c r="U16" i="6"/>
  <c r="U16" i="8" s="1"/>
  <c r="V16" i="6"/>
  <c r="V16" i="8" s="1"/>
  <c r="W16" i="6"/>
  <c r="W16" i="8" s="1"/>
  <c r="X16" i="6"/>
  <c r="X16" i="8" s="1"/>
  <c r="Y16" i="6"/>
  <c r="Y16" i="8" s="1"/>
  <c r="Z16" i="6"/>
  <c r="Z16" i="8" s="1"/>
  <c r="AA16" i="6"/>
  <c r="AA16" i="8" s="1"/>
  <c r="AB16" i="6"/>
  <c r="AB16" i="8" s="1"/>
  <c r="AC16" i="6"/>
  <c r="AC16" i="8" s="1"/>
  <c r="AD16" i="6"/>
  <c r="AD16" i="8" s="1"/>
  <c r="AE16" i="6"/>
  <c r="AE16" i="8" s="1"/>
  <c r="AF16" i="6"/>
  <c r="AF16" i="8" s="1"/>
  <c r="E17" i="6"/>
  <c r="E17" i="8" s="1"/>
  <c r="F17" i="6"/>
  <c r="F17" i="8" s="1"/>
  <c r="G17" i="6"/>
  <c r="G17" i="8" s="1"/>
  <c r="H17" i="6"/>
  <c r="H17" i="8" s="1"/>
  <c r="I17" i="6"/>
  <c r="I17" i="8" s="1"/>
  <c r="J17" i="6"/>
  <c r="J17" i="8" s="1"/>
  <c r="K17" i="6"/>
  <c r="K17" i="8" s="1"/>
  <c r="L17" i="6"/>
  <c r="L17" i="8" s="1"/>
  <c r="M17" i="6"/>
  <c r="M17" i="8" s="1"/>
  <c r="N17" i="6"/>
  <c r="N17" i="8" s="1"/>
  <c r="O17" i="6"/>
  <c r="O17" i="8" s="1"/>
  <c r="P17" i="6"/>
  <c r="P17" i="8" s="1"/>
  <c r="Q17" i="6"/>
  <c r="Q17" i="8" s="1"/>
  <c r="R17" i="6"/>
  <c r="R17" i="8" s="1"/>
  <c r="S17" i="6"/>
  <c r="S17" i="8" s="1"/>
  <c r="T17" i="6"/>
  <c r="T17" i="8" s="1"/>
  <c r="U17" i="6"/>
  <c r="U17" i="8" s="1"/>
  <c r="V17" i="6"/>
  <c r="V17" i="8" s="1"/>
  <c r="W17" i="6"/>
  <c r="W17" i="8" s="1"/>
  <c r="X17" i="6"/>
  <c r="X17" i="8" s="1"/>
  <c r="Y17" i="6"/>
  <c r="Y17" i="8" s="1"/>
  <c r="Z17" i="6"/>
  <c r="Z17" i="8" s="1"/>
  <c r="AA17" i="6"/>
  <c r="AA17" i="8" s="1"/>
  <c r="AB17" i="6"/>
  <c r="AB17" i="8" s="1"/>
  <c r="AC17" i="6"/>
  <c r="AC17" i="8" s="1"/>
  <c r="AD17" i="6"/>
  <c r="AD17" i="8" s="1"/>
  <c r="AE17" i="6"/>
  <c r="AE17" i="8" s="1"/>
  <c r="AF17" i="6"/>
  <c r="AF17" i="8" s="1"/>
  <c r="E18" i="6"/>
  <c r="E18" i="8" s="1"/>
  <c r="F18" i="6"/>
  <c r="F18" i="8" s="1"/>
  <c r="G18" i="6"/>
  <c r="G18" i="8" s="1"/>
  <c r="H18" i="6"/>
  <c r="H18" i="8" s="1"/>
  <c r="I18" i="6"/>
  <c r="I18" i="8" s="1"/>
  <c r="J18" i="6"/>
  <c r="J18" i="8" s="1"/>
  <c r="K18" i="6"/>
  <c r="K18" i="8" s="1"/>
  <c r="L18" i="6"/>
  <c r="L18" i="8" s="1"/>
  <c r="M18" i="6"/>
  <c r="M18" i="8" s="1"/>
  <c r="N18" i="6"/>
  <c r="N18" i="8" s="1"/>
  <c r="O18" i="6"/>
  <c r="O18" i="8" s="1"/>
  <c r="P18" i="6"/>
  <c r="P18" i="8" s="1"/>
  <c r="Q18" i="6"/>
  <c r="Q18" i="8" s="1"/>
  <c r="R18" i="6"/>
  <c r="R18" i="8" s="1"/>
  <c r="S18" i="6"/>
  <c r="S18" i="8" s="1"/>
  <c r="T18" i="6"/>
  <c r="T18" i="8" s="1"/>
  <c r="U18" i="6"/>
  <c r="U18" i="8" s="1"/>
  <c r="V18" i="6"/>
  <c r="V18" i="8" s="1"/>
  <c r="W18" i="6"/>
  <c r="W18" i="8" s="1"/>
  <c r="X18" i="6"/>
  <c r="X18" i="8" s="1"/>
  <c r="Y18" i="6"/>
  <c r="Y18" i="8" s="1"/>
  <c r="Z18" i="6"/>
  <c r="Z18" i="8" s="1"/>
  <c r="AA18" i="6"/>
  <c r="AA18" i="8" s="1"/>
  <c r="AB18" i="6"/>
  <c r="AB18" i="8" s="1"/>
  <c r="AC18" i="6"/>
  <c r="AC18" i="8" s="1"/>
  <c r="AD18" i="6"/>
  <c r="AD18" i="8" s="1"/>
  <c r="AE18" i="6"/>
  <c r="AE18" i="8" s="1"/>
  <c r="AF18" i="6"/>
  <c r="AF18" i="8" s="1"/>
  <c r="E19" i="6"/>
  <c r="E19" i="8" s="1"/>
  <c r="F19" i="6"/>
  <c r="F19" i="8" s="1"/>
  <c r="G19" i="6"/>
  <c r="G19" i="8" s="1"/>
  <c r="H19" i="6"/>
  <c r="H19" i="8" s="1"/>
  <c r="I19" i="6"/>
  <c r="I19" i="8" s="1"/>
  <c r="J19" i="6"/>
  <c r="J19" i="8" s="1"/>
  <c r="K19" i="6"/>
  <c r="K19" i="8" s="1"/>
  <c r="L19" i="6"/>
  <c r="L19" i="8" s="1"/>
  <c r="M19" i="6"/>
  <c r="M19" i="8" s="1"/>
  <c r="N19" i="6"/>
  <c r="N19" i="8" s="1"/>
  <c r="O19" i="6"/>
  <c r="O19" i="8" s="1"/>
  <c r="P19" i="6"/>
  <c r="P19" i="8" s="1"/>
  <c r="Q19" i="6"/>
  <c r="Q19" i="8" s="1"/>
  <c r="R19" i="6"/>
  <c r="R19" i="8" s="1"/>
  <c r="S19" i="6"/>
  <c r="S19" i="8" s="1"/>
  <c r="T19" i="6"/>
  <c r="T19" i="8" s="1"/>
  <c r="U19" i="6"/>
  <c r="U19" i="8" s="1"/>
  <c r="V19" i="6"/>
  <c r="V19" i="8" s="1"/>
  <c r="W19" i="6"/>
  <c r="W19" i="8" s="1"/>
  <c r="X19" i="6"/>
  <c r="X19" i="8" s="1"/>
  <c r="Y19" i="6"/>
  <c r="Y19" i="8" s="1"/>
  <c r="Z19" i="6"/>
  <c r="Z19" i="8" s="1"/>
  <c r="AA19" i="6"/>
  <c r="AA19" i="8" s="1"/>
  <c r="AB19" i="6"/>
  <c r="AB19" i="8" s="1"/>
  <c r="AC19" i="6"/>
  <c r="AC19" i="8" s="1"/>
  <c r="AD19" i="6"/>
  <c r="AD19" i="8" s="1"/>
  <c r="AE19" i="6"/>
  <c r="AE19" i="8" s="1"/>
  <c r="AF19" i="6"/>
  <c r="AF19" i="8" s="1"/>
  <c r="E20" i="6"/>
  <c r="E20" i="8" s="1"/>
  <c r="F20" i="6"/>
  <c r="F20" i="8" s="1"/>
  <c r="G20" i="6"/>
  <c r="G20" i="8" s="1"/>
  <c r="H20" i="6"/>
  <c r="H20" i="8" s="1"/>
  <c r="I20" i="6"/>
  <c r="I20" i="8" s="1"/>
  <c r="J20" i="6"/>
  <c r="J20" i="8" s="1"/>
  <c r="K20" i="6"/>
  <c r="K20" i="8" s="1"/>
  <c r="L20" i="6"/>
  <c r="L20" i="8" s="1"/>
  <c r="M20" i="6"/>
  <c r="M20" i="8" s="1"/>
  <c r="N20" i="6"/>
  <c r="N20" i="8" s="1"/>
  <c r="O20" i="6"/>
  <c r="O20" i="8" s="1"/>
  <c r="P20" i="6"/>
  <c r="P20" i="8" s="1"/>
  <c r="Q20" i="6"/>
  <c r="Q20" i="8" s="1"/>
  <c r="R20" i="6"/>
  <c r="R20" i="8" s="1"/>
  <c r="S20" i="6"/>
  <c r="S20" i="8" s="1"/>
  <c r="T20" i="6"/>
  <c r="T20" i="8" s="1"/>
  <c r="U20" i="6"/>
  <c r="U20" i="8" s="1"/>
  <c r="V20" i="6"/>
  <c r="V20" i="8" s="1"/>
  <c r="W20" i="6"/>
  <c r="W20" i="8" s="1"/>
  <c r="X20" i="6"/>
  <c r="X20" i="8" s="1"/>
  <c r="Y20" i="6"/>
  <c r="Y20" i="8" s="1"/>
  <c r="Z20" i="6"/>
  <c r="Z20" i="8" s="1"/>
  <c r="AA20" i="6"/>
  <c r="AA20" i="8" s="1"/>
  <c r="AB20" i="6"/>
  <c r="AB20" i="8" s="1"/>
  <c r="AC20" i="6"/>
  <c r="AC20" i="8" s="1"/>
  <c r="AD20" i="6"/>
  <c r="AD20" i="8" s="1"/>
  <c r="AE20" i="6"/>
  <c r="AE20" i="8" s="1"/>
  <c r="AF20" i="6"/>
  <c r="AF20" i="8" s="1"/>
  <c r="E21" i="6"/>
  <c r="E21" i="8" s="1"/>
  <c r="F21" i="6"/>
  <c r="F21" i="8" s="1"/>
  <c r="G21" i="6"/>
  <c r="G21" i="8" s="1"/>
  <c r="H21" i="6"/>
  <c r="H21" i="8" s="1"/>
  <c r="I21" i="6"/>
  <c r="I21" i="8" s="1"/>
  <c r="J21" i="6"/>
  <c r="J21" i="8" s="1"/>
  <c r="K21" i="6"/>
  <c r="K21" i="8" s="1"/>
  <c r="L21" i="6"/>
  <c r="L21" i="8" s="1"/>
  <c r="M21" i="6"/>
  <c r="M21" i="8" s="1"/>
  <c r="N21" i="6"/>
  <c r="N21" i="8" s="1"/>
  <c r="O21" i="6"/>
  <c r="O21" i="8" s="1"/>
  <c r="P21" i="6"/>
  <c r="P21" i="8" s="1"/>
  <c r="Q21" i="6"/>
  <c r="Q21" i="8" s="1"/>
  <c r="R21" i="6"/>
  <c r="R21" i="8" s="1"/>
  <c r="S21" i="6"/>
  <c r="S21" i="8" s="1"/>
  <c r="T21" i="6"/>
  <c r="T21" i="8" s="1"/>
  <c r="U21" i="6"/>
  <c r="U21" i="8" s="1"/>
  <c r="V21" i="6"/>
  <c r="V21" i="8" s="1"/>
  <c r="W21" i="6"/>
  <c r="W21" i="8" s="1"/>
  <c r="X21" i="6"/>
  <c r="X21" i="8" s="1"/>
  <c r="Y21" i="6"/>
  <c r="Y21" i="8" s="1"/>
  <c r="Z21" i="6"/>
  <c r="Z21" i="8" s="1"/>
  <c r="AA21" i="6"/>
  <c r="AA21" i="8" s="1"/>
  <c r="AB21" i="6"/>
  <c r="AB21" i="8" s="1"/>
  <c r="AC21" i="6"/>
  <c r="AC21" i="8" s="1"/>
  <c r="AD21" i="6"/>
  <c r="AD21" i="8" s="1"/>
  <c r="AE21" i="6"/>
  <c r="AE21" i="8" s="1"/>
  <c r="AF21" i="6"/>
  <c r="AF21" i="8" s="1"/>
  <c r="E22" i="6"/>
  <c r="E22" i="8" s="1"/>
  <c r="F22" i="6"/>
  <c r="F22" i="8" s="1"/>
  <c r="G22" i="6"/>
  <c r="G22" i="8" s="1"/>
  <c r="H22" i="6"/>
  <c r="H22" i="8" s="1"/>
  <c r="I22" i="6"/>
  <c r="I22" i="8" s="1"/>
  <c r="J22" i="6"/>
  <c r="J22" i="8" s="1"/>
  <c r="K22" i="6"/>
  <c r="K22" i="8" s="1"/>
  <c r="L22" i="6"/>
  <c r="L22" i="8" s="1"/>
  <c r="M22" i="6"/>
  <c r="M22" i="8" s="1"/>
  <c r="N22" i="6"/>
  <c r="N22" i="8" s="1"/>
  <c r="O22" i="6"/>
  <c r="O22" i="8" s="1"/>
  <c r="P22" i="6"/>
  <c r="P22" i="8" s="1"/>
  <c r="Q22" i="6"/>
  <c r="Q22" i="8" s="1"/>
  <c r="R22" i="6"/>
  <c r="R22" i="8" s="1"/>
  <c r="S22" i="6"/>
  <c r="S22" i="8" s="1"/>
  <c r="T22" i="6"/>
  <c r="T22" i="8" s="1"/>
  <c r="U22" i="6"/>
  <c r="U22" i="8" s="1"/>
  <c r="V22" i="6"/>
  <c r="V22" i="8" s="1"/>
  <c r="W22" i="6"/>
  <c r="W22" i="8" s="1"/>
  <c r="X22" i="6"/>
  <c r="X22" i="8" s="1"/>
  <c r="Y22" i="6"/>
  <c r="Y22" i="8" s="1"/>
  <c r="Z22" i="6"/>
  <c r="Z22" i="8" s="1"/>
  <c r="AA22" i="6"/>
  <c r="AA22" i="8" s="1"/>
  <c r="AB22" i="6"/>
  <c r="AB22" i="8" s="1"/>
  <c r="AC22" i="6"/>
  <c r="AC22" i="8" s="1"/>
  <c r="AD22" i="6"/>
  <c r="AD22" i="8" s="1"/>
  <c r="AE22" i="6"/>
  <c r="AE22" i="8" s="1"/>
  <c r="AF22" i="6"/>
  <c r="AF22" i="8" s="1"/>
  <c r="E23" i="6"/>
  <c r="E23" i="8" s="1"/>
  <c r="F23" i="6"/>
  <c r="F23" i="8" s="1"/>
  <c r="G23" i="6"/>
  <c r="G23" i="8" s="1"/>
  <c r="H23" i="6"/>
  <c r="H23" i="8" s="1"/>
  <c r="I23" i="6"/>
  <c r="I23" i="8" s="1"/>
  <c r="J23" i="6"/>
  <c r="J23" i="8" s="1"/>
  <c r="K23" i="6"/>
  <c r="K23" i="8" s="1"/>
  <c r="L23" i="6"/>
  <c r="L23" i="8" s="1"/>
  <c r="M23" i="6"/>
  <c r="M23" i="8" s="1"/>
  <c r="N23" i="6"/>
  <c r="N23" i="8" s="1"/>
  <c r="O23" i="6"/>
  <c r="O23" i="8" s="1"/>
  <c r="P23" i="6"/>
  <c r="P23" i="8" s="1"/>
  <c r="Q23" i="6"/>
  <c r="Q23" i="8" s="1"/>
  <c r="R23" i="6"/>
  <c r="R23" i="8" s="1"/>
  <c r="S23" i="6"/>
  <c r="S23" i="8" s="1"/>
  <c r="T23" i="6"/>
  <c r="T23" i="8" s="1"/>
  <c r="U23" i="6"/>
  <c r="U23" i="8" s="1"/>
  <c r="V23" i="6"/>
  <c r="V23" i="8" s="1"/>
  <c r="W23" i="6"/>
  <c r="W23" i="8" s="1"/>
  <c r="X23" i="6"/>
  <c r="X23" i="8" s="1"/>
  <c r="Y23" i="6"/>
  <c r="Y23" i="8" s="1"/>
  <c r="Z23" i="6"/>
  <c r="Z23" i="8" s="1"/>
  <c r="AA23" i="6"/>
  <c r="AA23" i="8" s="1"/>
  <c r="AB23" i="6"/>
  <c r="AB23" i="8" s="1"/>
  <c r="AC23" i="6"/>
  <c r="AC23" i="8" s="1"/>
  <c r="AD23" i="6"/>
  <c r="AD23" i="8" s="1"/>
  <c r="AE23" i="6"/>
  <c r="AE23" i="8" s="1"/>
  <c r="AF23" i="6"/>
  <c r="AF23" i="8" s="1"/>
  <c r="E24" i="6"/>
  <c r="E24" i="8" s="1"/>
  <c r="F24" i="6"/>
  <c r="F24" i="8" s="1"/>
  <c r="G24" i="6"/>
  <c r="G24" i="8" s="1"/>
  <c r="H24" i="6"/>
  <c r="H24" i="8" s="1"/>
  <c r="I24" i="6"/>
  <c r="I24" i="8" s="1"/>
  <c r="J24" i="6"/>
  <c r="J24" i="8" s="1"/>
  <c r="K24" i="6"/>
  <c r="K24" i="8" s="1"/>
  <c r="L24" i="6"/>
  <c r="L24" i="8" s="1"/>
  <c r="M24" i="6"/>
  <c r="M24" i="8" s="1"/>
  <c r="N24" i="6"/>
  <c r="N24" i="8" s="1"/>
  <c r="O24" i="6"/>
  <c r="O24" i="8" s="1"/>
  <c r="P24" i="6"/>
  <c r="P24" i="8" s="1"/>
  <c r="Q24" i="6"/>
  <c r="Q24" i="8" s="1"/>
  <c r="R24" i="6"/>
  <c r="R24" i="8" s="1"/>
  <c r="S24" i="6"/>
  <c r="S24" i="8" s="1"/>
  <c r="T24" i="6"/>
  <c r="T24" i="8" s="1"/>
  <c r="U24" i="6"/>
  <c r="U24" i="8" s="1"/>
  <c r="V24" i="6"/>
  <c r="V24" i="8" s="1"/>
  <c r="W24" i="6"/>
  <c r="W24" i="8" s="1"/>
  <c r="X24" i="6"/>
  <c r="X24" i="8" s="1"/>
  <c r="Y24" i="6"/>
  <c r="Y24" i="8" s="1"/>
  <c r="Z24" i="6"/>
  <c r="Z24" i="8" s="1"/>
  <c r="AA24" i="6"/>
  <c r="AA24" i="8" s="1"/>
  <c r="AB24" i="6"/>
  <c r="AB24" i="8" s="1"/>
  <c r="AC24" i="6"/>
  <c r="AC24" i="8" s="1"/>
  <c r="AD24" i="6"/>
  <c r="AD24" i="8" s="1"/>
  <c r="AE24" i="6"/>
  <c r="AE24" i="8" s="1"/>
  <c r="AF24" i="6"/>
  <c r="AF24" i="8" s="1"/>
  <c r="E25" i="6"/>
  <c r="E25" i="8" s="1"/>
  <c r="F25" i="6"/>
  <c r="F25" i="8" s="1"/>
  <c r="G25" i="6"/>
  <c r="G25" i="8" s="1"/>
  <c r="H25" i="6"/>
  <c r="H25" i="8" s="1"/>
  <c r="I25" i="6"/>
  <c r="I25" i="8" s="1"/>
  <c r="J25" i="6"/>
  <c r="J25" i="8" s="1"/>
  <c r="K25" i="6"/>
  <c r="K25" i="8" s="1"/>
  <c r="L25" i="6"/>
  <c r="L25" i="8" s="1"/>
  <c r="M25" i="6"/>
  <c r="M25" i="8" s="1"/>
  <c r="N25" i="6"/>
  <c r="N25" i="8" s="1"/>
  <c r="O25" i="6"/>
  <c r="O25" i="8" s="1"/>
  <c r="P25" i="6"/>
  <c r="P25" i="8" s="1"/>
  <c r="Q25" i="6"/>
  <c r="Q25" i="8" s="1"/>
  <c r="R25" i="6"/>
  <c r="R25" i="8" s="1"/>
  <c r="S25" i="6"/>
  <c r="S25" i="8" s="1"/>
  <c r="T25" i="6"/>
  <c r="T25" i="8" s="1"/>
  <c r="U25" i="6"/>
  <c r="U25" i="8" s="1"/>
  <c r="V25" i="6"/>
  <c r="V25" i="8" s="1"/>
  <c r="W25" i="6"/>
  <c r="W25" i="8" s="1"/>
  <c r="X25" i="6"/>
  <c r="X25" i="8" s="1"/>
  <c r="Y25" i="6"/>
  <c r="Y25" i="8" s="1"/>
  <c r="Z25" i="6"/>
  <c r="Z25" i="8" s="1"/>
  <c r="AA25" i="6"/>
  <c r="AA25" i="8" s="1"/>
  <c r="AB25" i="6"/>
  <c r="AB25" i="8" s="1"/>
  <c r="AC25" i="6"/>
  <c r="AC25" i="8" s="1"/>
  <c r="AD25" i="6"/>
  <c r="AD25" i="8" s="1"/>
  <c r="AE25" i="6"/>
  <c r="AE25" i="8" s="1"/>
  <c r="AF25" i="6"/>
  <c r="AF25" i="8" s="1"/>
  <c r="E26" i="6"/>
  <c r="E26" i="8" s="1"/>
  <c r="F26" i="6"/>
  <c r="F26" i="8" s="1"/>
  <c r="G26" i="6"/>
  <c r="G26" i="8" s="1"/>
  <c r="H26" i="6"/>
  <c r="H26" i="8" s="1"/>
  <c r="I26" i="6"/>
  <c r="I26" i="8" s="1"/>
  <c r="J26" i="6"/>
  <c r="J26" i="8" s="1"/>
  <c r="K26" i="6"/>
  <c r="K26" i="8" s="1"/>
  <c r="L26" i="6"/>
  <c r="L26" i="8" s="1"/>
  <c r="M26" i="6"/>
  <c r="M26" i="8" s="1"/>
  <c r="N26" i="6"/>
  <c r="N26" i="8" s="1"/>
  <c r="O26" i="6"/>
  <c r="O26" i="8" s="1"/>
  <c r="P26" i="6"/>
  <c r="P26" i="8" s="1"/>
  <c r="Q26" i="6"/>
  <c r="Q26" i="8" s="1"/>
  <c r="R26" i="6"/>
  <c r="R26" i="8" s="1"/>
  <c r="S26" i="6"/>
  <c r="S26" i="8" s="1"/>
  <c r="T26" i="6"/>
  <c r="T26" i="8" s="1"/>
  <c r="U26" i="6"/>
  <c r="U26" i="8" s="1"/>
  <c r="V26" i="6"/>
  <c r="V26" i="8" s="1"/>
  <c r="W26" i="6"/>
  <c r="W26" i="8" s="1"/>
  <c r="X26" i="6"/>
  <c r="X26" i="8" s="1"/>
  <c r="Y26" i="6"/>
  <c r="Y26" i="8" s="1"/>
  <c r="Z26" i="6"/>
  <c r="Z26" i="8" s="1"/>
  <c r="AA26" i="6"/>
  <c r="AA26" i="8" s="1"/>
  <c r="AB26" i="6"/>
  <c r="AB26" i="8" s="1"/>
  <c r="AC26" i="6"/>
  <c r="AC26" i="8" s="1"/>
  <c r="AD26" i="6"/>
  <c r="AD26" i="8" s="1"/>
  <c r="AE26" i="6"/>
  <c r="AE26" i="8" s="1"/>
  <c r="AF26" i="6"/>
  <c r="AF26" i="8" s="1"/>
  <c r="E27" i="6"/>
  <c r="E27" i="8" s="1"/>
  <c r="F27" i="6"/>
  <c r="F27" i="8" s="1"/>
  <c r="G27" i="6"/>
  <c r="G27" i="8" s="1"/>
  <c r="H27" i="6"/>
  <c r="H27" i="8" s="1"/>
  <c r="I27" i="6"/>
  <c r="I27" i="8" s="1"/>
  <c r="J27" i="6"/>
  <c r="J27" i="8" s="1"/>
  <c r="K27" i="6"/>
  <c r="K27" i="8" s="1"/>
  <c r="L27" i="6"/>
  <c r="L27" i="8" s="1"/>
  <c r="M27" i="6"/>
  <c r="M27" i="8" s="1"/>
  <c r="N27" i="6"/>
  <c r="N27" i="8" s="1"/>
  <c r="O27" i="6"/>
  <c r="O27" i="8" s="1"/>
  <c r="P27" i="6"/>
  <c r="P27" i="8" s="1"/>
  <c r="Q27" i="6"/>
  <c r="Q27" i="8" s="1"/>
  <c r="R27" i="6"/>
  <c r="R27" i="8" s="1"/>
  <c r="S27" i="6"/>
  <c r="S27" i="8" s="1"/>
  <c r="T27" i="6"/>
  <c r="T27" i="8" s="1"/>
  <c r="U27" i="6"/>
  <c r="U27" i="8" s="1"/>
  <c r="V27" i="6"/>
  <c r="V27" i="8" s="1"/>
  <c r="W27" i="6"/>
  <c r="W27" i="8" s="1"/>
  <c r="X27" i="6"/>
  <c r="X27" i="8" s="1"/>
  <c r="Y27" i="6"/>
  <c r="Y27" i="8" s="1"/>
  <c r="Z27" i="6"/>
  <c r="Z27" i="8" s="1"/>
  <c r="AA27" i="6"/>
  <c r="AA27" i="8" s="1"/>
  <c r="AB27" i="6"/>
  <c r="AB27" i="8" s="1"/>
  <c r="AC27" i="6"/>
  <c r="AC27" i="8" s="1"/>
  <c r="AD27" i="6"/>
  <c r="AD27" i="8" s="1"/>
  <c r="AE27" i="6"/>
  <c r="AE27" i="8" s="1"/>
  <c r="AF27" i="6"/>
  <c r="AF27" i="8" s="1"/>
  <c r="E28" i="6"/>
  <c r="E28" i="8" s="1"/>
  <c r="F28" i="6"/>
  <c r="F28" i="8" s="1"/>
  <c r="G28" i="6"/>
  <c r="G28" i="8" s="1"/>
  <c r="H28" i="6"/>
  <c r="H28" i="8" s="1"/>
  <c r="I28" i="6"/>
  <c r="I28" i="8" s="1"/>
  <c r="J28" i="6"/>
  <c r="J28" i="8" s="1"/>
  <c r="K28" i="6"/>
  <c r="K28" i="8" s="1"/>
  <c r="L28" i="6"/>
  <c r="L28" i="8" s="1"/>
  <c r="M28" i="6"/>
  <c r="M28" i="8" s="1"/>
  <c r="N28" i="6"/>
  <c r="N28" i="8" s="1"/>
  <c r="O28" i="6"/>
  <c r="O28" i="8" s="1"/>
  <c r="P28" i="6"/>
  <c r="P28" i="8" s="1"/>
  <c r="Q28" i="6"/>
  <c r="Q28" i="8" s="1"/>
  <c r="R28" i="6"/>
  <c r="R28" i="8" s="1"/>
  <c r="S28" i="6"/>
  <c r="S28" i="8" s="1"/>
  <c r="T28" i="6"/>
  <c r="T28" i="8" s="1"/>
  <c r="U28" i="6"/>
  <c r="U28" i="8" s="1"/>
  <c r="V28" i="6"/>
  <c r="V28" i="8" s="1"/>
  <c r="W28" i="6"/>
  <c r="W28" i="8" s="1"/>
  <c r="X28" i="6"/>
  <c r="X28" i="8" s="1"/>
  <c r="Y28" i="6"/>
  <c r="Y28" i="8" s="1"/>
  <c r="Z28" i="6"/>
  <c r="Z28" i="8" s="1"/>
  <c r="AA28" i="6"/>
  <c r="AA28" i="8" s="1"/>
  <c r="AB28" i="6"/>
  <c r="AB28" i="8" s="1"/>
  <c r="AC28" i="6"/>
  <c r="AC28" i="8" s="1"/>
  <c r="AD28" i="6"/>
  <c r="AD28" i="8" s="1"/>
  <c r="AE28" i="6"/>
  <c r="AE28" i="8" s="1"/>
  <c r="AF28" i="6"/>
  <c r="AF28" i="8" s="1"/>
  <c r="E29" i="6"/>
  <c r="E29" i="8" s="1"/>
  <c r="F29" i="6"/>
  <c r="F29" i="8" s="1"/>
  <c r="G29" i="6"/>
  <c r="G29" i="8" s="1"/>
  <c r="H29" i="6"/>
  <c r="H29" i="8" s="1"/>
  <c r="I29" i="6"/>
  <c r="I29" i="8" s="1"/>
  <c r="J29" i="6"/>
  <c r="J29" i="8" s="1"/>
  <c r="K29" i="6"/>
  <c r="K29" i="8" s="1"/>
  <c r="L29" i="6"/>
  <c r="L29" i="8" s="1"/>
  <c r="M29" i="6"/>
  <c r="M29" i="8" s="1"/>
  <c r="N29" i="6"/>
  <c r="N29" i="8" s="1"/>
  <c r="O29" i="6"/>
  <c r="O29" i="8" s="1"/>
  <c r="P29" i="6"/>
  <c r="P29" i="8" s="1"/>
  <c r="Q29" i="6"/>
  <c r="Q29" i="8" s="1"/>
  <c r="R29" i="6"/>
  <c r="R29" i="8" s="1"/>
  <c r="S29" i="6"/>
  <c r="S29" i="8" s="1"/>
  <c r="T29" i="6"/>
  <c r="T29" i="8" s="1"/>
  <c r="U29" i="6"/>
  <c r="U29" i="8" s="1"/>
  <c r="V29" i="6"/>
  <c r="V29" i="8" s="1"/>
  <c r="W29" i="6"/>
  <c r="W29" i="8" s="1"/>
  <c r="X29" i="6"/>
  <c r="X29" i="8" s="1"/>
  <c r="Y29" i="6"/>
  <c r="Y29" i="8" s="1"/>
  <c r="Z29" i="6"/>
  <c r="Z29" i="8" s="1"/>
  <c r="AA29" i="6"/>
  <c r="AA29" i="8" s="1"/>
  <c r="AB29" i="6"/>
  <c r="AB29" i="8" s="1"/>
  <c r="AC29" i="6"/>
  <c r="AC29" i="8" s="1"/>
  <c r="AD29" i="6"/>
  <c r="AD29" i="8" s="1"/>
  <c r="AE29" i="6"/>
  <c r="AE29" i="8" s="1"/>
  <c r="AF29" i="6"/>
  <c r="AF29" i="8" s="1"/>
  <c r="E30" i="6"/>
  <c r="E30" i="8" s="1"/>
  <c r="F30" i="6"/>
  <c r="F30" i="8" s="1"/>
  <c r="G30" i="6"/>
  <c r="G30" i="8" s="1"/>
  <c r="H30" i="6"/>
  <c r="H30" i="8" s="1"/>
  <c r="I30" i="6"/>
  <c r="I30" i="8" s="1"/>
  <c r="J30" i="6"/>
  <c r="J30" i="8" s="1"/>
  <c r="K30" i="6"/>
  <c r="K30" i="8" s="1"/>
  <c r="L30" i="6"/>
  <c r="L30" i="8" s="1"/>
  <c r="M30" i="6"/>
  <c r="M30" i="8" s="1"/>
  <c r="N30" i="6"/>
  <c r="N30" i="8" s="1"/>
  <c r="O30" i="6"/>
  <c r="O30" i="8" s="1"/>
  <c r="P30" i="6"/>
  <c r="P30" i="8" s="1"/>
  <c r="Q30" i="6"/>
  <c r="Q30" i="8" s="1"/>
  <c r="R30" i="6"/>
  <c r="R30" i="8" s="1"/>
  <c r="S30" i="6"/>
  <c r="S30" i="8" s="1"/>
  <c r="T30" i="6"/>
  <c r="T30" i="8" s="1"/>
  <c r="U30" i="6"/>
  <c r="U30" i="8" s="1"/>
  <c r="V30" i="6"/>
  <c r="V30" i="8" s="1"/>
  <c r="W30" i="6"/>
  <c r="W30" i="8" s="1"/>
  <c r="X30" i="6"/>
  <c r="X30" i="8" s="1"/>
  <c r="Y30" i="6"/>
  <c r="Y30" i="8" s="1"/>
  <c r="Z30" i="6"/>
  <c r="Z30" i="8" s="1"/>
  <c r="AA30" i="6"/>
  <c r="AA30" i="8" s="1"/>
  <c r="AB30" i="6"/>
  <c r="AB30" i="8" s="1"/>
  <c r="AC30" i="6"/>
  <c r="AC30" i="8" s="1"/>
  <c r="AD30" i="6"/>
  <c r="AD30" i="8" s="1"/>
  <c r="AE30" i="6"/>
  <c r="AE30" i="8" s="1"/>
  <c r="AF30" i="6"/>
  <c r="AF30" i="8" s="1"/>
  <c r="E31" i="6"/>
  <c r="E31" i="8" s="1"/>
  <c r="F31" i="6"/>
  <c r="F31" i="8" s="1"/>
  <c r="G31" i="6"/>
  <c r="G31" i="8" s="1"/>
  <c r="H31" i="6"/>
  <c r="H31" i="8" s="1"/>
  <c r="I31" i="6"/>
  <c r="I31" i="8" s="1"/>
  <c r="J31" i="6"/>
  <c r="J31" i="8" s="1"/>
  <c r="K31" i="6"/>
  <c r="K31" i="8" s="1"/>
  <c r="L31" i="6"/>
  <c r="L31" i="8" s="1"/>
  <c r="M31" i="6"/>
  <c r="M31" i="8" s="1"/>
  <c r="N31" i="6"/>
  <c r="N31" i="8" s="1"/>
  <c r="O31" i="6"/>
  <c r="O31" i="8" s="1"/>
  <c r="P31" i="6"/>
  <c r="P31" i="8" s="1"/>
  <c r="Q31" i="6"/>
  <c r="Q31" i="8" s="1"/>
  <c r="R31" i="6"/>
  <c r="R31" i="8" s="1"/>
  <c r="S31" i="6"/>
  <c r="S31" i="8" s="1"/>
  <c r="T31" i="6"/>
  <c r="T31" i="8" s="1"/>
  <c r="U31" i="6"/>
  <c r="U31" i="8" s="1"/>
  <c r="V31" i="6"/>
  <c r="V31" i="8" s="1"/>
  <c r="W31" i="6"/>
  <c r="W31" i="8" s="1"/>
  <c r="X31" i="6"/>
  <c r="X31" i="8" s="1"/>
  <c r="Y31" i="6"/>
  <c r="Y31" i="8" s="1"/>
  <c r="Z31" i="6"/>
  <c r="Z31" i="8" s="1"/>
  <c r="AA31" i="6"/>
  <c r="AA31" i="8" s="1"/>
  <c r="AB31" i="6"/>
  <c r="AB31" i="8" s="1"/>
  <c r="AC31" i="6"/>
  <c r="AC31" i="8" s="1"/>
  <c r="AD31" i="6"/>
  <c r="AD31" i="8" s="1"/>
  <c r="AE31" i="6"/>
  <c r="AE31" i="8" s="1"/>
  <c r="AF31" i="6"/>
  <c r="AF31" i="8" s="1"/>
  <c r="E32" i="6"/>
  <c r="E32" i="8" s="1"/>
  <c r="F32" i="6"/>
  <c r="F32" i="8" s="1"/>
  <c r="G32" i="6"/>
  <c r="G32" i="8" s="1"/>
  <c r="H32" i="6"/>
  <c r="H32" i="8" s="1"/>
  <c r="I32" i="6"/>
  <c r="I32" i="8" s="1"/>
  <c r="J32" i="6"/>
  <c r="J32" i="8" s="1"/>
  <c r="K32" i="6"/>
  <c r="K32" i="8" s="1"/>
  <c r="L32" i="6"/>
  <c r="L32" i="8" s="1"/>
  <c r="M32" i="6"/>
  <c r="M32" i="8" s="1"/>
  <c r="N32" i="6"/>
  <c r="N32" i="8" s="1"/>
  <c r="O32" i="6"/>
  <c r="O32" i="8" s="1"/>
  <c r="P32" i="6"/>
  <c r="P32" i="8" s="1"/>
  <c r="Q32" i="6"/>
  <c r="Q32" i="8" s="1"/>
  <c r="R32" i="6"/>
  <c r="R32" i="8" s="1"/>
  <c r="S32" i="6"/>
  <c r="S32" i="8" s="1"/>
  <c r="T32" i="6"/>
  <c r="T32" i="8" s="1"/>
  <c r="U32" i="6"/>
  <c r="U32" i="8" s="1"/>
  <c r="V32" i="6"/>
  <c r="V32" i="8" s="1"/>
  <c r="W32" i="6"/>
  <c r="W32" i="8" s="1"/>
  <c r="X32" i="6"/>
  <c r="X32" i="8" s="1"/>
  <c r="Y32" i="6"/>
  <c r="Y32" i="8" s="1"/>
  <c r="Z32" i="6"/>
  <c r="Z32" i="8" s="1"/>
  <c r="AA32" i="6"/>
  <c r="AA32" i="8" s="1"/>
  <c r="AB32" i="6"/>
  <c r="AB32" i="8" s="1"/>
  <c r="AC32" i="6"/>
  <c r="AC32" i="8" s="1"/>
  <c r="AD32" i="6"/>
  <c r="AD32" i="8" s="1"/>
  <c r="AE32" i="6"/>
  <c r="AE32" i="8" s="1"/>
  <c r="AF32" i="6"/>
  <c r="AF32" i="8" s="1"/>
  <c r="E33" i="6"/>
  <c r="E33" i="8" s="1"/>
  <c r="F33" i="6"/>
  <c r="F33" i="8" s="1"/>
  <c r="G33" i="6"/>
  <c r="G33" i="8" s="1"/>
  <c r="H33" i="6"/>
  <c r="H33" i="8" s="1"/>
  <c r="I33" i="6"/>
  <c r="I33" i="8" s="1"/>
  <c r="J33" i="6"/>
  <c r="J33" i="8" s="1"/>
  <c r="K33" i="6"/>
  <c r="K33" i="8" s="1"/>
  <c r="L33" i="6"/>
  <c r="L33" i="8" s="1"/>
  <c r="M33" i="6"/>
  <c r="M33" i="8" s="1"/>
  <c r="N33" i="6"/>
  <c r="N33" i="8" s="1"/>
  <c r="O33" i="6"/>
  <c r="O33" i="8" s="1"/>
  <c r="P33" i="6"/>
  <c r="P33" i="8" s="1"/>
  <c r="Q33" i="6"/>
  <c r="Q33" i="8" s="1"/>
  <c r="R33" i="6"/>
  <c r="R33" i="8" s="1"/>
  <c r="S33" i="6"/>
  <c r="S33" i="8" s="1"/>
  <c r="T33" i="6"/>
  <c r="T33" i="8" s="1"/>
  <c r="U33" i="6"/>
  <c r="U33" i="8" s="1"/>
  <c r="V33" i="6"/>
  <c r="V33" i="8" s="1"/>
  <c r="W33" i="6"/>
  <c r="W33" i="8" s="1"/>
  <c r="X33" i="6"/>
  <c r="X33" i="8" s="1"/>
  <c r="Y33" i="6"/>
  <c r="Y33" i="8" s="1"/>
  <c r="Z33" i="6"/>
  <c r="Z33" i="8" s="1"/>
  <c r="AA33" i="6"/>
  <c r="AA33" i="8" s="1"/>
  <c r="AB33" i="6"/>
  <c r="AB33" i="8" s="1"/>
  <c r="AC33" i="6"/>
  <c r="AC33" i="8" s="1"/>
  <c r="AD33" i="6"/>
  <c r="AD33" i="8" s="1"/>
  <c r="AE33" i="6"/>
  <c r="AE33" i="8" s="1"/>
  <c r="AF33" i="6"/>
  <c r="AF33" i="8" s="1"/>
  <c r="E34" i="6"/>
  <c r="E34" i="8" s="1"/>
  <c r="F34" i="6"/>
  <c r="F34" i="8" s="1"/>
  <c r="G34" i="6"/>
  <c r="G34" i="8" s="1"/>
  <c r="H34" i="6"/>
  <c r="H34" i="8" s="1"/>
  <c r="I34" i="6"/>
  <c r="I34" i="8" s="1"/>
  <c r="J34" i="6"/>
  <c r="J34" i="8" s="1"/>
  <c r="K34" i="6"/>
  <c r="K34" i="8" s="1"/>
  <c r="L34" i="6"/>
  <c r="L34" i="8" s="1"/>
  <c r="M34" i="6"/>
  <c r="M34" i="8" s="1"/>
  <c r="N34" i="6"/>
  <c r="N34" i="8" s="1"/>
  <c r="O34" i="6"/>
  <c r="O34" i="8" s="1"/>
  <c r="P34" i="6"/>
  <c r="P34" i="8" s="1"/>
  <c r="Q34" i="6"/>
  <c r="Q34" i="8" s="1"/>
  <c r="R34" i="6"/>
  <c r="R34" i="8" s="1"/>
  <c r="S34" i="6"/>
  <c r="S34" i="8" s="1"/>
  <c r="T34" i="6"/>
  <c r="T34" i="8" s="1"/>
  <c r="U34" i="6"/>
  <c r="U34" i="8" s="1"/>
  <c r="V34" i="6"/>
  <c r="V34" i="8" s="1"/>
  <c r="W34" i="6"/>
  <c r="W34" i="8" s="1"/>
  <c r="X34" i="6"/>
  <c r="X34" i="8" s="1"/>
  <c r="Y34" i="6"/>
  <c r="Y34" i="8" s="1"/>
  <c r="Z34" i="6"/>
  <c r="Z34" i="8" s="1"/>
  <c r="AA34" i="6"/>
  <c r="AA34" i="8" s="1"/>
  <c r="AB34" i="6"/>
  <c r="AB34" i="8" s="1"/>
  <c r="AC34" i="6"/>
  <c r="AC34" i="8" s="1"/>
  <c r="AD34" i="6"/>
  <c r="AD34" i="8" s="1"/>
  <c r="AE34" i="6"/>
  <c r="AE34" i="8" s="1"/>
  <c r="AF34" i="6"/>
  <c r="AF34" i="8" s="1"/>
  <c r="E35" i="6"/>
  <c r="E35" i="8" s="1"/>
  <c r="F35" i="6"/>
  <c r="F35" i="8" s="1"/>
  <c r="G35" i="6"/>
  <c r="G35" i="8" s="1"/>
  <c r="H35" i="6"/>
  <c r="H35" i="8" s="1"/>
  <c r="I35" i="6"/>
  <c r="I35" i="8" s="1"/>
  <c r="J35" i="6"/>
  <c r="J35" i="8" s="1"/>
  <c r="K35" i="6"/>
  <c r="K35" i="8" s="1"/>
  <c r="L35" i="6"/>
  <c r="L35" i="8" s="1"/>
  <c r="M35" i="6"/>
  <c r="M35" i="8" s="1"/>
  <c r="N35" i="6"/>
  <c r="N35" i="8" s="1"/>
  <c r="O35" i="6"/>
  <c r="O35" i="8" s="1"/>
  <c r="P35" i="6"/>
  <c r="P35" i="8" s="1"/>
  <c r="Q35" i="6"/>
  <c r="Q35" i="8" s="1"/>
  <c r="R35" i="6"/>
  <c r="R35" i="8" s="1"/>
  <c r="S35" i="6"/>
  <c r="S35" i="8" s="1"/>
  <c r="T35" i="6"/>
  <c r="T35" i="8" s="1"/>
  <c r="U35" i="6"/>
  <c r="U35" i="8" s="1"/>
  <c r="V35" i="6"/>
  <c r="V35" i="8" s="1"/>
  <c r="W35" i="6"/>
  <c r="W35" i="8" s="1"/>
  <c r="X35" i="6"/>
  <c r="X35" i="8" s="1"/>
  <c r="Y35" i="6"/>
  <c r="Y35" i="8" s="1"/>
  <c r="Z35" i="6"/>
  <c r="Z35" i="8" s="1"/>
  <c r="AA35" i="6"/>
  <c r="AA35" i="8" s="1"/>
  <c r="AB35" i="6"/>
  <c r="AB35" i="8" s="1"/>
  <c r="AC35" i="6"/>
  <c r="AC35" i="8" s="1"/>
  <c r="AD35" i="6"/>
  <c r="AD35" i="8" s="1"/>
  <c r="AE35" i="6"/>
  <c r="AE35" i="8" s="1"/>
  <c r="AF35" i="6"/>
  <c r="AF35" i="8" s="1"/>
  <c r="E36" i="6"/>
  <c r="E36" i="8" s="1"/>
  <c r="F36" i="6"/>
  <c r="F36" i="8" s="1"/>
  <c r="G36" i="6"/>
  <c r="G36" i="8" s="1"/>
  <c r="H36" i="6"/>
  <c r="H36" i="8" s="1"/>
  <c r="I36" i="6"/>
  <c r="I36" i="8" s="1"/>
  <c r="J36" i="6"/>
  <c r="J36" i="8" s="1"/>
  <c r="K36" i="6"/>
  <c r="K36" i="8" s="1"/>
  <c r="L36" i="6"/>
  <c r="L36" i="8" s="1"/>
  <c r="M36" i="6"/>
  <c r="M36" i="8" s="1"/>
  <c r="N36" i="6"/>
  <c r="N36" i="8" s="1"/>
  <c r="O36" i="6"/>
  <c r="O36" i="8" s="1"/>
  <c r="P36" i="6"/>
  <c r="P36" i="8" s="1"/>
  <c r="Q36" i="6"/>
  <c r="Q36" i="8" s="1"/>
  <c r="R36" i="6"/>
  <c r="R36" i="8" s="1"/>
  <c r="S36" i="6"/>
  <c r="S36" i="8" s="1"/>
  <c r="T36" i="6"/>
  <c r="T36" i="8" s="1"/>
  <c r="U36" i="6"/>
  <c r="U36" i="8" s="1"/>
  <c r="V36" i="6"/>
  <c r="V36" i="8" s="1"/>
  <c r="W36" i="6"/>
  <c r="W36" i="8" s="1"/>
  <c r="X36" i="6"/>
  <c r="X36" i="8" s="1"/>
  <c r="Y36" i="6"/>
  <c r="Y36" i="8" s="1"/>
  <c r="Z36" i="6"/>
  <c r="Z36" i="8" s="1"/>
  <c r="AA36" i="6"/>
  <c r="AA36" i="8" s="1"/>
  <c r="AB36" i="6"/>
  <c r="AB36" i="8" s="1"/>
  <c r="AC36" i="6"/>
  <c r="AC36" i="8" s="1"/>
  <c r="AD36" i="6"/>
  <c r="AD36" i="8" s="1"/>
  <c r="AE36" i="6"/>
  <c r="AE36" i="8" s="1"/>
  <c r="AF36" i="6"/>
  <c r="AF36" i="8" s="1"/>
  <c r="E37" i="6"/>
  <c r="E37" i="8" s="1"/>
  <c r="F37" i="6"/>
  <c r="F37" i="8" s="1"/>
  <c r="G37" i="6"/>
  <c r="G37" i="8" s="1"/>
  <c r="H37" i="6"/>
  <c r="H37" i="8" s="1"/>
  <c r="I37" i="6"/>
  <c r="I37" i="8" s="1"/>
  <c r="J37" i="6"/>
  <c r="J37" i="8" s="1"/>
  <c r="K37" i="6"/>
  <c r="K37" i="8" s="1"/>
  <c r="L37" i="6"/>
  <c r="L37" i="8" s="1"/>
  <c r="M37" i="6"/>
  <c r="M37" i="8" s="1"/>
  <c r="N37" i="6"/>
  <c r="N37" i="8" s="1"/>
  <c r="O37" i="6"/>
  <c r="O37" i="8" s="1"/>
  <c r="P37" i="6"/>
  <c r="P37" i="8" s="1"/>
  <c r="Q37" i="6"/>
  <c r="Q37" i="8" s="1"/>
  <c r="R37" i="6"/>
  <c r="R37" i="8" s="1"/>
  <c r="S37" i="6"/>
  <c r="S37" i="8" s="1"/>
  <c r="T37" i="6"/>
  <c r="T37" i="8" s="1"/>
  <c r="U37" i="6"/>
  <c r="U37" i="8" s="1"/>
  <c r="V37" i="6"/>
  <c r="V37" i="8" s="1"/>
  <c r="W37" i="6"/>
  <c r="W37" i="8" s="1"/>
  <c r="X37" i="6"/>
  <c r="X37" i="8" s="1"/>
  <c r="Y37" i="6"/>
  <c r="Y37" i="8" s="1"/>
  <c r="Z37" i="6"/>
  <c r="Z37" i="8" s="1"/>
  <c r="AA37" i="6"/>
  <c r="AA37" i="8" s="1"/>
  <c r="AB37" i="6"/>
  <c r="AB37" i="8" s="1"/>
  <c r="AC37" i="6"/>
  <c r="AC37" i="8" s="1"/>
  <c r="AD37" i="6"/>
  <c r="AD37" i="8" s="1"/>
  <c r="AE37" i="6"/>
  <c r="AE37" i="8" s="1"/>
  <c r="AF37" i="6"/>
  <c r="AF37" i="8" s="1"/>
  <c r="E38" i="6"/>
  <c r="E38" i="8" s="1"/>
  <c r="F38" i="6"/>
  <c r="F38" i="8" s="1"/>
  <c r="G38" i="6"/>
  <c r="G38" i="8" s="1"/>
  <c r="H38" i="6"/>
  <c r="H38" i="8" s="1"/>
  <c r="I38" i="6"/>
  <c r="I38" i="8" s="1"/>
  <c r="J38" i="6"/>
  <c r="J38" i="8" s="1"/>
  <c r="K38" i="6"/>
  <c r="K38" i="8" s="1"/>
  <c r="L38" i="6"/>
  <c r="L38" i="8" s="1"/>
  <c r="M38" i="6"/>
  <c r="M38" i="8" s="1"/>
  <c r="N38" i="6"/>
  <c r="N38" i="8" s="1"/>
  <c r="O38" i="6"/>
  <c r="O38" i="8" s="1"/>
  <c r="P38" i="6"/>
  <c r="P38" i="8" s="1"/>
  <c r="Q38" i="6"/>
  <c r="Q38" i="8" s="1"/>
  <c r="R38" i="6"/>
  <c r="R38" i="8" s="1"/>
  <c r="S38" i="6"/>
  <c r="S38" i="8" s="1"/>
  <c r="T38" i="6"/>
  <c r="T38" i="8" s="1"/>
  <c r="U38" i="6"/>
  <c r="U38" i="8" s="1"/>
  <c r="V38" i="6"/>
  <c r="V38" i="8" s="1"/>
  <c r="W38" i="6"/>
  <c r="W38" i="8" s="1"/>
  <c r="X38" i="6"/>
  <c r="X38" i="8" s="1"/>
  <c r="Y38" i="6"/>
  <c r="Y38" i="8" s="1"/>
  <c r="Z38" i="6"/>
  <c r="Z38" i="8" s="1"/>
  <c r="AA38" i="6"/>
  <c r="AA38" i="8" s="1"/>
  <c r="AB38" i="6"/>
  <c r="AB38" i="8" s="1"/>
  <c r="AC38" i="6"/>
  <c r="AC38" i="8" s="1"/>
  <c r="AD38" i="6"/>
  <c r="AD38" i="8" s="1"/>
  <c r="AE38" i="6"/>
  <c r="AE38" i="8" s="1"/>
  <c r="AF38" i="6"/>
  <c r="AF38" i="8" s="1"/>
  <c r="E39" i="6"/>
  <c r="E39" i="8" s="1"/>
  <c r="F39" i="6"/>
  <c r="F39" i="8" s="1"/>
  <c r="G39" i="6"/>
  <c r="G39" i="8" s="1"/>
  <c r="H39" i="6"/>
  <c r="H39" i="8" s="1"/>
  <c r="I39" i="6"/>
  <c r="I39" i="8" s="1"/>
  <c r="J39" i="6"/>
  <c r="J39" i="8" s="1"/>
  <c r="K39" i="6"/>
  <c r="K39" i="8" s="1"/>
  <c r="L39" i="6"/>
  <c r="L39" i="8" s="1"/>
  <c r="M39" i="6"/>
  <c r="M39" i="8" s="1"/>
  <c r="N39" i="6"/>
  <c r="N39" i="8" s="1"/>
  <c r="O39" i="6"/>
  <c r="O39" i="8" s="1"/>
  <c r="P39" i="6"/>
  <c r="P39" i="8" s="1"/>
  <c r="Q39" i="6"/>
  <c r="Q39" i="8" s="1"/>
  <c r="R39" i="6"/>
  <c r="R39" i="8" s="1"/>
  <c r="S39" i="6"/>
  <c r="S39" i="8" s="1"/>
  <c r="T39" i="6"/>
  <c r="T39" i="8" s="1"/>
  <c r="U39" i="6"/>
  <c r="U39" i="8" s="1"/>
  <c r="V39" i="6"/>
  <c r="V39" i="8" s="1"/>
  <c r="W39" i="6"/>
  <c r="W39" i="8" s="1"/>
  <c r="X39" i="6"/>
  <c r="X39" i="8" s="1"/>
  <c r="Y39" i="6"/>
  <c r="Y39" i="8" s="1"/>
  <c r="Z39" i="6"/>
  <c r="Z39" i="8" s="1"/>
  <c r="AA39" i="6"/>
  <c r="AA39" i="8" s="1"/>
  <c r="AB39" i="6"/>
  <c r="AB39" i="8" s="1"/>
  <c r="AC39" i="6"/>
  <c r="AC39" i="8" s="1"/>
  <c r="AD39" i="6"/>
  <c r="AD39" i="8" s="1"/>
  <c r="AE39" i="6"/>
  <c r="AE39" i="8" s="1"/>
  <c r="AF39" i="6"/>
  <c r="AF39" i="8" s="1"/>
  <c r="E40" i="6"/>
  <c r="E40" i="8" s="1"/>
  <c r="F40" i="6"/>
  <c r="F40" i="8" s="1"/>
  <c r="G40" i="6"/>
  <c r="G40" i="8" s="1"/>
  <c r="H40" i="6"/>
  <c r="H40" i="8" s="1"/>
  <c r="I40" i="6"/>
  <c r="I40" i="8" s="1"/>
  <c r="J40" i="6"/>
  <c r="J40" i="8" s="1"/>
  <c r="K40" i="6"/>
  <c r="K40" i="8" s="1"/>
  <c r="L40" i="6"/>
  <c r="L40" i="8" s="1"/>
  <c r="M40" i="6"/>
  <c r="M40" i="8" s="1"/>
  <c r="N40" i="6"/>
  <c r="N40" i="8" s="1"/>
  <c r="O40" i="6"/>
  <c r="O40" i="8" s="1"/>
  <c r="P40" i="6"/>
  <c r="P40" i="8" s="1"/>
  <c r="Q40" i="6"/>
  <c r="Q40" i="8" s="1"/>
  <c r="R40" i="6"/>
  <c r="R40" i="8" s="1"/>
  <c r="S40" i="6"/>
  <c r="S40" i="8" s="1"/>
  <c r="T40" i="6"/>
  <c r="T40" i="8" s="1"/>
  <c r="U40" i="6"/>
  <c r="U40" i="8" s="1"/>
  <c r="V40" i="6"/>
  <c r="V40" i="8" s="1"/>
  <c r="W40" i="6"/>
  <c r="W40" i="8" s="1"/>
  <c r="X40" i="6"/>
  <c r="X40" i="8" s="1"/>
  <c r="Y40" i="6"/>
  <c r="Y40" i="8" s="1"/>
  <c r="Z40" i="6"/>
  <c r="Z40" i="8" s="1"/>
  <c r="AA40" i="6"/>
  <c r="AA40" i="8" s="1"/>
  <c r="AB40" i="6"/>
  <c r="AB40" i="8" s="1"/>
  <c r="AC40" i="6"/>
  <c r="AC40" i="8" s="1"/>
  <c r="AD40" i="6"/>
  <c r="AD40" i="8" s="1"/>
  <c r="AE40" i="6"/>
  <c r="AE40" i="8" s="1"/>
  <c r="AF40" i="6"/>
  <c r="AF40" i="8" s="1"/>
  <c r="E41" i="6"/>
  <c r="E41" i="8" s="1"/>
  <c r="F41" i="6"/>
  <c r="F41" i="8" s="1"/>
  <c r="G41" i="6"/>
  <c r="G41" i="8" s="1"/>
  <c r="H41" i="6"/>
  <c r="H41" i="8" s="1"/>
  <c r="I41" i="6"/>
  <c r="I41" i="8" s="1"/>
  <c r="J41" i="6"/>
  <c r="J41" i="8" s="1"/>
  <c r="K41" i="6"/>
  <c r="K41" i="8" s="1"/>
  <c r="L41" i="6"/>
  <c r="L41" i="8" s="1"/>
  <c r="M41" i="6"/>
  <c r="M41" i="8" s="1"/>
  <c r="N41" i="6"/>
  <c r="N41" i="8" s="1"/>
  <c r="O41" i="6"/>
  <c r="O41" i="8" s="1"/>
  <c r="P41" i="6"/>
  <c r="P41" i="8" s="1"/>
  <c r="Q41" i="6"/>
  <c r="Q41" i="8" s="1"/>
  <c r="R41" i="6"/>
  <c r="R41" i="8" s="1"/>
  <c r="S41" i="6"/>
  <c r="S41" i="8" s="1"/>
  <c r="T41" i="6"/>
  <c r="T41" i="8" s="1"/>
  <c r="U41" i="6"/>
  <c r="U41" i="8" s="1"/>
  <c r="V41" i="6"/>
  <c r="V41" i="8" s="1"/>
  <c r="W41" i="6"/>
  <c r="W41" i="8" s="1"/>
  <c r="X41" i="6"/>
  <c r="X41" i="8" s="1"/>
  <c r="Y41" i="6"/>
  <c r="Y41" i="8" s="1"/>
  <c r="Z41" i="6"/>
  <c r="Z41" i="8" s="1"/>
  <c r="AA41" i="6"/>
  <c r="AA41" i="8" s="1"/>
  <c r="AB41" i="6"/>
  <c r="AB41" i="8" s="1"/>
  <c r="AC41" i="6"/>
  <c r="AC41" i="8" s="1"/>
  <c r="AD41" i="6"/>
  <c r="AD41" i="8" s="1"/>
  <c r="AE41" i="6"/>
  <c r="AE41" i="8" s="1"/>
  <c r="AF41" i="6"/>
  <c r="AF41" i="8" s="1"/>
  <c r="E42" i="6"/>
  <c r="E42" i="8" s="1"/>
  <c r="F42" i="6"/>
  <c r="F42" i="8" s="1"/>
  <c r="G42" i="6"/>
  <c r="G42" i="8" s="1"/>
  <c r="H42" i="6"/>
  <c r="H42" i="8" s="1"/>
  <c r="I42" i="6"/>
  <c r="I42" i="8" s="1"/>
  <c r="J42" i="6"/>
  <c r="J42" i="8" s="1"/>
  <c r="K42" i="6"/>
  <c r="K42" i="8" s="1"/>
  <c r="L42" i="6"/>
  <c r="L42" i="8" s="1"/>
  <c r="M42" i="6"/>
  <c r="M42" i="8" s="1"/>
  <c r="N42" i="6"/>
  <c r="N42" i="8" s="1"/>
  <c r="O42" i="6"/>
  <c r="O42" i="8" s="1"/>
  <c r="P42" i="6"/>
  <c r="P42" i="8" s="1"/>
  <c r="Q42" i="6"/>
  <c r="Q42" i="8" s="1"/>
  <c r="R42" i="6"/>
  <c r="R42" i="8" s="1"/>
  <c r="S42" i="6"/>
  <c r="S42" i="8" s="1"/>
  <c r="T42" i="6"/>
  <c r="T42" i="8" s="1"/>
  <c r="U42" i="6"/>
  <c r="U42" i="8" s="1"/>
  <c r="V42" i="6"/>
  <c r="V42" i="8" s="1"/>
  <c r="W42" i="6"/>
  <c r="W42" i="8" s="1"/>
  <c r="X42" i="6"/>
  <c r="X42" i="8" s="1"/>
  <c r="Y42" i="6"/>
  <c r="Y42" i="8" s="1"/>
  <c r="Z42" i="6"/>
  <c r="Z42" i="8" s="1"/>
  <c r="AA42" i="6"/>
  <c r="AA42" i="8" s="1"/>
  <c r="AB42" i="6"/>
  <c r="AB42" i="8" s="1"/>
  <c r="AC42" i="6"/>
  <c r="AC42" i="8" s="1"/>
  <c r="AD42" i="6"/>
  <c r="AD42" i="8" s="1"/>
  <c r="AE42" i="6"/>
  <c r="AE42" i="8" s="1"/>
  <c r="AF42" i="6"/>
  <c r="AF42" i="8" s="1"/>
  <c r="E43" i="6"/>
  <c r="E43" i="8" s="1"/>
  <c r="F43" i="6"/>
  <c r="F43" i="8" s="1"/>
  <c r="G43" i="6"/>
  <c r="G43" i="8" s="1"/>
  <c r="H43" i="6"/>
  <c r="H43" i="8" s="1"/>
  <c r="I43" i="6"/>
  <c r="I43" i="8" s="1"/>
  <c r="J43" i="6"/>
  <c r="J43" i="8" s="1"/>
  <c r="K43" i="6"/>
  <c r="K43" i="8" s="1"/>
  <c r="L43" i="6"/>
  <c r="L43" i="8" s="1"/>
  <c r="M43" i="6"/>
  <c r="M43" i="8" s="1"/>
  <c r="N43" i="6"/>
  <c r="N43" i="8" s="1"/>
  <c r="O43" i="6"/>
  <c r="O43" i="8" s="1"/>
  <c r="P43" i="6"/>
  <c r="P43" i="8" s="1"/>
  <c r="Q43" i="6"/>
  <c r="Q43" i="8" s="1"/>
  <c r="R43" i="6"/>
  <c r="R43" i="8" s="1"/>
  <c r="S43" i="6"/>
  <c r="S43" i="8" s="1"/>
  <c r="T43" i="6"/>
  <c r="T43" i="8" s="1"/>
  <c r="U43" i="6"/>
  <c r="U43" i="8" s="1"/>
  <c r="V43" i="6"/>
  <c r="V43" i="8" s="1"/>
  <c r="W43" i="6"/>
  <c r="W43" i="8" s="1"/>
  <c r="X43" i="6"/>
  <c r="X43" i="8" s="1"/>
  <c r="Y43" i="6"/>
  <c r="Y43" i="8" s="1"/>
  <c r="Z43" i="6"/>
  <c r="Z43" i="8" s="1"/>
  <c r="AA43" i="6"/>
  <c r="AA43" i="8" s="1"/>
  <c r="AB43" i="6"/>
  <c r="AB43" i="8" s="1"/>
  <c r="AC43" i="6"/>
  <c r="AC43" i="8" s="1"/>
  <c r="AD43" i="6"/>
  <c r="AD43" i="8" s="1"/>
  <c r="AE43" i="6"/>
  <c r="AE43" i="8" s="1"/>
  <c r="AF43" i="6"/>
  <c r="AF43" i="8" s="1"/>
  <c r="E44" i="6"/>
  <c r="E44" i="8" s="1"/>
  <c r="F44" i="6"/>
  <c r="F44" i="8" s="1"/>
  <c r="G44" i="6"/>
  <c r="G44" i="8" s="1"/>
  <c r="H44" i="6"/>
  <c r="H44" i="8" s="1"/>
  <c r="I44" i="6"/>
  <c r="I44" i="8" s="1"/>
  <c r="J44" i="6"/>
  <c r="J44" i="8" s="1"/>
  <c r="K44" i="6"/>
  <c r="K44" i="8" s="1"/>
  <c r="L44" i="6"/>
  <c r="L44" i="8" s="1"/>
  <c r="M44" i="6"/>
  <c r="M44" i="8" s="1"/>
  <c r="N44" i="6"/>
  <c r="N44" i="8" s="1"/>
  <c r="O44" i="6"/>
  <c r="O44" i="8" s="1"/>
  <c r="P44" i="6"/>
  <c r="P44" i="8" s="1"/>
  <c r="Q44" i="6"/>
  <c r="Q44" i="8" s="1"/>
  <c r="R44" i="6"/>
  <c r="R44" i="8" s="1"/>
  <c r="S44" i="6"/>
  <c r="S44" i="8" s="1"/>
  <c r="T44" i="6"/>
  <c r="T44" i="8" s="1"/>
  <c r="U44" i="6"/>
  <c r="U44" i="8" s="1"/>
  <c r="V44" i="6"/>
  <c r="V44" i="8" s="1"/>
  <c r="W44" i="6"/>
  <c r="W44" i="8" s="1"/>
  <c r="X44" i="6"/>
  <c r="X44" i="8" s="1"/>
  <c r="Y44" i="6"/>
  <c r="Y44" i="8" s="1"/>
  <c r="Z44" i="6"/>
  <c r="Z44" i="8" s="1"/>
  <c r="AA44" i="6"/>
  <c r="AA44" i="8" s="1"/>
  <c r="AB44" i="6"/>
  <c r="AB44" i="8" s="1"/>
  <c r="AC44" i="6"/>
  <c r="AC44" i="8" s="1"/>
  <c r="AD44" i="6"/>
  <c r="AD44" i="8" s="1"/>
  <c r="AE44" i="6"/>
  <c r="AE44" i="8" s="1"/>
  <c r="AF44" i="6"/>
  <c r="AF44" i="8" s="1"/>
  <c r="E45" i="6"/>
  <c r="E45" i="8" s="1"/>
  <c r="F45" i="6"/>
  <c r="F45" i="8" s="1"/>
  <c r="G45" i="6"/>
  <c r="G45" i="8" s="1"/>
  <c r="H45" i="6"/>
  <c r="H45" i="8" s="1"/>
  <c r="I45" i="6"/>
  <c r="I45" i="8" s="1"/>
  <c r="J45" i="6"/>
  <c r="J45" i="8" s="1"/>
  <c r="K45" i="6"/>
  <c r="K45" i="8" s="1"/>
  <c r="L45" i="6"/>
  <c r="L45" i="8" s="1"/>
  <c r="M45" i="6"/>
  <c r="M45" i="8" s="1"/>
  <c r="N45" i="6"/>
  <c r="N45" i="8" s="1"/>
  <c r="O45" i="6"/>
  <c r="O45" i="8" s="1"/>
  <c r="P45" i="6"/>
  <c r="P45" i="8" s="1"/>
  <c r="Q45" i="6"/>
  <c r="Q45" i="8" s="1"/>
  <c r="R45" i="6"/>
  <c r="R45" i="8" s="1"/>
  <c r="S45" i="6"/>
  <c r="S45" i="8" s="1"/>
  <c r="T45" i="6"/>
  <c r="T45" i="8" s="1"/>
  <c r="U45" i="6"/>
  <c r="U45" i="8" s="1"/>
  <c r="V45" i="6"/>
  <c r="V45" i="8" s="1"/>
  <c r="W45" i="6"/>
  <c r="W45" i="8" s="1"/>
  <c r="X45" i="6"/>
  <c r="X45" i="8" s="1"/>
  <c r="Y45" i="6"/>
  <c r="Y45" i="8" s="1"/>
  <c r="Z45" i="6"/>
  <c r="Z45" i="8" s="1"/>
  <c r="AA45" i="6"/>
  <c r="AA45" i="8" s="1"/>
  <c r="AB45" i="6"/>
  <c r="AB45" i="8" s="1"/>
  <c r="AC45" i="6"/>
  <c r="AC45" i="8" s="1"/>
  <c r="AD45" i="6"/>
  <c r="AD45" i="8" s="1"/>
  <c r="AE45" i="6"/>
  <c r="AE45" i="8" s="1"/>
  <c r="AF45" i="6"/>
  <c r="AF45" i="8" s="1"/>
  <c r="E46" i="6"/>
  <c r="E46" i="8" s="1"/>
  <c r="F46" i="6"/>
  <c r="F46" i="8" s="1"/>
  <c r="G46" i="6"/>
  <c r="G46" i="8" s="1"/>
  <c r="H46" i="6"/>
  <c r="H46" i="8" s="1"/>
  <c r="I46" i="6"/>
  <c r="I46" i="8" s="1"/>
  <c r="J46" i="6"/>
  <c r="J46" i="8" s="1"/>
  <c r="K46" i="6"/>
  <c r="K46" i="8" s="1"/>
  <c r="L46" i="6"/>
  <c r="L46" i="8" s="1"/>
  <c r="M46" i="6"/>
  <c r="M46" i="8" s="1"/>
  <c r="N46" i="6"/>
  <c r="N46" i="8" s="1"/>
  <c r="O46" i="6"/>
  <c r="O46" i="8" s="1"/>
  <c r="P46" i="6"/>
  <c r="P46" i="8" s="1"/>
  <c r="Q46" i="6"/>
  <c r="Q46" i="8" s="1"/>
  <c r="R46" i="6"/>
  <c r="R46" i="8" s="1"/>
  <c r="S46" i="6"/>
  <c r="S46" i="8" s="1"/>
  <c r="T46" i="6"/>
  <c r="T46" i="8" s="1"/>
  <c r="U46" i="6"/>
  <c r="U46" i="8" s="1"/>
  <c r="V46" i="6"/>
  <c r="V46" i="8" s="1"/>
  <c r="W46" i="6"/>
  <c r="W46" i="8" s="1"/>
  <c r="X46" i="6"/>
  <c r="X46" i="8" s="1"/>
  <c r="Y46" i="6"/>
  <c r="Y46" i="8" s="1"/>
  <c r="Z46" i="6"/>
  <c r="Z46" i="8" s="1"/>
  <c r="AA46" i="6"/>
  <c r="AA46" i="8" s="1"/>
  <c r="AB46" i="6"/>
  <c r="AB46" i="8" s="1"/>
  <c r="AC46" i="6"/>
  <c r="AC46" i="8" s="1"/>
  <c r="AD46" i="6"/>
  <c r="AD46" i="8" s="1"/>
  <c r="AE46" i="6"/>
  <c r="AE46" i="8" s="1"/>
  <c r="AF46" i="6"/>
  <c r="AF46" i="8" s="1"/>
  <c r="E47" i="6"/>
  <c r="E47" i="8" s="1"/>
  <c r="F47" i="6"/>
  <c r="F47" i="8" s="1"/>
  <c r="G47" i="6"/>
  <c r="G47" i="8" s="1"/>
  <c r="H47" i="6"/>
  <c r="H47" i="8" s="1"/>
  <c r="I47" i="6"/>
  <c r="I47" i="8" s="1"/>
  <c r="J47" i="6"/>
  <c r="J47" i="8" s="1"/>
  <c r="K47" i="6"/>
  <c r="K47" i="8" s="1"/>
  <c r="L47" i="6"/>
  <c r="L47" i="8" s="1"/>
  <c r="M47" i="6"/>
  <c r="M47" i="8" s="1"/>
  <c r="N47" i="6"/>
  <c r="N47" i="8" s="1"/>
  <c r="O47" i="6"/>
  <c r="O47" i="8" s="1"/>
  <c r="P47" i="6"/>
  <c r="P47" i="8" s="1"/>
  <c r="Q47" i="6"/>
  <c r="Q47" i="8" s="1"/>
  <c r="R47" i="6"/>
  <c r="R47" i="8" s="1"/>
  <c r="S47" i="6"/>
  <c r="S47" i="8" s="1"/>
  <c r="T47" i="6"/>
  <c r="T47" i="8" s="1"/>
  <c r="U47" i="6"/>
  <c r="U47" i="8" s="1"/>
  <c r="V47" i="6"/>
  <c r="V47" i="8" s="1"/>
  <c r="W47" i="6"/>
  <c r="W47" i="8" s="1"/>
  <c r="X47" i="6"/>
  <c r="X47" i="8" s="1"/>
  <c r="Y47" i="6"/>
  <c r="Y47" i="8" s="1"/>
  <c r="Z47" i="6"/>
  <c r="Z47" i="8" s="1"/>
  <c r="AA47" i="6"/>
  <c r="AA47" i="8" s="1"/>
  <c r="AB47" i="6"/>
  <c r="AB47" i="8" s="1"/>
  <c r="AC47" i="6"/>
  <c r="AC47" i="8" s="1"/>
  <c r="AD47" i="6"/>
  <c r="AD47" i="8" s="1"/>
  <c r="AE47" i="6"/>
  <c r="AE47" i="8" s="1"/>
  <c r="AF47" i="6"/>
  <c r="AF47" i="8" s="1"/>
  <c r="E48" i="6"/>
  <c r="E48" i="8" s="1"/>
  <c r="F48" i="6"/>
  <c r="F48" i="8" s="1"/>
  <c r="G48" i="6"/>
  <c r="G48" i="8" s="1"/>
  <c r="H48" i="6"/>
  <c r="H48" i="8" s="1"/>
  <c r="I48" i="6"/>
  <c r="I48" i="8" s="1"/>
  <c r="J48" i="6"/>
  <c r="J48" i="8" s="1"/>
  <c r="K48" i="6"/>
  <c r="K48" i="8" s="1"/>
  <c r="L48" i="6"/>
  <c r="L48" i="8" s="1"/>
  <c r="M48" i="6"/>
  <c r="M48" i="8" s="1"/>
  <c r="N48" i="6"/>
  <c r="N48" i="8" s="1"/>
  <c r="O48" i="6"/>
  <c r="O48" i="8" s="1"/>
  <c r="P48" i="6"/>
  <c r="P48" i="8" s="1"/>
  <c r="Q48" i="6"/>
  <c r="Q48" i="8" s="1"/>
  <c r="R48" i="6"/>
  <c r="R48" i="8" s="1"/>
  <c r="S48" i="6"/>
  <c r="S48" i="8" s="1"/>
  <c r="T48" i="6"/>
  <c r="T48" i="8" s="1"/>
  <c r="U48" i="6"/>
  <c r="U48" i="8" s="1"/>
  <c r="V48" i="6"/>
  <c r="V48" i="8" s="1"/>
  <c r="W48" i="6"/>
  <c r="W48" i="8" s="1"/>
  <c r="X48" i="6"/>
  <c r="X48" i="8" s="1"/>
  <c r="Y48" i="6"/>
  <c r="Y48" i="8" s="1"/>
  <c r="Z48" i="6"/>
  <c r="Z48" i="8" s="1"/>
  <c r="AA48" i="6"/>
  <c r="AA48" i="8" s="1"/>
  <c r="AB48" i="6"/>
  <c r="AB48" i="8" s="1"/>
  <c r="AC48" i="6"/>
  <c r="AC48" i="8" s="1"/>
  <c r="AD48" i="6"/>
  <c r="AD48" i="8" s="1"/>
  <c r="AE48" i="6"/>
  <c r="AE48" i="8" s="1"/>
  <c r="AF48" i="6"/>
  <c r="AF48" i="8" s="1"/>
  <c r="E49" i="6"/>
  <c r="E49" i="8" s="1"/>
  <c r="F49" i="6"/>
  <c r="F49" i="8" s="1"/>
  <c r="G49" i="6"/>
  <c r="G49" i="8" s="1"/>
  <c r="H49" i="6"/>
  <c r="H49" i="8" s="1"/>
  <c r="I49" i="6"/>
  <c r="I49" i="8" s="1"/>
  <c r="J49" i="6"/>
  <c r="J49" i="8" s="1"/>
  <c r="K49" i="6"/>
  <c r="K49" i="8" s="1"/>
  <c r="L49" i="6"/>
  <c r="L49" i="8" s="1"/>
  <c r="M49" i="6"/>
  <c r="M49" i="8" s="1"/>
  <c r="N49" i="6"/>
  <c r="N49" i="8" s="1"/>
  <c r="O49" i="6"/>
  <c r="O49" i="8" s="1"/>
  <c r="P49" i="6"/>
  <c r="P49" i="8" s="1"/>
  <c r="Q49" i="6"/>
  <c r="Q49" i="8" s="1"/>
  <c r="R49" i="6"/>
  <c r="R49" i="8" s="1"/>
  <c r="S49" i="6"/>
  <c r="S49" i="8" s="1"/>
  <c r="T49" i="6"/>
  <c r="T49" i="8" s="1"/>
  <c r="U49" i="6"/>
  <c r="U49" i="8" s="1"/>
  <c r="V49" i="6"/>
  <c r="V49" i="8" s="1"/>
  <c r="W49" i="6"/>
  <c r="W49" i="8" s="1"/>
  <c r="X49" i="6"/>
  <c r="X49" i="8" s="1"/>
  <c r="Y49" i="6"/>
  <c r="Y49" i="8" s="1"/>
  <c r="Z49" i="6"/>
  <c r="Z49" i="8" s="1"/>
  <c r="AA49" i="6"/>
  <c r="AA49" i="8" s="1"/>
  <c r="AB49" i="6"/>
  <c r="AB49" i="8" s="1"/>
  <c r="AC49" i="6"/>
  <c r="AC49" i="8" s="1"/>
  <c r="AD49" i="6"/>
  <c r="AD49" i="8" s="1"/>
  <c r="AE49" i="6"/>
  <c r="AE49" i="8" s="1"/>
  <c r="AF49" i="6"/>
  <c r="AF49" i="8" s="1"/>
  <c r="E50" i="6"/>
  <c r="E50" i="8" s="1"/>
  <c r="F50" i="6"/>
  <c r="F50" i="8" s="1"/>
  <c r="G50" i="6"/>
  <c r="G50" i="8" s="1"/>
  <c r="H50" i="6"/>
  <c r="H50" i="8" s="1"/>
  <c r="I50" i="6"/>
  <c r="I50" i="8" s="1"/>
  <c r="J50" i="6"/>
  <c r="J50" i="8" s="1"/>
  <c r="K50" i="6"/>
  <c r="K50" i="8" s="1"/>
  <c r="L50" i="6"/>
  <c r="L50" i="8" s="1"/>
  <c r="M50" i="6"/>
  <c r="M50" i="8" s="1"/>
  <c r="N50" i="6"/>
  <c r="N50" i="8" s="1"/>
  <c r="O50" i="6"/>
  <c r="O50" i="8" s="1"/>
  <c r="P50" i="6"/>
  <c r="P50" i="8" s="1"/>
  <c r="Q50" i="6"/>
  <c r="Q50" i="8" s="1"/>
  <c r="R50" i="6"/>
  <c r="R50" i="8" s="1"/>
  <c r="S50" i="6"/>
  <c r="S50" i="8" s="1"/>
  <c r="T50" i="6"/>
  <c r="T50" i="8" s="1"/>
  <c r="U50" i="6"/>
  <c r="U50" i="8" s="1"/>
  <c r="V50" i="6"/>
  <c r="V50" i="8" s="1"/>
  <c r="W50" i="6"/>
  <c r="W50" i="8" s="1"/>
  <c r="X50" i="6"/>
  <c r="X50" i="8" s="1"/>
  <c r="Y50" i="6"/>
  <c r="Y50" i="8" s="1"/>
  <c r="Z50" i="6"/>
  <c r="Z50" i="8" s="1"/>
  <c r="AA50" i="6"/>
  <c r="AA50" i="8" s="1"/>
  <c r="AB50" i="6"/>
  <c r="AB50" i="8" s="1"/>
  <c r="AC50" i="6"/>
  <c r="AC50" i="8" s="1"/>
  <c r="AD50" i="6"/>
  <c r="AD50" i="8" s="1"/>
  <c r="AE50" i="6"/>
  <c r="AE50" i="8" s="1"/>
  <c r="AF50" i="6"/>
  <c r="AF50" i="8" s="1"/>
  <c r="E51" i="6"/>
  <c r="E51" i="8" s="1"/>
  <c r="F51" i="6"/>
  <c r="F51" i="8" s="1"/>
  <c r="G51" i="6"/>
  <c r="G51" i="8" s="1"/>
  <c r="H51" i="6"/>
  <c r="H51" i="8" s="1"/>
  <c r="I51" i="6"/>
  <c r="I51" i="8" s="1"/>
  <c r="J51" i="6"/>
  <c r="J51" i="8" s="1"/>
  <c r="K51" i="6"/>
  <c r="K51" i="8" s="1"/>
  <c r="L51" i="6"/>
  <c r="L51" i="8" s="1"/>
  <c r="M51" i="6"/>
  <c r="M51" i="8" s="1"/>
  <c r="N51" i="6"/>
  <c r="N51" i="8" s="1"/>
  <c r="O51" i="6"/>
  <c r="O51" i="8" s="1"/>
  <c r="P51" i="6"/>
  <c r="P51" i="8" s="1"/>
  <c r="Q51" i="6"/>
  <c r="Q51" i="8" s="1"/>
  <c r="R51" i="6"/>
  <c r="R51" i="8" s="1"/>
  <c r="S51" i="6"/>
  <c r="S51" i="8" s="1"/>
  <c r="T51" i="6"/>
  <c r="T51" i="8" s="1"/>
  <c r="U51" i="6"/>
  <c r="U51" i="8" s="1"/>
  <c r="V51" i="6"/>
  <c r="V51" i="8" s="1"/>
  <c r="W51" i="6"/>
  <c r="W51" i="8" s="1"/>
  <c r="X51" i="6"/>
  <c r="X51" i="8" s="1"/>
  <c r="Y51" i="6"/>
  <c r="Y51" i="8" s="1"/>
  <c r="Z51" i="6"/>
  <c r="Z51" i="8" s="1"/>
  <c r="AA51" i="6"/>
  <c r="AA51" i="8" s="1"/>
  <c r="AB51" i="6"/>
  <c r="AB51" i="8" s="1"/>
  <c r="AC51" i="6"/>
  <c r="AC51" i="8" s="1"/>
  <c r="AD51" i="6"/>
  <c r="AD51" i="8" s="1"/>
  <c r="AE51" i="6"/>
  <c r="AE51" i="8" s="1"/>
  <c r="AF51" i="6"/>
  <c r="AF51" i="8" s="1"/>
  <c r="E52" i="6"/>
  <c r="E52" i="8" s="1"/>
  <c r="F52" i="6"/>
  <c r="F52" i="8" s="1"/>
  <c r="G52" i="6"/>
  <c r="G52" i="8" s="1"/>
  <c r="H52" i="6"/>
  <c r="H52" i="8" s="1"/>
  <c r="I52" i="6"/>
  <c r="I52" i="8" s="1"/>
  <c r="J52" i="6"/>
  <c r="J52" i="8" s="1"/>
  <c r="K52" i="6"/>
  <c r="K52" i="8" s="1"/>
  <c r="L52" i="6"/>
  <c r="L52" i="8" s="1"/>
  <c r="M52" i="6"/>
  <c r="M52" i="8" s="1"/>
  <c r="N52" i="6"/>
  <c r="N52" i="8" s="1"/>
  <c r="O52" i="6"/>
  <c r="O52" i="8" s="1"/>
  <c r="P52" i="6"/>
  <c r="P52" i="8" s="1"/>
  <c r="Q52" i="6"/>
  <c r="Q52" i="8" s="1"/>
  <c r="R52" i="6"/>
  <c r="R52" i="8" s="1"/>
  <c r="S52" i="6"/>
  <c r="S52" i="8" s="1"/>
  <c r="T52" i="6"/>
  <c r="T52" i="8" s="1"/>
  <c r="U52" i="6"/>
  <c r="U52" i="8" s="1"/>
  <c r="V52" i="6"/>
  <c r="V52" i="8" s="1"/>
  <c r="W52" i="6"/>
  <c r="W52" i="8" s="1"/>
  <c r="X52" i="6"/>
  <c r="X52" i="8" s="1"/>
  <c r="Y52" i="6"/>
  <c r="Y52" i="8" s="1"/>
  <c r="Z52" i="6"/>
  <c r="Z52" i="8" s="1"/>
  <c r="AA52" i="6"/>
  <c r="AA52" i="8" s="1"/>
  <c r="AB52" i="6"/>
  <c r="AB52" i="8" s="1"/>
  <c r="AC52" i="6"/>
  <c r="AC52" i="8" s="1"/>
  <c r="AD52" i="6"/>
  <c r="AD52" i="8" s="1"/>
  <c r="AE52" i="6"/>
  <c r="AE52" i="8" s="1"/>
  <c r="AF52" i="6"/>
  <c r="AF52" i="8" s="1"/>
  <c r="E53" i="6"/>
  <c r="E53" i="8" s="1"/>
  <c r="F53" i="6"/>
  <c r="F53" i="8" s="1"/>
  <c r="G53" i="6"/>
  <c r="G53" i="8" s="1"/>
  <c r="H53" i="6"/>
  <c r="H53" i="8" s="1"/>
  <c r="I53" i="6"/>
  <c r="I53" i="8" s="1"/>
  <c r="J53" i="6"/>
  <c r="J53" i="8" s="1"/>
  <c r="K53" i="6"/>
  <c r="K53" i="8" s="1"/>
  <c r="L53" i="6"/>
  <c r="L53" i="8" s="1"/>
  <c r="M53" i="6"/>
  <c r="M53" i="8" s="1"/>
  <c r="N53" i="6"/>
  <c r="N53" i="8" s="1"/>
  <c r="O53" i="6"/>
  <c r="O53" i="8" s="1"/>
  <c r="P53" i="6"/>
  <c r="P53" i="8" s="1"/>
  <c r="Q53" i="6"/>
  <c r="Q53" i="8" s="1"/>
  <c r="R53" i="6"/>
  <c r="R53" i="8" s="1"/>
  <c r="S53" i="6"/>
  <c r="S53" i="8" s="1"/>
  <c r="T53" i="6"/>
  <c r="T53" i="8" s="1"/>
  <c r="U53" i="6"/>
  <c r="U53" i="8" s="1"/>
  <c r="V53" i="6"/>
  <c r="V53" i="8" s="1"/>
  <c r="W53" i="6"/>
  <c r="W53" i="8" s="1"/>
  <c r="X53" i="6"/>
  <c r="X53" i="8" s="1"/>
  <c r="Y53" i="6"/>
  <c r="Y53" i="8" s="1"/>
  <c r="Z53" i="6"/>
  <c r="Z53" i="8" s="1"/>
  <c r="AA53" i="6"/>
  <c r="AA53" i="8" s="1"/>
  <c r="AB53" i="6"/>
  <c r="AB53" i="8" s="1"/>
  <c r="AC53" i="6"/>
  <c r="AC53" i="8" s="1"/>
  <c r="AD53" i="6"/>
  <c r="AD53" i="8" s="1"/>
  <c r="AE53" i="6"/>
  <c r="AE53" i="8" s="1"/>
  <c r="AF53" i="6"/>
  <c r="AF53" i="8" s="1"/>
  <c r="E54" i="6"/>
  <c r="E54" i="8" s="1"/>
  <c r="F54" i="6"/>
  <c r="F54" i="8" s="1"/>
  <c r="G54" i="6"/>
  <c r="G54" i="8" s="1"/>
  <c r="H54" i="6"/>
  <c r="H54" i="8" s="1"/>
  <c r="I54" i="6"/>
  <c r="I54" i="8" s="1"/>
  <c r="J54" i="6"/>
  <c r="J54" i="8" s="1"/>
  <c r="K54" i="6"/>
  <c r="K54" i="8" s="1"/>
  <c r="L54" i="6"/>
  <c r="L54" i="8" s="1"/>
  <c r="M54" i="6"/>
  <c r="M54" i="8" s="1"/>
  <c r="N54" i="6"/>
  <c r="N54" i="8" s="1"/>
  <c r="O54" i="6"/>
  <c r="O54" i="8" s="1"/>
  <c r="P54" i="6"/>
  <c r="P54" i="8" s="1"/>
  <c r="Q54" i="6"/>
  <c r="Q54" i="8" s="1"/>
  <c r="R54" i="6"/>
  <c r="R54" i="8" s="1"/>
  <c r="S54" i="6"/>
  <c r="S54" i="8" s="1"/>
  <c r="T54" i="6"/>
  <c r="T54" i="8" s="1"/>
  <c r="U54" i="6"/>
  <c r="U54" i="8" s="1"/>
  <c r="V54" i="6"/>
  <c r="V54" i="8" s="1"/>
  <c r="W54" i="6"/>
  <c r="W54" i="8" s="1"/>
  <c r="X54" i="6"/>
  <c r="X54" i="8" s="1"/>
  <c r="Y54" i="6"/>
  <c r="Y54" i="8" s="1"/>
  <c r="Z54" i="6"/>
  <c r="Z54" i="8" s="1"/>
  <c r="AA54" i="6"/>
  <c r="AA54" i="8" s="1"/>
  <c r="AB54" i="6"/>
  <c r="AB54" i="8" s="1"/>
  <c r="AC54" i="6"/>
  <c r="AC54" i="8" s="1"/>
  <c r="AD54" i="6"/>
  <c r="AD54" i="8" s="1"/>
  <c r="AE54" i="6"/>
  <c r="AE54" i="8" s="1"/>
  <c r="AF54" i="6"/>
  <c r="AF54" i="8" s="1"/>
  <c r="E55" i="6"/>
  <c r="E55" i="8" s="1"/>
  <c r="F55" i="6"/>
  <c r="F55" i="8" s="1"/>
  <c r="G55" i="6"/>
  <c r="G55" i="8" s="1"/>
  <c r="H55" i="6"/>
  <c r="H55" i="8" s="1"/>
  <c r="I55" i="6"/>
  <c r="I55" i="8" s="1"/>
  <c r="J55" i="6"/>
  <c r="J55" i="8" s="1"/>
  <c r="K55" i="6"/>
  <c r="K55" i="8" s="1"/>
  <c r="L55" i="6"/>
  <c r="L55" i="8" s="1"/>
  <c r="M55" i="6"/>
  <c r="M55" i="8" s="1"/>
  <c r="N55" i="6"/>
  <c r="N55" i="8" s="1"/>
  <c r="O55" i="6"/>
  <c r="O55" i="8" s="1"/>
  <c r="P55" i="6"/>
  <c r="P55" i="8" s="1"/>
  <c r="Q55" i="6"/>
  <c r="Q55" i="8" s="1"/>
  <c r="R55" i="6"/>
  <c r="R55" i="8" s="1"/>
  <c r="S55" i="6"/>
  <c r="S55" i="8" s="1"/>
  <c r="T55" i="6"/>
  <c r="T55" i="8" s="1"/>
  <c r="U55" i="6"/>
  <c r="U55" i="8" s="1"/>
  <c r="V55" i="6"/>
  <c r="V55" i="8" s="1"/>
  <c r="W55" i="6"/>
  <c r="W55" i="8" s="1"/>
  <c r="X55" i="6"/>
  <c r="X55" i="8" s="1"/>
  <c r="Y55" i="6"/>
  <c r="Y55" i="8" s="1"/>
  <c r="Z55" i="6"/>
  <c r="Z55" i="8" s="1"/>
  <c r="AA55" i="6"/>
  <c r="AA55" i="8" s="1"/>
  <c r="AB55" i="6"/>
  <c r="AB55" i="8" s="1"/>
  <c r="AC55" i="6"/>
  <c r="AC55" i="8" s="1"/>
  <c r="AD55" i="6"/>
  <c r="AD55" i="8" s="1"/>
  <c r="AE55" i="6"/>
  <c r="AE55" i="8" s="1"/>
  <c r="AF55" i="6"/>
  <c r="AF55" i="8" s="1"/>
  <c r="E56" i="6"/>
  <c r="E56" i="8" s="1"/>
  <c r="F56" i="6"/>
  <c r="F56" i="8" s="1"/>
  <c r="G56" i="6"/>
  <c r="G56" i="8" s="1"/>
  <c r="H56" i="6"/>
  <c r="H56" i="8" s="1"/>
  <c r="I56" i="6"/>
  <c r="I56" i="8" s="1"/>
  <c r="J56" i="6"/>
  <c r="J56" i="8" s="1"/>
  <c r="K56" i="6"/>
  <c r="K56" i="8" s="1"/>
  <c r="L56" i="6"/>
  <c r="L56" i="8" s="1"/>
  <c r="M56" i="6"/>
  <c r="M56" i="8" s="1"/>
  <c r="N56" i="6"/>
  <c r="N56" i="8" s="1"/>
  <c r="O56" i="6"/>
  <c r="O56" i="8" s="1"/>
  <c r="P56" i="6"/>
  <c r="P56" i="8" s="1"/>
  <c r="Q56" i="6"/>
  <c r="Q56" i="8" s="1"/>
  <c r="R56" i="6"/>
  <c r="R56" i="8" s="1"/>
  <c r="S56" i="6"/>
  <c r="S56" i="8" s="1"/>
  <c r="T56" i="6"/>
  <c r="T56" i="8" s="1"/>
  <c r="U56" i="6"/>
  <c r="U56" i="8" s="1"/>
  <c r="V56" i="6"/>
  <c r="V56" i="8" s="1"/>
  <c r="W56" i="6"/>
  <c r="W56" i="8" s="1"/>
  <c r="X56" i="6"/>
  <c r="X56" i="8" s="1"/>
  <c r="Y56" i="6"/>
  <c r="Y56" i="8" s="1"/>
  <c r="Z56" i="6"/>
  <c r="Z56" i="8" s="1"/>
  <c r="AA56" i="6"/>
  <c r="AA56" i="8" s="1"/>
  <c r="AB56" i="6"/>
  <c r="AB56" i="8" s="1"/>
  <c r="AC56" i="6"/>
  <c r="AC56" i="8" s="1"/>
  <c r="AD56" i="6"/>
  <c r="AD56" i="8" s="1"/>
  <c r="AE56" i="6"/>
  <c r="AE56" i="8" s="1"/>
  <c r="AF56" i="6"/>
  <c r="AF56" i="8" s="1"/>
  <c r="E57" i="6"/>
  <c r="E57" i="8" s="1"/>
  <c r="F57" i="6"/>
  <c r="F57" i="8" s="1"/>
  <c r="G57" i="6"/>
  <c r="G57" i="8" s="1"/>
  <c r="H57" i="6"/>
  <c r="H57" i="8" s="1"/>
  <c r="I57" i="6"/>
  <c r="I57" i="8" s="1"/>
  <c r="J57" i="6"/>
  <c r="J57" i="8" s="1"/>
  <c r="K57" i="6"/>
  <c r="K57" i="8" s="1"/>
  <c r="L57" i="6"/>
  <c r="L57" i="8" s="1"/>
  <c r="M57" i="6"/>
  <c r="M57" i="8" s="1"/>
  <c r="N57" i="6"/>
  <c r="N57" i="8" s="1"/>
  <c r="O57" i="6"/>
  <c r="O57" i="8" s="1"/>
  <c r="P57" i="6"/>
  <c r="P57" i="8" s="1"/>
  <c r="Q57" i="6"/>
  <c r="Q57" i="8" s="1"/>
  <c r="R57" i="6"/>
  <c r="R57" i="8" s="1"/>
  <c r="S57" i="6"/>
  <c r="S57" i="8" s="1"/>
  <c r="T57" i="6"/>
  <c r="T57" i="8" s="1"/>
  <c r="U57" i="6"/>
  <c r="U57" i="8" s="1"/>
  <c r="V57" i="6"/>
  <c r="V57" i="8" s="1"/>
  <c r="W57" i="6"/>
  <c r="W57" i="8" s="1"/>
  <c r="X57" i="6"/>
  <c r="X57" i="8" s="1"/>
  <c r="Y57" i="6"/>
  <c r="Y57" i="8" s="1"/>
  <c r="Z57" i="6"/>
  <c r="Z57" i="8" s="1"/>
  <c r="AA57" i="6"/>
  <c r="AA57" i="8" s="1"/>
  <c r="AB57" i="6"/>
  <c r="AB57" i="8" s="1"/>
  <c r="AC57" i="6"/>
  <c r="AC57" i="8" s="1"/>
  <c r="AD57" i="6"/>
  <c r="AD57" i="8" s="1"/>
  <c r="AE57" i="6"/>
  <c r="AE57" i="8" s="1"/>
  <c r="AF57" i="6"/>
  <c r="AF57" i="8" s="1"/>
  <c r="E58" i="6"/>
  <c r="E58" i="8" s="1"/>
  <c r="F58" i="6"/>
  <c r="F58" i="8" s="1"/>
  <c r="G58" i="6"/>
  <c r="G58" i="8" s="1"/>
  <c r="H58" i="6"/>
  <c r="H58" i="8" s="1"/>
  <c r="I58" i="6"/>
  <c r="I58" i="8" s="1"/>
  <c r="J58" i="6"/>
  <c r="J58" i="8" s="1"/>
  <c r="K58" i="6"/>
  <c r="K58" i="8" s="1"/>
  <c r="L58" i="6"/>
  <c r="L58" i="8" s="1"/>
  <c r="M58" i="6"/>
  <c r="M58" i="8" s="1"/>
  <c r="N58" i="6"/>
  <c r="N58" i="8" s="1"/>
  <c r="O58" i="6"/>
  <c r="O58" i="8" s="1"/>
  <c r="P58" i="6"/>
  <c r="P58" i="8" s="1"/>
  <c r="Q58" i="6"/>
  <c r="Q58" i="8" s="1"/>
  <c r="R58" i="6"/>
  <c r="R58" i="8" s="1"/>
  <c r="S58" i="6"/>
  <c r="S58" i="8" s="1"/>
  <c r="T58" i="6"/>
  <c r="T58" i="8" s="1"/>
  <c r="U58" i="6"/>
  <c r="U58" i="8" s="1"/>
  <c r="V58" i="6"/>
  <c r="V58" i="8" s="1"/>
  <c r="W58" i="6"/>
  <c r="W58" i="8" s="1"/>
  <c r="X58" i="6"/>
  <c r="X58" i="8" s="1"/>
  <c r="Y58" i="6"/>
  <c r="Y58" i="8" s="1"/>
  <c r="Z58" i="6"/>
  <c r="Z58" i="8" s="1"/>
  <c r="AA58" i="6"/>
  <c r="AA58" i="8" s="1"/>
  <c r="AB58" i="6"/>
  <c r="AB58" i="8" s="1"/>
  <c r="AC58" i="6"/>
  <c r="AC58" i="8" s="1"/>
  <c r="AD58" i="6"/>
  <c r="AD58" i="8" s="1"/>
  <c r="AE58" i="6"/>
  <c r="AE58" i="8" s="1"/>
  <c r="AF58" i="6"/>
  <c r="AF58" i="8" s="1"/>
  <c r="E59" i="6"/>
  <c r="E59" i="8" s="1"/>
  <c r="F59" i="6"/>
  <c r="F59" i="8" s="1"/>
  <c r="G59" i="6"/>
  <c r="G59" i="8" s="1"/>
  <c r="H59" i="6"/>
  <c r="H59" i="8" s="1"/>
  <c r="I59" i="6"/>
  <c r="I59" i="8" s="1"/>
  <c r="J59" i="6"/>
  <c r="J59" i="8" s="1"/>
  <c r="K59" i="6"/>
  <c r="K59" i="8" s="1"/>
  <c r="L59" i="6"/>
  <c r="L59" i="8" s="1"/>
  <c r="M59" i="6"/>
  <c r="M59" i="8" s="1"/>
  <c r="N59" i="6"/>
  <c r="N59" i="8" s="1"/>
  <c r="O59" i="6"/>
  <c r="O59" i="8" s="1"/>
  <c r="P59" i="6"/>
  <c r="P59" i="8" s="1"/>
  <c r="Q59" i="6"/>
  <c r="Q59" i="8" s="1"/>
  <c r="R59" i="6"/>
  <c r="R59" i="8" s="1"/>
  <c r="S59" i="6"/>
  <c r="S59" i="8" s="1"/>
  <c r="T59" i="6"/>
  <c r="T59" i="8" s="1"/>
  <c r="U59" i="6"/>
  <c r="U59" i="8" s="1"/>
  <c r="V59" i="6"/>
  <c r="V59" i="8" s="1"/>
  <c r="W59" i="6"/>
  <c r="W59" i="8" s="1"/>
  <c r="X59" i="6"/>
  <c r="X59" i="8" s="1"/>
  <c r="Y59" i="6"/>
  <c r="Y59" i="8" s="1"/>
  <c r="Z59" i="6"/>
  <c r="Z59" i="8" s="1"/>
  <c r="AA59" i="6"/>
  <c r="AA59" i="8" s="1"/>
  <c r="AB59" i="6"/>
  <c r="AB59" i="8" s="1"/>
  <c r="AC59" i="6"/>
  <c r="AC59" i="8" s="1"/>
  <c r="AD59" i="6"/>
  <c r="AD59" i="8" s="1"/>
  <c r="AE59" i="6"/>
  <c r="AE59" i="8" s="1"/>
  <c r="AF59" i="6"/>
  <c r="AF59" i="8" s="1"/>
  <c r="E60" i="6"/>
  <c r="E60" i="8" s="1"/>
  <c r="F60" i="6"/>
  <c r="F60" i="8" s="1"/>
  <c r="G60" i="6"/>
  <c r="G60" i="8" s="1"/>
  <c r="H60" i="6"/>
  <c r="H60" i="8" s="1"/>
  <c r="I60" i="6"/>
  <c r="I60" i="8" s="1"/>
  <c r="J60" i="6"/>
  <c r="J60" i="8" s="1"/>
  <c r="K60" i="6"/>
  <c r="K60" i="8" s="1"/>
  <c r="L60" i="6"/>
  <c r="L60" i="8" s="1"/>
  <c r="M60" i="6"/>
  <c r="M60" i="8" s="1"/>
  <c r="N60" i="6"/>
  <c r="N60" i="8" s="1"/>
  <c r="O60" i="6"/>
  <c r="O60" i="8" s="1"/>
  <c r="P60" i="6"/>
  <c r="P60" i="8" s="1"/>
  <c r="Q60" i="6"/>
  <c r="Q60" i="8" s="1"/>
  <c r="R60" i="6"/>
  <c r="R60" i="8" s="1"/>
  <c r="S60" i="6"/>
  <c r="S60" i="8" s="1"/>
  <c r="T60" i="6"/>
  <c r="T60" i="8" s="1"/>
  <c r="U60" i="6"/>
  <c r="U60" i="8" s="1"/>
  <c r="V60" i="6"/>
  <c r="V60" i="8" s="1"/>
  <c r="W60" i="6"/>
  <c r="W60" i="8" s="1"/>
  <c r="X60" i="6"/>
  <c r="X60" i="8" s="1"/>
  <c r="Y60" i="6"/>
  <c r="Y60" i="8" s="1"/>
  <c r="Z60" i="6"/>
  <c r="Z60" i="8" s="1"/>
  <c r="AA60" i="6"/>
  <c r="AA60" i="8" s="1"/>
  <c r="AB60" i="6"/>
  <c r="AB60" i="8" s="1"/>
  <c r="AC60" i="6"/>
  <c r="AC60" i="8" s="1"/>
  <c r="AD60" i="6"/>
  <c r="AD60" i="8" s="1"/>
  <c r="AE60" i="6"/>
  <c r="AE60" i="8" s="1"/>
  <c r="AF60" i="6"/>
  <c r="AF60" i="8" s="1"/>
  <c r="E61" i="6"/>
  <c r="E61" i="8" s="1"/>
  <c r="F61" i="6"/>
  <c r="F61" i="8" s="1"/>
  <c r="G61" i="6"/>
  <c r="G61" i="8" s="1"/>
  <c r="H61" i="6"/>
  <c r="H61" i="8" s="1"/>
  <c r="I61" i="6"/>
  <c r="I61" i="8" s="1"/>
  <c r="J61" i="6"/>
  <c r="J61" i="8" s="1"/>
  <c r="K61" i="6"/>
  <c r="K61" i="8" s="1"/>
  <c r="L61" i="6"/>
  <c r="L61" i="8" s="1"/>
  <c r="M61" i="6"/>
  <c r="M61" i="8" s="1"/>
  <c r="N61" i="6"/>
  <c r="N61" i="8" s="1"/>
  <c r="O61" i="6"/>
  <c r="O61" i="8" s="1"/>
  <c r="P61" i="6"/>
  <c r="P61" i="8" s="1"/>
  <c r="Q61" i="6"/>
  <c r="Q61" i="8" s="1"/>
  <c r="R61" i="6"/>
  <c r="R61" i="8" s="1"/>
  <c r="S61" i="6"/>
  <c r="S61" i="8" s="1"/>
  <c r="T61" i="6"/>
  <c r="T61" i="8" s="1"/>
  <c r="U61" i="6"/>
  <c r="U61" i="8" s="1"/>
  <c r="V61" i="6"/>
  <c r="V61" i="8" s="1"/>
  <c r="W61" i="6"/>
  <c r="W61" i="8" s="1"/>
  <c r="X61" i="6"/>
  <c r="X61" i="8" s="1"/>
  <c r="Y61" i="6"/>
  <c r="Y61" i="8" s="1"/>
  <c r="Z61" i="6"/>
  <c r="Z61" i="8" s="1"/>
  <c r="AA61" i="6"/>
  <c r="AA61" i="8" s="1"/>
  <c r="AB61" i="6"/>
  <c r="AB61" i="8" s="1"/>
  <c r="AC61" i="6"/>
  <c r="AC61" i="8" s="1"/>
  <c r="AD61" i="6"/>
  <c r="AD61" i="8" s="1"/>
  <c r="AE61" i="6"/>
  <c r="AE61" i="8" s="1"/>
  <c r="AF61" i="6"/>
  <c r="AF61" i="8" s="1"/>
  <c r="E62" i="6"/>
  <c r="E62" i="8" s="1"/>
  <c r="F62" i="6"/>
  <c r="F62" i="8" s="1"/>
  <c r="G62" i="6"/>
  <c r="G62" i="8" s="1"/>
  <c r="H62" i="6"/>
  <c r="H62" i="8" s="1"/>
  <c r="I62" i="6"/>
  <c r="I62" i="8" s="1"/>
  <c r="J62" i="6"/>
  <c r="J62" i="8" s="1"/>
  <c r="K62" i="6"/>
  <c r="K62" i="8" s="1"/>
  <c r="L62" i="6"/>
  <c r="L62" i="8" s="1"/>
  <c r="M62" i="6"/>
  <c r="M62" i="8" s="1"/>
  <c r="N62" i="6"/>
  <c r="N62" i="8" s="1"/>
  <c r="O62" i="6"/>
  <c r="O62" i="8" s="1"/>
  <c r="P62" i="6"/>
  <c r="P62" i="8" s="1"/>
  <c r="Q62" i="6"/>
  <c r="Q62" i="8" s="1"/>
  <c r="R62" i="6"/>
  <c r="R62" i="8" s="1"/>
  <c r="S62" i="6"/>
  <c r="S62" i="8" s="1"/>
  <c r="T62" i="6"/>
  <c r="T62" i="8" s="1"/>
  <c r="U62" i="6"/>
  <c r="U62" i="8" s="1"/>
  <c r="V62" i="6"/>
  <c r="V62" i="8" s="1"/>
  <c r="W62" i="6"/>
  <c r="W62" i="8" s="1"/>
  <c r="X62" i="6"/>
  <c r="X62" i="8" s="1"/>
  <c r="Y62" i="6"/>
  <c r="Y62" i="8" s="1"/>
  <c r="Z62" i="6"/>
  <c r="Z62" i="8" s="1"/>
  <c r="AA62" i="6"/>
  <c r="AA62" i="8" s="1"/>
  <c r="AB62" i="6"/>
  <c r="AB62" i="8" s="1"/>
  <c r="AC62" i="6"/>
  <c r="AC62" i="8" s="1"/>
  <c r="AD62" i="6"/>
  <c r="AD62" i="8" s="1"/>
  <c r="AE62" i="6"/>
  <c r="AE62" i="8" s="1"/>
  <c r="AF62" i="6"/>
  <c r="AF62" i="8" s="1"/>
  <c r="E63" i="6"/>
  <c r="E63" i="8" s="1"/>
  <c r="F63" i="6"/>
  <c r="F63" i="8" s="1"/>
  <c r="G63" i="6"/>
  <c r="G63" i="8" s="1"/>
  <c r="H63" i="6"/>
  <c r="H63" i="8" s="1"/>
  <c r="I63" i="6"/>
  <c r="I63" i="8" s="1"/>
  <c r="J63" i="6"/>
  <c r="J63" i="8" s="1"/>
  <c r="K63" i="6"/>
  <c r="K63" i="8" s="1"/>
  <c r="L63" i="6"/>
  <c r="L63" i="8" s="1"/>
  <c r="M63" i="6"/>
  <c r="M63" i="8" s="1"/>
  <c r="N63" i="6"/>
  <c r="N63" i="8" s="1"/>
  <c r="O63" i="6"/>
  <c r="O63" i="8" s="1"/>
  <c r="P63" i="6"/>
  <c r="P63" i="8" s="1"/>
  <c r="Q63" i="6"/>
  <c r="Q63" i="8" s="1"/>
  <c r="R63" i="6"/>
  <c r="R63" i="8" s="1"/>
  <c r="S63" i="6"/>
  <c r="S63" i="8" s="1"/>
  <c r="T63" i="6"/>
  <c r="T63" i="8" s="1"/>
  <c r="U63" i="6"/>
  <c r="U63" i="8" s="1"/>
  <c r="V63" i="6"/>
  <c r="V63" i="8" s="1"/>
  <c r="W63" i="6"/>
  <c r="W63" i="8" s="1"/>
  <c r="X63" i="6"/>
  <c r="X63" i="8" s="1"/>
  <c r="Y63" i="6"/>
  <c r="Y63" i="8" s="1"/>
  <c r="Z63" i="6"/>
  <c r="Z63" i="8" s="1"/>
  <c r="AA63" i="6"/>
  <c r="AA63" i="8" s="1"/>
  <c r="AB63" i="6"/>
  <c r="AB63" i="8" s="1"/>
  <c r="AC63" i="6"/>
  <c r="AC63" i="8" s="1"/>
  <c r="AD63" i="6"/>
  <c r="AD63" i="8" s="1"/>
  <c r="AE63" i="6"/>
  <c r="AE63" i="8" s="1"/>
  <c r="AF63" i="6"/>
  <c r="AF63" i="8" s="1"/>
  <c r="E64" i="6"/>
  <c r="E64" i="8" s="1"/>
  <c r="F64" i="6"/>
  <c r="F64" i="8" s="1"/>
  <c r="G64" i="6"/>
  <c r="G64" i="8" s="1"/>
  <c r="H64" i="6"/>
  <c r="H64" i="8" s="1"/>
  <c r="I64" i="6"/>
  <c r="I64" i="8" s="1"/>
  <c r="J64" i="6"/>
  <c r="J64" i="8" s="1"/>
  <c r="K64" i="6"/>
  <c r="K64" i="8" s="1"/>
  <c r="L64" i="6"/>
  <c r="L64" i="8" s="1"/>
  <c r="M64" i="6"/>
  <c r="M64" i="8" s="1"/>
  <c r="N64" i="6"/>
  <c r="N64" i="8" s="1"/>
  <c r="O64" i="6"/>
  <c r="O64" i="8" s="1"/>
  <c r="P64" i="6"/>
  <c r="P64" i="8" s="1"/>
  <c r="Q64" i="6"/>
  <c r="Q64" i="8" s="1"/>
  <c r="R64" i="6"/>
  <c r="R64" i="8" s="1"/>
  <c r="S64" i="6"/>
  <c r="S64" i="8" s="1"/>
  <c r="T64" i="6"/>
  <c r="T64" i="8" s="1"/>
  <c r="U64" i="6"/>
  <c r="U64" i="8" s="1"/>
  <c r="V64" i="6"/>
  <c r="V64" i="8" s="1"/>
  <c r="W64" i="6"/>
  <c r="W64" i="8" s="1"/>
  <c r="X64" i="6"/>
  <c r="X64" i="8" s="1"/>
  <c r="Y64" i="6"/>
  <c r="Y64" i="8" s="1"/>
  <c r="Z64" i="6"/>
  <c r="Z64" i="8" s="1"/>
  <c r="AA64" i="6"/>
  <c r="AA64" i="8" s="1"/>
  <c r="AB64" i="6"/>
  <c r="AB64" i="8" s="1"/>
  <c r="AC64" i="6"/>
  <c r="AC64" i="8" s="1"/>
  <c r="AD64" i="6"/>
  <c r="AD64" i="8" s="1"/>
  <c r="AE64" i="6"/>
  <c r="AE64" i="8" s="1"/>
  <c r="AF64" i="6"/>
  <c r="AF64" i="8" s="1"/>
  <c r="E65" i="6"/>
  <c r="E65" i="8" s="1"/>
  <c r="F65" i="6"/>
  <c r="F65" i="8" s="1"/>
  <c r="G65" i="6"/>
  <c r="G65" i="8" s="1"/>
  <c r="H65" i="6"/>
  <c r="H65" i="8" s="1"/>
  <c r="I65" i="6"/>
  <c r="I65" i="8" s="1"/>
  <c r="J65" i="6"/>
  <c r="J65" i="8" s="1"/>
  <c r="K65" i="6"/>
  <c r="K65" i="8" s="1"/>
  <c r="L65" i="6"/>
  <c r="L65" i="8" s="1"/>
  <c r="M65" i="6"/>
  <c r="M65" i="8" s="1"/>
  <c r="N65" i="6"/>
  <c r="N65" i="8" s="1"/>
  <c r="O65" i="6"/>
  <c r="O65" i="8" s="1"/>
  <c r="P65" i="6"/>
  <c r="P65" i="8" s="1"/>
  <c r="Q65" i="6"/>
  <c r="Q65" i="8" s="1"/>
  <c r="R65" i="6"/>
  <c r="R65" i="8" s="1"/>
  <c r="S65" i="6"/>
  <c r="S65" i="8" s="1"/>
  <c r="T65" i="6"/>
  <c r="T65" i="8" s="1"/>
  <c r="U65" i="6"/>
  <c r="U65" i="8" s="1"/>
  <c r="V65" i="6"/>
  <c r="V65" i="8" s="1"/>
  <c r="W65" i="6"/>
  <c r="W65" i="8" s="1"/>
  <c r="X65" i="6"/>
  <c r="X65" i="8" s="1"/>
  <c r="Y65" i="6"/>
  <c r="Y65" i="8" s="1"/>
  <c r="Z65" i="6"/>
  <c r="Z65" i="8" s="1"/>
  <c r="AA65" i="6"/>
  <c r="AA65" i="8" s="1"/>
  <c r="AB65" i="6"/>
  <c r="AB65" i="8" s="1"/>
  <c r="AC65" i="6"/>
  <c r="AC65" i="8" s="1"/>
  <c r="AD65" i="6"/>
  <c r="AD65" i="8" s="1"/>
  <c r="AE65" i="6"/>
  <c r="AE65" i="8" s="1"/>
  <c r="AF65" i="6"/>
  <c r="AF65" i="8" s="1"/>
  <c r="E66" i="6"/>
  <c r="E66" i="8" s="1"/>
  <c r="F66" i="6"/>
  <c r="F66" i="8" s="1"/>
  <c r="G66" i="6"/>
  <c r="G66" i="8" s="1"/>
  <c r="H66" i="6"/>
  <c r="H66" i="8" s="1"/>
  <c r="I66" i="6"/>
  <c r="I66" i="8" s="1"/>
  <c r="J66" i="6"/>
  <c r="J66" i="8" s="1"/>
  <c r="K66" i="6"/>
  <c r="K66" i="8" s="1"/>
  <c r="L66" i="6"/>
  <c r="L66" i="8" s="1"/>
  <c r="M66" i="6"/>
  <c r="M66" i="8" s="1"/>
  <c r="N66" i="6"/>
  <c r="N66" i="8" s="1"/>
  <c r="O66" i="6"/>
  <c r="O66" i="8" s="1"/>
  <c r="P66" i="6"/>
  <c r="P66" i="8" s="1"/>
  <c r="Q66" i="6"/>
  <c r="Q66" i="8" s="1"/>
  <c r="R66" i="6"/>
  <c r="R66" i="8" s="1"/>
  <c r="S66" i="6"/>
  <c r="S66" i="8" s="1"/>
  <c r="T66" i="6"/>
  <c r="T66" i="8" s="1"/>
  <c r="U66" i="6"/>
  <c r="U66" i="8" s="1"/>
  <c r="V66" i="6"/>
  <c r="V66" i="8" s="1"/>
  <c r="W66" i="6"/>
  <c r="W66" i="8" s="1"/>
  <c r="X66" i="6"/>
  <c r="X66" i="8" s="1"/>
  <c r="Y66" i="6"/>
  <c r="Y66" i="8" s="1"/>
  <c r="Z66" i="6"/>
  <c r="Z66" i="8" s="1"/>
  <c r="AA66" i="6"/>
  <c r="AA66" i="8" s="1"/>
  <c r="AB66" i="6"/>
  <c r="AB66" i="8" s="1"/>
  <c r="AC66" i="6"/>
  <c r="AC66" i="8" s="1"/>
  <c r="AD66" i="6"/>
  <c r="AD66" i="8" s="1"/>
  <c r="AE66" i="6"/>
  <c r="AE66" i="8" s="1"/>
  <c r="AF66" i="6"/>
  <c r="AF66" i="8" s="1"/>
  <c r="E67" i="6"/>
  <c r="E67" i="8" s="1"/>
  <c r="F67" i="6"/>
  <c r="F67" i="8" s="1"/>
  <c r="G67" i="6"/>
  <c r="G67" i="8" s="1"/>
  <c r="H67" i="6"/>
  <c r="H67" i="8" s="1"/>
  <c r="I67" i="6"/>
  <c r="I67" i="8" s="1"/>
  <c r="J67" i="6"/>
  <c r="J67" i="8" s="1"/>
  <c r="K67" i="6"/>
  <c r="K67" i="8" s="1"/>
  <c r="L67" i="6"/>
  <c r="L67" i="8" s="1"/>
  <c r="M67" i="6"/>
  <c r="M67" i="8" s="1"/>
  <c r="N67" i="6"/>
  <c r="N67" i="8" s="1"/>
  <c r="O67" i="6"/>
  <c r="O67" i="8" s="1"/>
  <c r="P67" i="6"/>
  <c r="P67" i="8" s="1"/>
  <c r="Q67" i="6"/>
  <c r="Q67" i="8" s="1"/>
  <c r="R67" i="6"/>
  <c r="R67" i="8" s="1"/>
  <c r="S67" i="6"/>
  <c r="S67" i="8" s="1"/>
  <c r="T67" i="6"/>
  <c r="T67" i="8" s="1"/>
  <c r="U67" i="6"/>
  <c r="U67" i="8" s="1"/>
  <c r="V67" i="6"/>
  <c r="V67" i="8" s="1"/>
  <c r="W67" i="6"/>
  <c r="W67" i="8" s="1"/>
  <c r="X67" i="6"/>
  <c r="X67" i="8" s="1"/>
  <c r="Y67" i="6"/>
  <c r="Y67" i="8" s="1"/>
  <c r="Z67" i="6"/>
  <c r="Z67" i="8" s="1"/>
  <c r="AA67" i="6"/>
  <c r="AA67" i="8" s="1"/>
  <c r="AB67" i="6"/>
  <c r="AB67" i="8" s="1"/>
  <c r="AC67" i="6"/>
  <c r="AC67" i="8" s="1"/>
  <c r="AD67" i="6"/>
  <c r="AD67" i="8" s="1"/>
  <c r="AE67" i="6"/>
  <c r="AE67" i="8" s="1"/>
  <c r="AF67" i="6"/>
  <c r="AF67" i="8" s="1"/>
  <c r="E68" i="6"/>
  <c r="E68" i="8" s="1"/>
  <c r="F68" i="6"/>
  <c r="F68" i="8" s="1"/>
  <c r="G68" i="6"/>
  <c r="G68" i="8" s="1"/>
  <c r="H68" i="6"/>
  <c r="H68" i="8" s="1"/>
  <c r="I68" i="6"/>
  <c r="I68" i="8" s="1"/>
  <c r="J68" i="6"/>
  <c r="J68" i="8" s="1"/>
  <c r="K68" i="6"/>
  <c r="K68" i="8" s="1"/>
  <c r="L68" i="6"/>
  <c r="L68" i="8" s="1"/>
  <c r="M68" i="6"/>
  <c r="M68" i="8" s="1"/>
  <c r="N68" i="6"/>
  <c r="N68" i="8" s="1"/>
  <c r="O68" i="6"/>
  <c r="O68" i="8" s="1"/>
  <c r="P68" i="6"/>
  <c r="P68" i="8" s="1"/>
  <c r="Q68" i="6"/>
  <c r="Q68" i="8" s="1"/>
  <c r="R68" i="6"/>
  <c r="R68" i="8" s="1"/>
  <c r="S68" i="6"/>
  <c r="S68" i="8" s="1"/>
  <c r="T68" i="6"/>
  <c r="T68" i="8" s="1"/>
  <c r="U68" i="6"/>
  <c r="U68" i="8" s="1"/>
  <c r="V68" i="6"/>
  <c r="V68" i="8" s="1"/>
  <c r="W68" i="6"/>
  <c r="W68" i="8" s="1"/>
  <c r="X68" i="6"/>
  <c r="X68" i="8" s="1"/>
  <c r="Y68" i="6"/>
  <c r="Y68" i="8" s="1"/>
  <c r="Z68" i="6"/>
  <c r="Z68" i="8" s="1"/>
  <c r="AA68" i="6"/>
  <c r="AA68" i="8" s="1"/>
  <c r="AB68" i="6"/>
  <c r="AB68" i="8" s="1"/>
  <c r="AC68" i="6"/>
  <c r="AC68" i="8" s="1"/>
  <c r="AD68" i="6"/>
  <c r="AD68" i="8" s="1"/>
  <c r="AE68" i="6"/>
  <c r="AE68" i="8" s="1"/>
  <c r="AF68" i="6"/>
  <c r="AF68" i="8" s="1"/>
  <c r="E69" i="6"/>
  <c r="E69" i="8" s="1"/>
  <c r="F69" i="6"/>
  <c r="F69" i="8" s="1"/>
  <c r="G69" i="6"/>
  <c r="G69" i="8" s="1"/>
  <c r="H69" i="6"/>
  <c r="H69" i="8" s="1"/>
  <c r="I69" i="6"/>
  <c r="I69" i="8" s="1"/>
  <c r="J69" i="6"/>
  <c r="J69" i="8" s="1"/>
  <c r="K69" i="6"/>
  <c r="K69" i="8" s="1"/>
  <c r="L69" i="6"/>
  <c r="L69" i="8" s="1"/>
  <c r="M69" i="6"/>
  <c r="M69" i="8" s="1"/>
  <c r="N69" i="6"/>
  <c r="N69" i="8" s="1"/>
  <c r="O69" i="6"/>
  <c r="O69" i="8" s="1"/>
  <c r="P69" i="6"/>
  <c r="P69" i="8" s="1"/>
  <c r="Q69" i="6"/>
  <c r="Q69" i="8" s="1"/>
  <c r="R69" i="6"/>
  <c r="R69" i="8" s="1"/>
  <c r="S69" i="6"/>
  <c r="S69" i="8" s="1"/>
  <c r="T69" i="6"/>
  <c r="T69" i="8" s="1"/>
  <c r="U69" i="6"/>
  <c r="U69" i="8" s="1"/>
  <c r="V69" i="6"/>
  <c r="V69" i="8" s="1"/>
  <c r="W69" i="6"/>
  <c r="W69" i="8" s="1"/>
  <c r="X69" i="6"/>
  <c r="X69" i="8" s="1"/>
  <c r="Y69" i="6"/>
  <c r="Y69" i="8" s="1"/>
  <c r="Z69" i="6"/>
  <c r="Z69" i="8" s="1"/>
  <c r="AA69" i="6"/>
  <c r="AA69" i="8" s="1"/>
  <c r="AB69" i="6"/>
  <c r="AB69" i="8" s="1"/>
  <c r="AC69" i="6"/>
  <c r="AC69" i="8" s="1"/>
  <c r="AD69" i="6"/>
  <c r="AD69" i="8" s="1"/>
  <c r="AE69" i="6"/>
  <c r="AE69" i="8" s="1"/>
  <c r="AF69" i="6"/>
  <c r="AF69" i="8" s="1"/>
  <c r="E70" i="6"/>
  <c r="E70" i="8" s="1"/>
  <c r="F70" i="6"/>
  <c r="F70" i="8" s="1"/>
  <c r="G70" i="6"/>
  <c r="G70" i="8" s="1"/>
  <c r="H70" i="6"/>
  <c r="H70" i="8" s="1"/>
  <c r="I70" i="6"/>
  <c r="I70" i="8" s="1"/>
  <c r="J70" i="6"/>
  <c r="J70" i="8" s="1"/>
  <c r="K70" i="6"/>
  <c r="K70" i="8" s="1"/>
  <c r="L70" i="6"/>
  <c r="L70" i="8" s="1"/>
  <c r="M70" i="6"/>
  <c r="M70" i="8" s="1"/>
  <c r="N70" i="6"/>
  <c r="N70" i="8" s="1"/>
  <c r="O70" i="6"/>
  <c r="O70" i="8" s="1"/>
  <c r="P70" i="6"/>
  <c r="P70" i="8" s="1"/>
  <c r="Q70" i="6"/>
  <c r="Q70" i="8" s="1"/>
  <c r="R70" i="6"/>
  <c r="R70" i="8" s="1"/>
  <c r="S70" i="6"/>
  <c r="S70" i="8" s="1"/>
  <c r="T70" i="6"/>
  <c r="T70" i="8" s="1"/>
  <c r="U70" i="6"/>
  <c r="U70" i="8" s="1"/>
  <c r="V70" i="6"/>
  <c r="V70" i="8" s="1"/>
  <c r="W70" i="6"/>
  <c r="W70" i="8" s="1"/>
  <c r="X70" i="6"/>
  <c r="X70" i="8" s="1"/>
  <c r="Y70" i="6"/>
  <c r="Y70" i="8" s="1"/>
  <c r="Z70" i="6"/>
  <c r="Z70" i="8" s="1"/>
  <c r="AA70" i="6"/>
  <c r="AA70" i="8" s="1"/>
  <c r="AB70" i="6"/>
  <c r="AB70" i="8" s="1"/>
  <c r="AC70" i="6"/>
  <c r="AC70" i="8" s="1"/>
  <c r="AD70" i="6"/>
  <c r="AD70" i="8" s="1"/>
  <c r="AE70" i="6"/>
  <c r="AE70" i="8" s="1"/>
  <c r="AF70" i="6"/>
  <c r="AF70" i="8" s="1"/>
  <c r="E71" i="6"/>
  <c r="E71" i="8" s="1"/>
  <c r="F71" i="6"/>
  <c r="F71" i="8" s="1"/>
  <c r="G71" i="6"/>
  <c r="G71" i="8" s="1"/>
  <c r="H71" i="6"/>
  <c r="H71" i="8" s="1"/>
  <c r="I71" i="6"/>
  <c r="I71" i="8" s="1"/>
  <c r="J71" i="6"/>
  <c r="J71" i="8" s="1"/>
  <c r="K71" i="6"/>
  <c r="K71" i="8" s="1"/>
  <c r="L71" i="6"/>
  <c r="L71" i="8" s="1"/>
  <c r="M71" i="6"/>
  <c r="M71" i="8" s="1"/>
  <c r="N71" i="6"/>
  <c r="N71" i="8" s="1"/>
  <c r="O71" i="6"/>
  <c r="O71" i="8" s="1"/>
  <c r="P71" i="6"/>
  <c r="P71" i="8" s="1"/>
  <c r="Q71" i="6"/>
  <c r="Q71" i="8" s="1"/>
  <c r="R71" i="6"/>
  <c r="R71" i="8" s="1"/>
  <c r="S71" i="6"/>
  <c r="S71" i="8" s="1"/>
  <c r="T71" i="6"/>
  <c r="T71" i="8" s="1"/>
  <c r="U71" i="6"/>
  <c r="U71" i="8" s="1"/>
  <c r="V71" i="6"/>
  <c r="V71" i="8" s="1"/>
  <c r="W71" i="6"/>
  <c r="W71" i="8" s="1"/>
  <c r="X71" i="6"/>
  <c r="X71" i="8" s="1"/>
  <c r="Y71" i="6"/>
  <c r="Y71" i="8" s="1"/>
  <c r="Z71" i="6"/>
  <c r="Z71" i="8" s="1"/>
  <c r="AA71" i="6"/>
  <c r="AA71" i="8" s="1"/>
  <c r="AB71" i="6"/>
  <c r="AB71" i="8" s="1"/>
  <c r="AC71" i="6"/>
  <c r="AC71" i="8" s="1"/>
  <c r="AD71" i="6"/>
  <c r="AD71" i="8" s="1"/>
  <c r="AE71" i="6"/>
  <c r="AE71" i="8" s="1"/>
  <c r="AF71" i="6"/>
  <c r="AF71" i="8" s="1"/>
  <c r="E72" i="6"/>
  <c r="E72" i="8" s="1"/>
  <c r="F72" i="6"/>
  <c r="F72" i="8" s="1"/>
  <c r="G72" i="6"/>
  <c r="G72" i="8" s="1"/>
  <c r="H72" i="6"/>
  <c r="H72" i="8" s="1"/>
  <c r="I72" i="6"/>
  <c r="I72" i="8" s="1"/>
  <c r="J72" i="6"/>
  <c r="J72" i="8" s="1"/>
  <c r="K72" i="6"/>
  <c r="K72" i="8" s="1"/>
  <c r="L72" i="6"/>
  <c r="L72" i="8" s="1"/>
  <c r="M72" i="6"/>
  <c r="M72" i="8" s="1"/>
  <c r="N72" i="6"/>
  <c r="N72" i="8" s="1"/>
  <c r="O72" i="6"/>
  <c r="O72" i="8" s="1"/>
  <c r="P72" i="6"/>
  <c r="P72" i="8" s="1"/>
  <c r="Q72" i="6"/>
  <c r="Q72" i="8" s="1"/>
  <c r="R72" i="6"/>
  <c r="R72" i="8" s="1"/>
  <c r="S72" i="6"/>
  <c r="S72" i="8" s="1"/>
  <c r="T72" i="6"/>
  <c r="T72" i="8" s="1"/>
  <c r="U72" i="6"/>
  <c r="U72" i="8" s="1"/>
  <c r="V72" i="6"/>
  <c r="V72" i="8" s="1"/>
  <c r="W72" i="6"/>
  <c r="W72" i="8" s="1"/>
  <c r="X72" i="6"/>
  <c r="X72" i="8" s="1"/>
  <c r="Y72" i="6"/>
  <c r="Y72" i="8" s="1"/>
  <c r="Z72" i="6"/>
  <c r="Z72" i="8" s="1"/>
  <c r="AA72" i="6"/>
  <c r="AA72" i="8" s="1"/>
  <c r="AB72" i="6"/>
  <c r="AB72" i="8" s="1"/>
  <c r="AC72" i="6"/>
  <c r="AC72" i="8" s="1"/>
  <c r="AD72" i="6"/>
  <c r="AD72" i="8" s="1"/>
  <c r="AE72" i="6"/>
  <c r="AE72" i="8" s="1"/>
  <c r="AF72" i="6"/>
  <c r="AF72" i="8" s="1"/>
  <c r="E73" i="6"/>
  <c r="E73" i="8" s="1"/>
  <c r="F73" i="6"/>
  <c r="F73" i="8" s="1"/>
  <c r="G73" i="6"/>
  <c r="G73" i="8" s="1"/>
  <c r="H73" i="6"/>
  <c r="H73" i="8" s="1"/>
  <c r="I73" i="6"/>
  <c r="I73" i="8" s="1"/>
  <c r="J73" i="6"/>
  <c r="J73" i="8" s="1"/>
  <c r="K73" i="6"/>
  <c r="K73" i="8" s="1"/>
  <c r="L73" i="6"/>
  <c r="L73" i="8" s="1"/>
  <c r="M73" i="6"/>
  <c r="M73" i="8" s="1"/>
  <c r="N73" i="6"/>
  <c r="N73" i="8" s="1"/>
  <c r="O73" i="6"/>
  <c r="O73" i="8" s="1"/>
  <c r="P73" i="6"/>
  <c r="P73" i="8" s="1"/>
  <c r="Q73" i="6"/>
  <c r="Q73" i="8" s="1"/>
  <c r="R73" i="6"/>
  <c r="R73" i="8" s="1"/>
  <c r="S73" i="6"/>
  <c r="S73" i="8" s="1"/>
  <c r="T73" i="6"/>
  <c r="T73" i="8" s="1"/>
  <c r="U73" i="6"/>
  <c r="U73" i="8" s="1"/>
  <c r="V73" i="6"/>
  <c r="V73" i="8" s="1"/>
  <c r="W73" i="6"/>
  <c r="W73" i="8" s="1"/>
  <c r="X73" i="6"/>
  <c r="X73" i="8" s="1"/>
  <c r="Y73" i="6"/>
  <c r="Y73" i="8" s="1"/>
  <c r="Z73" i="6"/>
  <c r="Z73" i="8" s="1"/>
  <c r="AA73" i="6"/>
  <c r="AA73" i="8" s="1"/>
  <c r="AB73" i="6"/>
  <c r="AB73" i="8" s="1"/>
  <c r="AC73" i="6"/>
  <c r="AC73" i="8" s="1"/>
  <c r="AD73" i="6"/>
  <c r="AD73" i="8" s="1"/>
  <c r="AE73" i="6"/>
  <c r="AE73" i="8" s="1"/>
  <c r="AF73" i="6"/>
  <c r="AF73" i="8" s="1"/>
  <c r="E74" i="6"/>
  <c r="E74" i="8" s="1"/>
  <c r="F74" i="6"/>
  <c r="F74" i="8" s="1"/>
  <c r="G74" i="6"/>
  <c r="G74" i="8" s="1"/>
  <c r="H74" i="6"/>
  <c r="H74" i="8" s="1"/>
  <c r="I74" i="6"/>
  <c r="I74" i="8" s="1"/>
  <c r="J74" i="6"/>
  <c r="J74" i="8" s="1"/>
  <c r="K74" i="6"/>
  <c r="K74" i="8" s="1"/>
  <c r="L74" i="6"/>
  <c r="L74" i="8" s="1"/>
  <c r="M74" i="6"/>
  <c r="M74" i="8" s="1"/>
  <c r="N74" i="6"/>
  <c r="N74" i="8" s="1"/>
  <c r="O74" i="6"/>
  <c r="O74" i="8" s="1"/>
  <c r="P74" i="6"/>
  <c r="P74" i="8" s="1"/>
  <c r="Q74" i="6"/>
  <c r="Q74" i="8" s="1"/>
  <c r="R74" i="6"/>
  <c r="R74" i="8" s="1"/>
  <c r="S74" i="6"/>
  <c r="S74" i="8" s="1"/>
  <c r="T74" i="6"/>
  <c r="T74" i="8" s="1"/>
  <c r="U74" i="6"/>
  <c r="U74" i="8" s="1"/>
  <c r="V74" i="6"/>
  <c r="V74" i="8" s="1"/>
  <c r="W74" i="6"/>
  <c r="W74" i="8" s="1"/>
  <c r="X74" i="6"/>
  <c r="X74" i="8" s="1"/>
  <c r="Y74" i="6"/>
  <c r="Y74" i="8" s="1"/>
  <c r="Z74" i="6"/>
  <c r="Z74" i="8" s="1"/>
  <c r="AA74" i="6"/>
  <c r="AA74" i="8" s="1"/>
  <c r="AB74" i="6"/>
  <c r="AB74" i="8" s="1"/>
  <c r="AC74" i="6"/>
  <c r="AC74" i="8" s="1"/>
  <c r="AD74" i="6"/>
  <c r="AD74" i="8" s="1"/>
  <c r="AE74" i="6"/>
  <c r="AE74" i="8" s="1"/>
  <c r="AF74" i="6"/>
  <c r="AF74" i="8" s="1"/>
  <c r="E75" i="6"/>
  <c r="E75" i="8" s="1"/>
  <c r="F75" i="6"/>
  <c r="F75" i="8" s="1"/>
  <c r="G75" i="6"/>
  <c r="G75" i="8" s="1"/>
  <c r="H75" i="6"/>
  <c r="H75" i="8" s="1"/>
  <c r="I75" i="6"/>
  <c r="I75" i="8" s="1"/>
  <c r="J75" i="6"/>
  <c r="J75" i="8" s="1"/>
  <c r="K75" i="6"/>
  <c r="K75" i="8" s="1"/>
  <c r="L75" i="6"/>
  <c r="L75" i="8" s="1"/>
  <c r="M75" i="6"/>
  <c r="M75" i="8" s="1"/>
  <c r="N75" i="6"/>
  <c r="N75" i="8" s="1"/>
  <c r="O75" i="6"/>
  <c r="O75" i="8" s="1"/>
  <c r="P75" i="6"/>
  <c r="P75" i="8" s="1"/>
  <c r="Q75" i="6"/>
  <c r="Q75" i="8" s="1"/>
  <c r="R75" i="6"/>
  <c r="R75" i="8" s="1"/>
  <c r="S75" i="6"/>
  <c r="S75" i="8" s="1"/>
  <c r="T75" i="6"/>
  <c r="T75" i="8" s="1"/>
  <c r="U75" i="6"/>
  <c r="U75" i="8" s="1"/>
  <c r="V75" i="6"/>
  <c r="V75" i="8" s="1"/>
  <c r="W75" i="6"/>
  <c r="W75" i="8" s="1"/>
  <c r="X75" i="6"/>
  <c r="X75" i="8" s="1"/>
  <c r="Y75" i="6"/>
  <c r="Y75" i="8" s="1"/>
  <c r="Z75" i="6"/>
  <c r="Z75" i="8" s="1"/>
  <c r="AA75" i="6"/>
  <c r="AA75" i="8" s="1"/>
  <c r="AB75" i="6"/>
  <c r="AB75" i="8" s="1"/>
  <c r="AC75" i="6"/>
  <c r="AC75" i="8" s="1"/>
  <c r="AD75" i="6"/>
  <c r="AD75" i="8" s="1"/>
  <c r="AE75" i="6"/>
  <c r="AE75" i="8" s="1"/>
  <c r="AF75" i="6"/>
  <c r="AF75" i="8" s="1"/>
  <c r="E76" i="6"/>
  <c r="E76" i="8" s="1"/>
  <c r="F76" i="6"/>
  <c r="F76" i="8" s="1"/>
  <c r="G76" i="6"/>
  <c r="G76" i="8" s="1"/>
  <c r="H76" i="6"/>
  <c r="H76" i="8" s="1"/>
  <c r="I76" i="6"/>
  <c r="I76" i="8" s="1"/>
  <c r="J76" i="6"/>
  <c r="J76" i="8" s="1"/>
  <c r="K76" i="6"/>
  <c r="K76" i="8" s="1"/>
  <c r="L76" i="6"/>
  <c r="L76" i="8" s="1"/>
  <c r="M76" i="6"/>
  <c r="M76" i="8" s="1"/>
  <c r="N76" i="6"/>
  <c r="N76" i="8" s="1"/>
  <c r="O76" i="6"/>
  <c r="O76" i="8" s="1"/>
  <c r="P76" i="6"/>
  <c r="P76" i="8" s="1"/>
  <c r="Q76" i="6"/>
  <c r="Q76" i="8" s="1"/>
  <c r="R76" i="6"/>
  <c r="R76" i="8" s="1"/>
  <c r="S76" i="6"/>
  <c r="S76" i="8" s="1"/>
  <c r="T76" i="6"/>
  <c r="T76" i="8" s="1"/>
  <c r="U76" i="6"/>
  <c r="U76" i="8" s="1"/>
  <c r="V76" i="6"/>
  <c r="V76" i="8" s="1"/>
  <c r="W76" i="6"/>
  <c r="W76" i="8" s="1"/>
  <c r="X76" i="6"/>
  <c r="X76" i="8" s="1"/>
  <c r="Y76" i="6"/>
  <c r="Y76" i="8" s="1"/>
  <c r="Z76" i="6"/>
  <c r="Z76" i="8" s="1"/>
  <c r="AA76" i="6"/>
  <c r="AA76" i="8" s="1"/>
  <c r="AB76" i="6"/>
  <c r="AB76" i="8" s="1"/>
  <c r="AC76" i="6"/>
  <c r="AC76" i="8" s="1"/>
  <c r="AD76" i="6"/>
  <c r="AD76" i="8" s="1"/>
  <c r="AE76" i="6"/>
  <c r="AE76" i="8" s="1"/>
  <c r="AF76" i="6"/>
  <c r="AF76" i="8" s="1"/>
  <c r="E77" i="6"/>
  <c r="E77" i="8" s="1"/>
  <c r="F77" i="6"/>
  <c r="F77" i="8" s="1"/>
  <c r="G77" i="6"/>
  <c r="G77" i="8" s="1"/>
  <c r="H77" i="6"/>
  <c r="H77" i="8" s="1"/>
  <c r="I77" i="6"/>
  <c r="I77" i="8" s="1"/>
  <c r="J77" i="6"/>
  <c r="J77" i="8" s="1"/>
  <c r="K77" i="6"/>
  <c r="K77" i="8" s="1"/>
  <c r="L77" i="6"/>
  <c r="L77" i="8" s="1"/>
  <c r="M77" i="6"/>
  <c r="M77" i="8" s="1"/>
  <c r="N77" i="6"/>
  <c r="N77" i="8" s="1"/>
  <c r="O77" i="6"/>
  <c r="O77" i="8" s="1"/>
  <c r="P77" i="6"/>
  <c r="P77" i="8" s="1"/>
  <c r="Q77" i="6"/>
  <c r="Q77" i="8" s="1"/>
  <c r="R77" i="6"/>
  <c r="R77" i="8" s="1"/>
  <c r="S77" i="6"/>
  <c r="S77" i="8" s="1"/>
  <c r="T77" i="6"/>
  <c r="T77" i="8" s="1"/>
  <c r="U77" i="6"/>
  <c r="U77" i="8" s="1"/>
  <c r="V77" i="6"/>
  <c r="V77" i="8" s="1"/>
  <c r="W77" i="6"/>
  <c r="W77" i="8" s="1"/>
  <c r="X77" i="6"/>
  <c r="X77" i="8" s="1"/>
  <c r="Y77" i="6"/>
  <c r="Y77" i="8" s="1"/>
  <c r="Z77" i="6"/>
  <c r="Z77" i="8" s="1"/>
  <c r="AA77" i="6"/>
  <c r="AA77" i="8" s="1"/>
  <c r="AB77" i="6"/>
  <c r="AB77" i="8" s="1"/>
  <c r="AC77" i="6"/>
  <c r="AC77" i="8" s="1"/>
  <c r="AD77" i="6"/>
  <c r="AD77" i="8" s="1"/>
  <c r="AE77" i="6"/>
  <c r="AE77" i="8" s="1"/>
  <c r="AF77" i="6"/>
  <c r="AF77" i="8" s="1"/>
  <c r="E78" i="6"/>
  <c r="E78" i="8" s="1"/>
  <c r="F78" i="6"/>
  <c r="F78" i="8" s="1"/>
  <c r="G78" i="6"/>
  <c r="G78" i="8" s="1"/>
  <c r="H78" i="6"/>
  <c r="H78" i="8" s="1"/>
  <c r="I78" i="6"/>
  <c r="I78" i="8" s="1"/>
  <c r="J78" i="6"/>
  <c r="J78" i="8" s="1"/>
  <c r="K78" i="6"/>
  <c r="K78" i="8" s="1"/>
  <c r="L78" i="6"/>
  <c r="L78" i="8" s="1"/>
  <c r="M78" i="6"/>
  <c r="M78" i="8" s="1"/>
  <c r="N78" i="6"/>
  <c r="N78" i="8" s="1"/>
  <c r="O78" i="6"/>
  <c r="O78" i="8" s="1"/>
  <c r="P78" i="6"/>
  <c r="P78" i="8" s="1"/>
  <c r="Q78" i="6"/>
  <c r="Q78" i="8" s="1"/>
  <c r="R78" i="6"/>
  <c r="R78" i="8" s="1"/>
  <c r="S78" i="6"/>
  <c r="S78" i="8" s="1"/>
  <c r="T78" i="6"/>
  <c r="T78" i="8" s="1"/>
  <c r="U78" i="6"/>
  <c r="U78" i="8" s="1"/>
  <c r="V78" i="6"/>
  <c r="V78" i="8" s="1"/>
  <c r="W78" i="6"/>
  <c r="W78" i="8" s="1"/>
  <c r="X78" i="6"/>
  <c r="X78" i="8" s="1"/>
  <c r="Y78" i="6"/>
  <c r="Y78" i="8" s="1"/>
  <c r="Z78" i="6"/>
  <c r="Z78" i="8" s="1"/>
  <c r="AA78" i="6"/>
  <c r="AA78" i="8" s="1"/>
  <c r="AB78" i="6"/>
  <c r="AB78" i="8" s="1"/>
  <c r="AC78" i="6"/>
  <c r="AC78" i="8" s="1"/>
  <c r="AD78" i="6"/>
  <c r="AD78" i="8" s="1"/>
  <c r="AE78" i="6"/>
  <c r="AE78" i="8" s="1"/>
  <c r="AF78" i="6"/>
  <c r="AF78" i="8" s="1"/>
  <c r="E79" i="6"/>
  <c r="E79" i="8" s="1"/>
  <c r="F79" i="6"/>
  <c r="F79" i="8" s="1"/>
  <c r="G79" i="6"/>
  <c r="G79" i="8" s="1"/>
  <c r="H79" i="6"/>
  <c r="H79" i="8" s="1"/>
  <c r="I79" i="6"/>
  <c r="I79" i="8" s="1"/>
  <c r="J79" i="6"/>
  <c r="J79" i="8" s="1"/>
  <c r="K79" i="6"/>
  <c r="K79" i="8" s="1"/>
  <c r="L79" i="6"/>
  <c r="L79" i="8" s="1"/>
  <c r="M79" i="6"/>
  <c r="M79" i="8" s="1"/>
  <c r="N79" i="6"/>
  <c r="N79" i="8" s="1"/>
  <c r="O79" i="6"/>
  <c r="O79" i="8" s="1"/>
  <c r="P79" i="6"/>
  <c r="P79" i="8" s="1"/>
  <c r="Q79" i="6"/>
  <c r="Q79" i="8" s="1"/>
  <c r="R79" i="6"/>
  <c r="R79" i="8" s="1"/>
  <c r="S79" i="6"/>
  <c r="S79" i="8" s="1"/>
  <c r="T79" i="6"/>
  <c r="T79" i="8" s="1"/>
  <c r="U79" i="6"/>
  <c r="U79" i="8" s="1"/>
  <c r="V79" i="6"/>
  <c r="V79" i="8" s="1"/>
  <c r="W79" i="6"/>
  <c r="W79" i="8" s="1"/>
  <c r="X79" i="6"/>
  <c r="X79" i="8" s="1"/>
  <c r="Y79" i="6"/>
  <c r="Y79" i="8" s="1"/>
  <c r="Z79" i="6"/>
  <c r="Z79" i="8" s="1"/>
  <c r="AA79" i="6"/>
  <c r="AA79" i="8" s="1"/>
  <c r="AB79" i="6"/>
  <c r="AB79" i="8" s="1"/>
  <c r="AC79" i="6"/>
  <c r="AC79" i="8" s="1"/>
  <c r="AD79" i="6"/>
  <c r="AD79" i="8" s="1"/>
  <c r="AE79" i="6"/>
  <c r="AE79" i="8" s="1"/>
  <c r="AF79" i="6"/>
  <c r="AF79" i="8" s="1"/>
  <c r="E80" i="6"/>
  <c r="E80" i="8" s="1"/>
  <c r="F80" i="6"/>
  <c r="F80" i="8" s="1"/>
  <c r="G80" i="6"/>
  <c r="G80" i="8" s="1"/>
  <c r="H80" i="6"/>
  <c r="H80" i="8" s="1"/>
  <c r="I80" i="6"/>
  <c r="I80" i="8" s="1"/>
  <c r="J80" i="6"/>
  <c r="J80" i="8" s="1"/>
  <c r="K80" i="6"/>
  <c r="K80" i="8" s="1"/>
  <c r="L80" i="6"/>
  <c r="L80" i="8" s="1"/>
  <c r="M80" i="6"/>
  <c r="M80" i="8" s="1"/>
  <c r="N80" i="6"/>
  <c r="N80" i="8" s="1"/>
  <c r="O80" i="6"/>
  <c r="O80" i="8" s="1"/>
  <c r="P80" i="6"/>
  <c r="P80" i="8" s="1"/>
  <c r="Q80" i="6"/>
  <c r="Q80" i="8" s="1"/>
  <c r="R80" i="6"/>
  <c r="R80" i="8" s="1"/>
  <c r="S80" i="6"/>
  <c r="S80" i="8" s="1"/>
  <c r="T80" i="6"/>
  <c r="T80" i="8" s="1"/>
  <c r="U80" i="6"/>
  <c r="U80" i="8" s="1"/>
  <c r="V80" i="6"/>
  <c r="V80" i="8" s="1"/>
  <c r="W80" i="6"/>
  <c r="W80" i="8" s="1"/>
  <c r="X80" i="6"/>
  <c r="X80" i="8" s="1"/>
  <c r="Y80" i="6"/>
  <c r="Y80" i="8" s="1"/>
  <c r="Z80" i="6"/>
  <c r="Z80" i="8" s="1"/>
  <c r="AA80" i="6"/>
  <c r="AA80" i="8" s="1"/>
  <c r="AB80" i="6"/>
  <c r="AB80" i="8" s="1"/>
  <c r="AC80" i="6"/>
  <c r="AC80" i="8" s="1"/>
  <c r="AD80" i="6"/>
  <c r="AD80" i="8" s="1"/>
  <c r="AE80" i="6"/>
  <c r="AE80" i="8" s="1"/>
  <c r="AF80" i="6"/>
  <c r="AF80" i="8" s="1"/>
  <c r="E81" i="6"/>
  <c r="E81" i="8" s="1"/>
  <c r="F81" i="6"/>
  <c r="F81" i="8" s="1"/>
  <c r="G81" i="6"/>
  <c r="G81" i="8" s="1"/>
  <c r="H81" i="6"/>
  <c r="H81" i="8" s="1"/>
  <c r="I81" i="6"/>
  <c r="I81" i="8" s="1"/>
  <c r="J81" i="6"/>
  <c r="J81" i="8" s="1"/>
  <c r="K81" i="6"/>
  <c r="K81" i="8" s="1"/>
  <c r="L81" i="6"/>
  <c r="L81" i="8" s="1"/>
  <c r="M81" i="6"/>
  <c r="M81" i="8" s="1"/>
  <c r="N81" i="6"/>
  <c r="N81" i="8" s="1"/>
  <c r="O81" i="6"/>
  <c r="O81" i="8" s="1"/>
  <c r="P81" i="6"/>
  <c r="P81" i="8" s="1"/>
  <c r="Q81" i="6"/>
  <c r="Q81" i="8" s="1"/>
  <c r="R81" i="6"/>
  <c r="R81" i="8" s="1"/>
  <c r="S81" i="6"/>
  <c r="S81" i="8" s="1"/>
  <c r="T81" i="6"/>
  <c r="T81" i="8" s="1"/>
  <c r="U81" i="6"/>
  <c r="U81" i="8" s="1"/>
  <c r="V81" i="6"/>
  <c r="V81" i="8" s="1"/>
  <c r="W81" i="6"/>
  <c r="W81" i="8" s="1"/>
  <c r="X81" i="6"/>
  <c r="X81" i="8" s="1"/>
  <c r="Y81" i="6"/>
  <c r="Y81" i="8" s="1"/>
  <c r="Z81" i="6"/>
  <c r="Z81" i="8" s="1"/>
  <c r="AA81" i="6"/>
  <c r="AA81" i="8" s="1"/>
  <c r="AB81" i="6"/>
  <c r="AB81" i="8" s="1"/>
  <c r="AC81" i="6"/>
  <c r="AC81" i="8" s="1"/>
  <c r="AD81" i="6"/>
  <c r="AD81" i="8" s="1"/>
  <c r="AE81" i="6"/>
  <c r="AE81" i="8" s="1"/>
  <c r="AF81" i="6"/>
  <c r="AF81" i="8" s="1"/>
  <c r="E82" i="6"/>
  <c r="E82" i="8" s="1"/>
  <c r="F82" i="6"/>
  <c r="F82" i="8" s="1"/>
  <c r="G82" i="6"/>
  <c r="G82" i="8" s="1"/>
  <c r="H82" i="6"/>
  <c r="H82" i="8" s="1"/>
  <c r="I82" i="6"/>
  <c r="I82" i="8" s="1"/>
  <c r="J82" i="6"/>
  <c r="J82" i="8" s="1"/>
  <c r="K82" i="6"/>
  <c r="K82" i="8" s="1"/>
  <c r="L82" i="6"/>
  <c r="L82" i="8" s="1"/>
  <c r="M82" i="6"/>
  <c r="M82" i="8" s="1"/>
  <c r="N82" i="6"/>
  <c r="N82" i="8" s="1"/>
  <c r="O82" i="6"/>
  <c r="O82" i="8" s="1"/>
  <c r="P82" i="6"/>
  <c r="P82" i="8" s="1"/>
  <c r="Q82" i="6"/>
  <c r="Q82" i="8" s="1"/>
  <c r="R82" i="6"/>
  <c r="R82" i="8" s="1"/>
  <c r="S82" i="6"/>
  <c r="S82" i="8" s="1"/>
  <c r="T82" i="6"/>
  <c r="T82" i="8" s="1"/>
  <c r="U82" i="6"/>
  <c r="U82" i="8" s="1"/>
  <c r="V82" i="6"/>
  <c r="V82" i="8" s="1"/>
  <c r="W82" i="6"/>
  <c r="W82" i="8" s="1"/>
  <c r="X82" i="6"/>
  <c r="X82" i="8" s="1"/>
  <c r="Y82" i="6"/>
  <c r="Y82" i="8" s="1"/>
  <c r="Z82" i="6"/>
  <c r="Z82" i="8" s="1"/>
  <c r="AA82" i="6"/>
  <c r="AA82" i="8" s="1"/>
  <c r="AB82" i="6"/>
  <c r="AB82" i="8" s="1"/>
  <c r="AC82" i="6"/>
  <c r="AC82" i="8" s="1"/>
  <c r="AD82" i="6"/>
  <c r="AD82" i="8" s="1"/>
  <c r="AE82" i="6"/>
  <c r="AE82" i="8" s="1"/>
  <c r="AF82" i="6"/>
  <c r="AF82" i="8" s="1"/>
  <c r="E83" i="6"/>
  <c r="E83" i="8" s="1"/>
  <c r="F83" i="6"/>
  <c r="F83" i="8" s="1"/>
  <c r="G83" i="6"/>
  <c r="G83" i="8" s="1"/>
  <c r="H83" i="6"/>
  <c r="H83" i="8" s="1"/>
  <c r="I83" i="6"/>
  <c r="I83" i="8" s="1"/>
  <c r="J83" i="6"/>
  <c r="J83" i="8" s="1"/>
  <c r="K83" i="6"/>
  <c r="K83" i="8" s="1"/>
  <c r="L83" i="6"/>
  <c r="L83" i="8" s="1"/>
  <c r="M83" i="6"/>
  <c r="M83" i="8" s="1"/>
  <c r="N83" i="6"/>
  <c r="N83" i="8" s="1"/>
  <c r="O83" i="6"/>
  <c r="O83" i="8" s="1"/>
  <c r="P83" i="6"/>
  <c r="P83" i="8" s="1"/>
  <c r="Q83" i="6"/>
  <c r="Q83" i="8" s="1"/>
  <c r="R83" i="6"/>
  <c r="R83" i="8" s="1"/>
  <c r="S83" i="6"/>
  <c r="S83" i="8" s="1"/>
  <c r="T83" i="6"/>
  <c r="T83" i="8" s="1"/>
  <c r="U83" i="6"/>
  <c r="U83" i="8" s="1"/>
  <c r="V83" i="6"/>
  <c r="V83" i="8" s="1"/>
  <c r="W83" i="6"/>
  <c r="W83" i="8" s="1"/>
  <c r="X83" i="6"/>
  <c r="X83" i="8" s="1"/>
  <c r="Y83" i="6"/>
  <c r="Y83" i="8" s="1"/>
  <c r="Z83" i="6"/>
  <c r="Z83" i="8" s="1"/>
  <c r="AA83" i="6"/>
  <c r="AA83" i="8" s="1"/>
  <c r="AB83" i="6"/>
  <c r="AB83" i="8" s="1"/>
  <c r="AC83" i="6"/>
  <c r="AC83" i="8" s="1"/>
  <c r="AD83" i="6"/>
  <c r="AD83" i="8" s="1"/>
  <c r="AE83" i="6"/>
  <c r="AE83" i="8" s="1"/>
  <c r="AF83" i="6"/>
  <c r="AF83" i="8" s="1"/>
  <c r="E84" i="6"/>
  <c r="E84" i="8" s="1"/>
  <c r="F84" i="6"/>
  <c r="F84" i="8" s="1"/>
  <c r="G84" i="6"/>
  <c r="G84" i="8" s="1"/>
  <c r="H84" i="6"/>
  <c r="H84" i="8" s="1"/>
  <c r="I84" i="6"/>
  <c r="I84" i="8" s="1"/>
  <c r="J84" i="6"/>
  <c r="J84" i="8" s="1"/>
  <c r="K84" i="6"/>
  <c r="K84" i="8" s="1"/>
  <c r="L84" i="6"/>
  <c r="L84" i="8" s="1"/>
  <c r="M84" i="6"/>
  <c r="M84" i="8" s="1"/>
  <c r="N84" i="6"/>
  <c r="N84" i="8" s="1"/>
  <c r="O84" i="6"/>
  <c r="O84" i="8" s="1"/>
  <c r="P84" i="6"/>
  <c r="P84" i="8" s="1"/>
  <c r="Q84" i="6"/>
  <c r="Q84" i="8" s="1"/>
  <c r="R84" i="6"/>
  <c r="R84" i="8" s="1"/>
  <c r="S84" i="6"/>
  <c r="S84" i="8" s="1"/>
  <c r="T84" i="6"/>
  <c r="T84" i="8" s="1"/>
  <c r="U84" i="6"/>
  <c r="U84" i="8" s="1"/>
  <c r="V84" i="6"/>
  <c r="V84" i="8" s="1"/>
  <c r="W84" i="6"/>
  <c r="W84" i="8" s="1"/>
  <c r="X84" i="6"/>
  <c r="X84" i="8" s="1"/>
  <c r="Y84" i="6"/>
  <c r="Y84" i="8" s="1"/>
  <c r="Z84" i="6"/>
  <c r="Z84" i="8" s="1"/>
  <c r="AA84" i="6"/>
  <c r="AA84" i="8" s="1"/>
  <c r="AB84" i="6"/>
  <c r="AB84" i="8" s="1"/>
  <c r="AC84" i="6"/>
  <c r="AC84" i="8" s="1"/>
  <c r="AD84" i="6"/>
  <c r="AD84" i="8" s="1"/>
  <c r="AE84" i="6"/>
  <c r="AE84" i="8" s="1"/>
  <c r="AF84" i="6"/>
  <c r="AF84" i="8" s="1"/>
  <c r="E85" i="6"/>
  <c r="E85" i="8" s="1"/>
  <c r="F85" i="6"/>
  <c r="F85" i="8" s="1"/>
  <c r="G85" i="6"/>
  <c r="G85" i="8" s="1"/>
  <c r="H85" i="6"/>
  <c r="H85" i="8" s="1"/>
  <c r="I85" i="6"/>
  <c r="I85" i="8" s="1"/>
  <c r="J85" i="6"/>
  <c r="J85" i="8" s="1"/>
  <c r="K85" i="6"/>
  <c r="K85" i="8" s="1"/>
  <c r="L85" i="6"/>
  <c r="L85" i="8" s="1"/>
  <c r="M85" i="6"/>
  <c r="M85" i="8" s="1"/>
  <c r="N85" i="6"/>
  <c r="N85" i="8" s="1"/>
  <c r="O85" i="6"/>
  <c r="O85" i="8" s="1"/>
  <c r="P85" i="6"/>
  <c r="P85" i="8" s="1"/>
  <c r="Q85" i="6"/>
  <c r="Q85" i="8" s="1"/>
  <c r="R85" i="6"/>
  <c r="R85" i="8" s="1"/>
  <c r="S85" i="6"/>
  <c r="S85" i="8" s="1"/>
  <c r="T85" i="6"/>
  <c r="T85" i="8" s="1"/>
  <c r="U85" i="6"/>
  <c r="U85" i="8" s="1"/>
  <c r="V85" i="6"/>
  <c r="V85" i="8" s="1"/>
  <c r="W85" i="6"/>
  <c r="W85" i="8" s="1"/>
  <c r="X85" i="6"/>
  <c r="X85" i="8" s="1"/>
  <c r="Y85" i="6"/>
  <c r="Y85" i="8" s="1"/>
  <c r="Z85" i="6"/>
  <c r="Z85" i="8" s="1"/>
  <c r="AA85" i="6"/>
  <c r="AA85" i="8" s="1"/>
  <c r="AB85" i="6"/>
  <c r="AB85" i="8" s="1"/>
  <c r="AC85" i="6"/>
  <c r="AC85" i="8" s="1"/>
  <c r="AD85" i="6"/>
  <c r="AD85" i="8" s="1"/>
  <c r="AE85" i="6"/>
  <c r="AE85" i="8" s="1"/>
  <c r="AF85" i="6"/>
  <c r="AF85" i="8" s="1"/>
  <c r="E86" i="6"/>
  <c r="E86" i="8" s="1"/>
  <c r="F86" i="6"/>
  <c r="F86" i="8" s="1"/>
  <c r="G86" i="6"/>
  <c r="G86" i="8" s="1"/>
  <c r="H86" i="6"/>
  <c r="H86" i="8" s="1"/>
  <c r="I86" i="6"/>
  <c r="I86" i="8" s="1"/>
  <c r="J86" i="6"/>
  <c r="J86" i="8" s="1"/>
  <c r="K86" i="6"/>
  <c r="K86" i="8" s="1"/>
  <c r="L86" i="6"/>
  <c r="L86" i="8" s="1"/>
  <c r="M86" i="6"/>
  <c r="M86" i="8" s="1"/>
  <c r="N86" i="6"/>
  <c r="N86" i="8" s="1"/>
  <c r="O86" i="6"/>
  <c r="O86" i="8" s="1"/>
  <c r="P86" i="6"/>
  <c r="P86" i="8" s="1"/>
  <c r="Q86" i="6"/>
  <c r="Q86" i="8" s="1"/>
  <c r="R86" i="6"/>
  <c r="R86" i="8" s="1"/>
  <c r="S86" i="6"/>
  <c r="S86" i="8" s="1"/>
  <c r="T86" i="6"/>
  <c r="T86" i="8" s="1"/>
  <c r="U86" i="6"/>
  <c r="U86" i="8" s="1"/>
  <c r="V86" i="6"/>
  <c r="V86" i="8" s="1"/>
  <c r="W86" i="6"/>
  <c r="W86" i="8" s="1"/>
  <c r="X86" i="6"/>
  <c r="X86" i="8" s="1"/>
  <c r="Y86" i="6"/>
  <c r="Y86" i="8" s="1"/>
  <c r="Z86" i="6"/>
  <c r="Z86" i="8" s="1"/>
  <c r="AA86" i="6"/>
  <c r="AA86" i="8" s="1"/>
  <c r="AB86" i="6"/>
  <c r="AB86" i="8" s="1"/>
  <c r="AC86" i="6"/>
  <c r="AC86" i="8" s="1"/>
  <c r="AD86" i="6"/>
  <c r="AD86" i="8" s="1"/>
  <c r="AE86" i="6"/>
  <c r="AE86" i="8" s="1"/>
  <c r="AF86" i="6"/>
  <c r="AF86" i="8" s="1"/>
  <c r="E87" i="6"/>
  <c r="E87" i="8" s="1"/>
  <c r="F87" i="6"/>
  <c r="F87" i="8" s="1"/>
  <c r="G87" i="6"/>
  <c r="G87" i="8" s="1"/>
  <c r="H87" i="6"/>
  <c r="H87" i="8" s="1"/>
  <c r="I87" i="6"/>
  <c r="I87" i="8" s="1"/>
  <c r="J87" i="6"/>
  <c r="J87" i="8" s="1"/>
  <c r="K87" i="6"/>
  <c r="K87" i="8" s="1"/>
  <c r="L87" i="6"/>
  <c r="L87" i="8" s="1"/>
  <c r="M87" i="6"/>
  <c r="M87" i="8" s="1"/>
  <c r="N87" i="6"/>
  <c r="N87" i="8" s="1"/>
  <c r="O87" i="6"/>
  <c r="O87" i="8" s="1"/>
  <c r="P87" i="6"/>
  <c r="P87" i="8" s="1"/>
  <c r="Q87" i="6"/>
  <c r="Q87" i="8" s="1"/>
  <c r="R87" i="6"/>
  <c r="R87" i="8" s="1"/>
  <c r="S87" i="6"/>
  <c r="S87" i="8" s="1"/>
  <c r="T87" i="6"/>
  <c r="T87" i="8" s="1"/>
  <c r="U87" i="6"/>
  <c r="U87" i="8" s="1"/>
  <c r="V87" i="6"/>
  <c r="V87" i="8" s="1"/>
  <c r="W87" i="6"/>
  <c r="W87" i="8" s="1"/>
  <c r="X87" i="6"/>
  <c r="X87" i="8" s="1"/>
  <c r="Y87" i="6"/>
  <c r="Y87" i="8" s="1"/>
  <c r="Z87" i="6"/>
  <c r="Z87" i="8" s="1"/>
  <c r="AA87" i="6"/>
  <c r="AA87" i="8" s="1"/>
  <c r="AB87" i="6"/>
  <c r="AB87" i="8" s="1"/>
  <c r="AC87" i="6"/>
  <c r="AC87" i="8" s="1"/>
  <c r="AD87" i="6"/>
  <c r="AD87" i="8" s="1"/>
  <c r="AE87" i="6"/>
  <c r="AE87" i="8" s="1"/>
  <c r="AF87" i="6"/>
  <c r="AF87" i="8" s="1"/>
  <c r="E88" i="6"/>
  <c r="E88" i="8" s="1"/>
  <c r="F88" i="6"/>
  <c r="F88" i="8" s="1"/>
  <c r="G88" i="6"/>
  <c r="G88" i="8" s="1"/>
  <c r="H88" i="6"/>
  <c r="H88" i="8" s="1"/>
  <c r="I88" i="6"/>
  <c r="I88" i="8" s="1"/>
  <c r="J88" i="6"/>
  <c r="J88" i="8" s="1"/>
  <c r="K88" i="6"/>
  <c r="K88" i="8" s="1"/>
  <c r="L88" i="6"/>
  <c r="L88" i="8" s="1"/>
  <c r="M88" i="6"/>
  <c r="M88" i="8" s="1"/>
  <c r="N88" i="6"/>
  <c r="N88" i="8" s="1"/>
  <c r="O88" i="6"/>
  <c r="O88" i="8" s="1"/>
  <c r="P88" i="6"/>
  <c r="P88" i="8" s="1"/>
  <c r="Q88" i="6"/>
  <c r="Q88" i="8" s="1"/>
  <c r="R88" i="6"/>
  <c r="R88" i="8" s="1"/>
  <c r="S88" i="6"/>
  <c r="S88" i="8" s="1"/>
  <c r="T88" i="6"/>
  <c r="T88" i="8" s="1"/>
  <c r="U88" i="6"/>
  <c r="U88" i="8" s="1"/>
  <c r="V88" i="6"/>
  <c r="V88" i="8" s="1"/>
  <c r="W88" i="6"/>
  <c r="W88" i="8" s="1"/>
  <c r="X88" i="6"/>
  <c r="X88" i="8" s="1"/>
  <c r="Y88" i="6"/>
  <c r="Y88" i="8" s="1"/>
  <c r="Z88" i="6"/>
  <c r="Z88" i="8" s="1"/>
  <c r="AA88" i="6"/>
  <c r="AA88" i="8" s="1"/>
  <c r="AB88" i="6"/>
  <c r="AB88" i="8" s="1"/>
  <c r="AC88" i="6"/>
  <c r="AC88" i="8" s="1"/>
  <c r="AD88" i="6"/>
  <c r="AD88" i="8" s="1"/>
  <c r="AE88" i="6"/>
  <c r="AE88" i="8" s="1"/>
  <c r="AF88" i="6"/>
  <c r="AF88" i="8" s="1"/>
  <c r="E89" i="6"/>
  <c r="E89" i="8" s="1"/>
  <c r="F89" i="6"/>
  <c r="F89" i="8" s="1"/>
  <c r="G89" i="6"/>
  <c r="G89" i="8" s="1"/>
  <c r="H89" i="6"/>
  <c r="H89" i="8" s="1"/>
  <c r="I89" i="6"/>
  <c r="I89" i="8" s="1"/>
  <c r="J89" i="6"/>
  <c r="J89" i="8" s="1"/>
  <c r="K89" i="6"/>
  <c r="K89" i="8" s="1"/>
  <c r="L89" i="6"/>
  <c r="L89" i="8" s="1"/>
  <c r="M89" i="6"/>
  <c r="M89" i="8" s="1"/>
  <c r="N89" i="6"/>
  <c r="N89" i="8" s="1"/>
  <c r="O89" i="6"/>
  <c r="O89" i="8" s="1"/>
  <c r="P89" i="6"/>
  <c r="P89" i="8" s="1"/>
  <c r="Q89" i="6"/>
  <c r="Q89" i="8" s="1"/>
  <c r="R89" i="6"/>
  <c r="R89" i="8" s="1"/>
  <c r="S89" i="6"/>
  <c r="S89" i="8" s="1"/>
  <c r="T89" i="6"/>
  <c r="T89" i="8" s="1"/>
  <c r="U89" i="6"/>
  <c r="U89" i="8" s="1"/>
  <c r="V89" i="6"/>
  <c r="V89" i="8" s="1"/>
  <c r="W89" i="6"/>
  <c r="W89" i="8" s="1"/>
  <c r="X89" i="6"/>
  <c r="X89" i="8" s="1"/>
  <c r="Y89" i="6"/>
  <c r="Y89" i="8" s="1"/>
  <c r="Z89" i="6"/>
  <c r="Z89" i="8" s="1"/>
  <c r="AA89" i="6"/>
  <c r="AA89" i="8" s="1"/>
  <c r="AB89" i="6"/>
  <c r="AB89" i="8" s="1"/>
  <c r="AC89" i="6"/>
  <c r="AC89" i="8" s="1"/>
  <c r="AD89" i="6"/>
  <c r="AD89" i="8" s="1"/>
  <c r="AE89" i="6"/>
  <c r="AE89" i="8" s="1"/>
  <c r="AF89" i="6"/>
  <c r="AF89" i="8" s="1"/>
  <c r="E90" i="6"/>
  <c r="E90" i="8" s="1"/>
  <c r="F90" i="6"/>
  <c r="F90" i="8" s="1"/>
  <c r="G90" i="6"/>
  <c r="G90" i="8" s="1"/>
  <c r="H90" i="6"/>
  <c r="H90" i="8" s="1"/>
  <c r="I90" i="6"/>
  <c r="I90" i="8" s="1"/>
  <c r="J90" i="6"/>
  <c r="J90" i="8" s="1"/>
  <c r="K90" i="6"/>
  <c r="K90" i="8" s="1"/>
  <c r="L90" i="6"/>
  <c r="L90" i="8" s="1"/>
  <c r="M90" i="6"/>
  <c r="M90" i="8" s="1"/>
  <c r="N90" i="6"/>
  <c r="N90" i="8" s="1"/>
  <c r="O90" i="6"/>
  <c r="O90" i="8" s="1"/>
  <c r="P90" i="6"/>
  <c r="P90" i="8" s="1"/>
  <c r="Q90" i="6"/>
  <c r="Q90" i="8" s="1"/>
  <c r="R90" i="6"/>
  <c r="R90" i="8" s="1"/>
  <c r="S90" i="6"/>
  <c r="S90" i="8" s="1"/>
  <c r="T90" i="6"/>
  <c r="T90" i="8" s="1"/>
  <c r="U90" i="6"/>
  <c r="U90" i="8" s="1"/>
  <c r="V90" i="6"/>
  <c r="V90" i="8" s="1"/>
  <c r="W90" i="6"/>
  <c r="W90" i="8" s="1"/>
  <c r="X90" i="6"/>
  <c r="X90" i="8" s="1"/>
  <c r="Y90" i="6"/>
  <c r="Y90" i="8" s="1"/>
  <c r="Z90" i="6"/>
  <c r="Z90" i="8" s="1"/>
  <c r="AA90" i="6"/>
  <c r="AA90" i="8" s="1"/>
  <c r="AB90" i="6"/>
  <c r="AB90" i="8" s="1"/>
  <c r="AC90" i="6"/>
  <c r="AC90" i="8" s="1"/>
  <c r="AD90" i="6"/>
  <c r="AD90" i="8" s="1"/>
  <c r="AE90" i="6"/>
  <c r="AE90" i="8" s="1"/>
  <c r="AF90" i="6"/>
  <c r="AF90" i="8" s="1"/>
  <c r="E91" i="6"/>
  <c r="E91" i="8" s="1"/>
  <c r="F91" i="6"/>
  <c r="F91" i="8" s="1"/>
  <c r="G91" i="6"/>
  <c r="G91" i="8" s="1"/>
  <c r="H91" i="6"/>
  <c r="H91" i="8" s="1"/>
  <c r="I91" i="6"/>
  <c r="I91" i="8" s="1"/>
  <c r="J91" i="6"/>
  <c r="J91" i="8" s="1"/>
  <c r="K91" i="6"/>
  <c r="K91" i="8" s="1"/>
  <c r="L91" i="6"/>
  <c r="L91" i="8" s="1"/>
  <c r="M91" i="6"/>
  <c r="M91" i="8" s="1"/>
  <c r="N91" i="6"/>
  <c r="N91" i="8" s="1"/>
  <c r="O91" i="6"/>
  <c r="O91" i="8" s="1"/>
  <c r="P91" i="6"/>
  <c r="P91" i="8" s="1"/>
  <c r="Q91" i="6"/>
  <c r="Q91" i="8" s="1"/>
  <c r="R91" i="6"/>
  <c r="R91" i="8" s="1"/>
  <c r="S91" i="6"/>
  <c r="S91" i="8" s="1"/>
  <c r="T91" i="6"/>
  <c r="T91" i="8" s="1"/>
  <c r="U91" i="6"/>
  <c r="U91" i="8" s="1"/>
  <c r="V91" i="6"/>
  <c r="V91" i="8" s="1"/>
  <c r="W91" i="6"/>
  <c r="W91" i="8" s="1"/>
  <c r="X91" i="6"/>
  <c r="X91" i="8" s="1"/>
  <c r="Y91" i="6"/>
  <c r="Y91" i="8" s="1"/>
  <c r="Z91" i="6"/>
  <c r="Z91" i="8" s="1"/>
  <c r="AA91" i="6"/>
  <c r="AA91" i="8" s="1"/>
  <c r="AB91" i="6"/>
  <c r="AB91" i="8" s="1"/>
  <c r="AC91" i="6"/>
  <c r="AC91" i="8" s="1"/>
  <c r="AD91" i="6"/>
  <c r="AD91" i="8" s="1"/>
  <c r="AE91" i="6"/>
  <c r="AE91" i="8" s="1"/>
  <c r="AF91" i="6"/>
  <c r="AF91" i="8" s="1"/>
  <c r="E92" i="6"/>
  <c r="E92" i="8" s="1"/>
  <c r="F92" i="6"/>
  <c r="F92" i="8" s="1"/>
  <c r="G92" i="6"/>
  <c r="G92" i="8" s="1"/>
  <c r="H92" i="6"/>
  <c r="H92" i="8" s="1"/>
  <c r="I92" i="6"/>
  <c r="I92" i="8" s="1"/>
  <c r="J92" i="6"/>
  <c r="J92" i="8" s="1"/>
  <c r="K92" i="6"/>
  <c r="K92" i="8" s="1"/>
  <c r="L92" i="6"/>
  <c r="L92" i="8" s="1"/>
  <c r="M92" i="6"/>
  <c r="M92" i="8" s="1"/>
  <c r="N92" i="6"/>
  <c r="N92" i="8" s="1"/>
  <c r="O92" i="6"/>
  <c r="O92" i="8" s="1"/>
  <c r="P92" i="6"/>
  <c r="P92" i="8" s="1"/>
  <c r="Q92" i="6"/>
  <c r="Q92" i="8" s="1"/>
  <c r="R92" i="6"/>
  <c r="R92" i="8" s="1"/>
  <c r="S92" i="6"/>
  <c r="S92" i="8" s="1"/>
  <c r="T92" i="6"/>
  <c r="T92" i="8" s="1"/>
  <c r="U92" i="6"/>
  <c r="U92" i="8" s="1"/>
  <c r="V92" i="6"/>
  <c r="V92" i="8" s="1"/>
  <c r="W92" i="6"/>
  <c r="W92" i="8" s="1"/>
  <c r="X92" i="6"/>
  <c r="X92" i="8" s="1"/>
  <c r="Y92" i="6"/>
  <c r="Y92" i="8" s="1"/>
  <c r="Z92" i="6"/>
  <c r="Z92" i="8" s="1"/>
  <c r="AA92" i="6"/>
  <c r="AA92" i="8" s="1"/>
  <c r="AB92" i="6"/>
  <c r="AB92" i="8" s="1"/>
  <c r="AC92" i="6"/>
  <c r="AC92" i="8" s="1"/>
  <c r="AD92" i="6"/>
  <c r="AD92" i="8" s="1"/>
  <c r="AE92" i="6"/>
  <c r="AE92" i="8" s="1"/>
  <c r="AF92" i="6"/>
  <c r="AF92" i="8" s="1"/>
  <c r="E93" i="6"/>
  <c r="E93" i="8" s="1"/>
  <c r="F93" i="6"/>
  <c r="F93" i="8" s="1"/>
  <c r="G93" i="6"/>
  <c r="G93" i="8" s="1"/>
  <c r="H93" i="6"/>
  <c r="H93" i="8" s="1"/>
  <c r="I93" i="6"/>
  <c r="I93" i="8" s="1"/>
  <c r="J93" i="6"/>
  <c r="J93" i="8" s="1"/>
  <c r="K93" i="6"/>
  <c r="K93" i="8" s="1"/>
  <c r="L93" i="6"/>
  <c r="L93" i="8" s="1"/>
  <c r="M93" i="6"/>
  <c r="M93" i="8" s="1"/>
  <c r="N93" i="6"/>
  <c r="N93" i="8" s="1"/>
  <c r="O93" i="6"/>
  <c r="O93" i="8" s="1"/>
  <c r="P93" i="6"/>
  <c r="P93" i="8" s="1"/>
  <c r="Q93" i="6"/>
  <c r="Q93" i="8" s="1"/>
  <c r="R93" i="6"/>
  <c r="R93" i="8" s="1"/>
  <c r="S93" i="6"/>
  <c r="S93" i="8" s="1"/>
  <c r="T93" i="6"/>
  <c r="T93" i="8" s="1"/>
  <c r="U93" i="6"/>
  <c r="U93" i="8" s="1"/>
  <c r="V93" i="6"/>
  <c r="V93" i="8" s="1"/>
  <c r="W93" i="6"/>
  <c r="W93" i="8" s="1"/>
  <c r="X93" i="6"/>
  <c r="X93" i="8" s="1"/>
  <c r="Y93" i="6"/>
  <c r="Y93" i="8" s="1"/>
  <c r="Z93" i="6"/>
  <c r="Z93" i="8" s="1"/>
  <c r="AA93" i="6"/>
  <c r="AA93" i="8" s="1"/>
  <c r="AB93" i="6"/>
  <c r="AB93" i="8" s="1"/>
  <c r="AC93" i="6"/>
  <c r="AC93" i="8" s="1"/>
  <c r="AD93" i="6"/>
  <c r="AD93" i="8" s="1"/>
  <c r="AE93" i="6"/>
  <c r="AE93" i="8" s="1"/>
  <c r="AF93" i="6"/>
  <c r="AF93" i="8" s="1"/>
  <c r="E94" i="6"/>
  <c r="E94" i="8" s="1"/>
  <c r="F94" i="6"/>
  <c r="F94" i="8" s="1"/>
  <c r="G94" i="6"/>
  <c r="G94" i="8" s="1"/>
  <c r="H94" i="6"/>
  <c r="H94" i="8" s="1"/>
  <c r="I94" i="6"/>
  <c r="I94" i="8" s="1"/>
  <c r="J94" i="6"/>
  <c r="J94" i="8" s="1"/>
  <c r="K94" i="6"/>
  <c r="K94" i="8" s="1"/>
  <c r="L94" i="6"/>
  <c r="L94" i="8" s="1"/>
  <c r="M94" i="6"/>
  <c r="M94" i="8" s="1"/>
  <c r="N94" i="6"/>
  <c r="N94" i="8" s="1"/>
  <c r="O94" i="6"/>
  <c r="O94" i="8" s="1"/>
  <c r="P94" i="6"/>
  <c r="P94" i="8" s="1"/>
  <c r="Q94" i="6"/>
  <c r="Q94" i="8" s="1"/>
  <c r="R94" i="6"/>
  <c r="R94" i="8" s="1"/>
  <c r="S94" i="6"/>
  <c r="S94" i="8" s="1"/>
  <c r="T94" i="6"/>
  <c r="T94" i="8" s="1"/>
  <c r="U94" i="6"/>
  <c r="U94" i="8" s="1"/>
  <c r="V94" i="6"/>
  <c r="V94" i="8" s="1"/>
  <c r="W94" i="6"/>
  <c r="W94" i="8" s="1"/>
  <c r="X94" i="6"/>
  <c r="X94" i="8" s="1"/>
  <c r="Y94" i="6"/>
  <c r="Y94" i="8" s="1"/>
  <c r="Z94" i="6"/>
  <c r="Z94" i="8" s="1"/>
  <c r="AA94" i="6"/>
  <c r="AA94" i="8" s="1"/>
  <c r="AB94" i="6"/>
  <c r="AB94" i="8" s="1"/>
  <c r="AC94" i="6"/>
  <c r="AC94" i="8" s="1"/>
  <c r="AD94" i="6"/>
  <c r="AD94" i="8" s="1"/>
  <c r="AE94" i="6"/>
  <c r="AE94" i="8" s="1"/>
  <c r="AF94" i="6"/>
  <c r="AF94" i="8" s="1"/>
  <c r="E95" i="6"/>
  <c r="E95" i="8" s="1"/>
  <c r="F95" i="6"/>
  <c r="F95" i="8" s="1"/>
  <c r="G95" i="6"/>
  <c r="G95" i="8" s="1"/>
  <c r="H95" i="6"/>
  <c r="H95" i="8" s="1"/>
  <c r="I95" i="6"/>
  <c r="I95" i="8" s="1"/>
  <c r="J95" i="6"/>
  <c r="J95" i="8" s="1"/>
  <c r="K95" i="6"/>
  <c r="K95" i="8" s="1"/>
  <c r="L95" i="6"/>
  <c r="L95" i="8" s="1"/>
  <c r="M95" i="6"/>
  <c r="M95" i="8" s="1"/>
  <c r="N95" i="6"/>
  <c r="N95" i="8" s="1"/>
  <c r="O95" i="6"/>
  <c r="O95" i="8" s="1"/>
  <c r="P95" i="6"/>
  <c r="P95" i="8" s="1"/>
  <c r="Q95" i="6"/>
  <c r="Q95" i="8" s="1"/>
  <c r="R95" i="6"/>
  <c r="R95" i="8" s="1"/>
  <c r="S95" i="6"/>
  <c r="S95" i="8" s="1"/>
  <c r="T95" i="6"/>
  <c r="T95" i="8" s="1"/>
  <c r="U95" i="6"/>
  <c r="U95" i="8" s="1"/>
  <c r="V95" i="6"/>
  <c r="V95" i="8" s="1"/>
  <c r="W95" i="6"/>
  <c r="W95" i="8" s="1"/>
  <c r="X95" i="6"/>
  <c r="X95" i="8" s="1"/>
  <c r="Y95" i="6"/>
  <c r="Y95" i="8" s="1"/>
  <c r="Z95" i="6"/>
  <c r="Z95" i="8" s="1"/>
  <c r="AA95" i="6"/>
  <c r="AA95" i="8" s="1"/>
  <c r="AB95" i="6"/>
  <c r="AB95" i="8" s="1"/>
  <c r="AC95" i="6"/>
  <c r="AC95" i="8" s="1"/>
  <c r="AD95" i="6"/>
  <c r="AD95" i="8" s="1"/>
  <c r="AE95" i="6"/>
  <c r="AE95" i="8" s="1"/>
  <c r="AF95" i="6"/>
  <c r="AF95" i="8" s="1"/>
  <c r="E96" i="6"/>
  <c r="E96" i="8" s="1"/>
  <c r="F96" i="6"/>
  <c r="F96" i="8" s="1"/>
  <c r="G96" i="6"/>
  <c r="G96" i="8" s="1"/>
  <c r="H96" i="6"/>
  <c r="H96" i="8" s="1"/>
  <c r="I96" i="6"/>
  <c r="I96" i="8" s="1"/>
  <c r="J96" i="6"/>
  <c r="J96" i="8" s="1"/>
  <c r="K96" i="6"/>
  <c r="K96" i="8" s="1"/>
  <c r="L96" i="6"/>
  <c r="L96" i="8" s="1"/>
  <c r="M96" i="6"/>
  <c r="M96" i="8" s="1"/>
  <c r="N96" i="6"/>
  <c r="N96" i="8" s="1"/>
  <c r="O96" i="6"/>
  <c r="O96" i="8" s="1"/>
  <c r="P96" i="6"/>
  <c r="P96" i="8" s="1"/>
  <c r="Q96" i="6"/>
  <c r="Q96" i="8" s="1"/>
  <c r="R96" i="6"/>
  <c r="R96" i="8" s="1"/>
  <c r="S96" i="6"/>
  <c r="S96" i="8" s="1"/>
  <c r="T96" i="6"/>
  <c r="T96" i="8" s="1"/>
  <c r="U96" i="6"/>
  <c r="U96" i="8" s="1"/>
  <c r="V96" i="6"/>
  <c r="V96" i="8" s="1"/>
  <c r="W96" i="6"/>
  <c r="W96" i="8" s="1"/>
  <c r="X96" i="6"/>
  <c r="X96" i="8" s="1"/>
  <c r="Y96" i="6"/>
  <c r="Y96" i="8" s="1"/>
  <c r="Z96" i="6"/>
  <c r="Z96" i="8" s="1"/>
  <c r="AA96" i="6"/>
  <c r="AA96" i="8" s="1"/>
  <c r="AB96" i="6"/>
  <c r="AB96" i="8" s="1"/>
  <c r="AC96" i="6"/>
  <c r="AC96" i="8" s="1"/>
  <c r="AD96" i="6"/>
  <c r="AD96" i="8" s="1"/>
  <c r="AE96" i="6"/>
  <c r="AE96" i="8" s="1"/>
  <c r="AF96" i="6"/>
  <c r="AF96" i="8" s="1"/>
  <c r="E97" i="6"/>
  <c r="E97" i="8" s="1"/>
  <c r="F97" i="6"/>
  <c r="F97" i="8" s="1"/>
  <c r="G97" i="6"/>
  <c r="G97" i="8" s="1"/>
  <c r="H97" i="6"/>
  <c r="H97" i="8" s="1"/>
  <c r="I97" i="6"/>
  <c r="I97" i="8" s="1"/>
  <c r="J97" i="6"/>
  <c r="J97" i="8" s="1"/>
  <c r="K97" i="6"/>
  <c r="K97" i="8" s="1"/>
  <c r="L97" i="6"/>
  <c r="L97" i="8" s="1"/>
  <c r="M97" i="6"/>
  <c r="M97" i="8" s="1"/>
  <c r="N97" i="6"/>
  <c r="N97" i="8" s="1"/>
  <c r="O97" i="6"/>
  <c r="O97" i="8" s="1"/>
  <c r="P97" i="6"/>
  <c r="P97" i="8" s="1"/>
  <c r="Q97" i="6"/>
  <c r="Q97" i="8" s="1"/>
  <c r="R97" i="6"/>
  <c r="R97" i="8" s="1"/>
  <c r="S97" i="6"/>
  <c r="S97" i="8" s="1"/>
  <c r="T97" i="6"/>
  <c r="T97" i="8" s="1"/>
  <c r="U97" i="6"/>
  <c r="U97" i="8" s="1"/>
  <c r="V97" i="6"/>
  <c r="V97" i="8" s="1"/>
  <c r="W97" i="6"/>
  <c r="W97" i="8" s="1"/>
  <c r="X97" i="6"/>
  <c r="X97" i="8" s="1"/>
  <c r="Y97" i="6"/>
  <c r="Y97" i="8" s="1"/>
  <c r="Z97" i="6"/>
  <c r="Z97" i="8" s="1"/>
  <c r="AA97" i="6"/>
  <c r="AA97" i="8" s="1"/>
  <c r="AB97" i="6"/>
  <c r="AB97" i="8" s="1"/>
  <c r="AC97" i="6"/>
  <c r="AC97" i="8" s="1"/>
  <c r="AD97" i="6"/>
  <c r="AD97" i="8" s="1"/>
  <c r="AE97" i="6"/>
  <c r="AE97" i="8" s="1"/>
  <c r="AF97" i="6"/>
  <c r="AF97" i="8" s="1"/>
  <c r="E98" i="6"/>
  <c r="E98" i="8" s="1"/>
  <c r="F98" i="6"/>
  <c r="F98" i="8" s="1"/>
  <c r="G98" i="6"/>
  <c r="G98" i="8" s="1"/>
  <c r="H98" i="6"/>
  <c r="H98" i="8" s="1"/>
  <c r="I98" i="6"/>
  <c r="I98" i="8" s="1"/>
  <c r="J98" i="6"/>
  <c r="J98" i="8" s="1"/>
  <c r="K98" i="6"/>
  <c r="K98" i="8" s="1"/>
  <c r="L98" i="6"/>
  <c r="L98" i="8" s="1"/>
  <c r="M98" i="6"/>
  <c r="M98" i="8" s="1"/>
  <c r="N98" i="6"/>
  <c r="N98" i="8" s="1"/>
  <c r="O98" i="6"/>
  <c r="O98" i="8" s="1"/>
  <c r="P98" i="6"/>
  <c r="P98" i="8" s="1"/>
  <c r="Q98" i="6"/>
  <c r="Q98" i="8" s="1"/>
  <c r="R98" i="6"/>
  <c r="R98" i="8" s="1"/>
  <c r="S98" i="6"/>
  <c r="S98" i="8" s="1"/>
  <c r="T98" i="6"/>
  <c r="T98" i="8" s="1"/>
  <c r="U98" i="6"/>
  <c r="U98" i="8" s="1"/>
  <c r="V98" i="6"/>
  <c r="V98" i="8" s="1"/>
  <c r="W98" i="6"/>
  <c r="W98" i="8" s="1"/>
  <c r="X98" i="6"/>
  <c r="X98" i="8" s="1"/>
  <c r="Y98" i="6"/>
  <c r="Y98" i="8" s="1"/>
  <c r="Z98" i="6"/>
  <c r="Z98" i="8" s="1"/>
  <c r="AA98" i="6"/>
  <c r="AA98" i="8" s="1"/>
  <c r="AB98" i="6"/>
  <c r="AB98" i="8" s="1"/>
  <c r="AC98" i="6"/>
  <c r="AC98" i="8" s="1"/>
  <c r="AD98" i="6"/>
  <c r="AD98" i="8" s="1"/>
  <c r="AE98" i="6"/>
  <c r="AE98" i="8" s="1"/>
  <c r="AF98" i="6"/>
  <c r="AF98" i="8" s="1"/>
  <c r="E99" i="6"/>
  <c r="E99" i="8" s="1"/>
  <c r="F99" i="6"/>
  <c r="F99" i="8" s="1"/>
  <c r="G99" i="6"/>
  <c r="G99" i="8" s="1"/>
  <c r="H99" i="6"/>
  <c r="H99" i="8" s="1"/>
  <c r="I99" i="6"/>
  <c r="I99" i="8" s="1"/>
  <c r="J99" i="6"/>
  <c r="J99" i="8" s="1"/>
  <c r="K99" i="6"/>
  <c r="K99" i="8" s="1"/>
  <c r="L99" i="6"/>
  <c r="L99" i="8" s="1"/>
  <c r="M99" i="6"/>
  <c r="M99" i="8" s="1"/>
  <c r="N99" i="6"/>
  <c r="N99" i="8" s="1"/>
  <c r="O99" i="6"/>
  <c r="O99" i="8" s="1"/>
  <c r="P99" i="6"/>
  <c r="P99" i="8" s="1"/>
  <c r="Q99" i="6"/>
  <c r="Q99" i="8" s="1"/>
  <c r="R99" i="6"/>
  <c r="R99" i="8" s="1"/>
  <c r="S99" i="6"/>
  <c r="S99" i="8" s="1"/>
  <c r="T99" i="6"/>
  <c r="T99" i="8" s="1"/>
  <c r="U99" i="6"/>
  <c r="U99" i="8" s="1"/>
  <c r="V99" i="6"/>
  <c r="V99" i="8" s="1"/>
  <c r="W99" i="6"/>
  <c r="W99" i="8" s="1"/>
  <c r="X99" i="6"/>
  <c r="X99" i="8" s="1"/>
  <c r="Y99" i="6"/>
  <c r="Y99" i="8" s="1"/>
  <c r="Z99" i="6"/>
  <c r="Z99" i="8" s="1"/>
  <c r="AA99" i="6"/>
  <c r="AA99" i="8" s="1"/>
  <c r="AB99" i="6"/>
  <c r="AB99" i="8" s="1"/>
  <c r="AC99" i="6"/>
  <c r="AC99" i="8" s="1"/>
  <c r="AD99" i="6"/>
  <c r="AD99" i="8" s="1"/>
  <c r="AE99" i="6"/>
  <c r="AE99" i="8" s="1"/>
  <c r="AF99" i="6"/>
  <c r="AF99" i="8" s="1"/>
  <c r="E100" i="6"/>
  <c r="E100" i="8" s="1"/>
  <c r="F100" i="6"/>
  <c r="F100" i="8" s="1"/>
  <c r="G100" i="6"/>
  <c r="G100" i="8" s="1"/>
  <c r="H100" i="6"/>
  <c r="H100" i="8" s="1"/>
  <c r="I100" i="6"/>
  <c r="I100" i="8" s="1"/>
  <c r="J100" i="6"/>
  <c r="J100" i="8" s="1"/>
  <c r="K100" i="6"/>
  <c r="K100" i="8" s="1"/>
  <c r="L100" i="6"/>
  <c r="L100" i="8" s="1"/>
  <c r="M100" i="6"/>
  <c r="M100" i="8" s="1"/>
  <c r="N100" i="6"/>
  <c r="N100" i="8" s="1"/>
  <c r="O100" i="6"/>
  <c r="O100" i="8" s="1"/>
  <c r="P100" i="6"/>
  <c r="P100" i="8" s="1"/>
  <c r="Q100" i="6"/>
  <c r="Q100" i="8" s="1"/>
  <c r="R100" i="6"/>
  <c r="R100" i="8" s="1"/>
  <c r="S100" i="6"/>
  <c r="S100" i="8" s="1"/>
  <c r="T100" i="6"/>
  <c r="T100" i="8" s="1"/>
  <c r="U100" i="6"/>
  <c r="U100" i="8" s="1"/>
  <c r="V100" i="6"/>
  <c r="V100" i="8" s="1"/>
  <c r="W100" i="6"/>
  <c r="W100" i="8" s="1"/>
  <c r="X100" i="6"/>
  <c r="X100" i="8" s="1"/>
  <c r="Y100" i="6"/>
  <c r="Y100" i="8" s="1"/>
  <c r="Z100" i="6"/>
  <c r="Z100" i="8" s="1"/>
  <c r="AA100" i="6"/>
  <c r="AA100" i="8" s="1"/>
  <c r="AB100" i="6"/>
  <c r="AB100" i="8" s="1"/>
  <c r="AC100" i="6"/>
  <c r="AC100" i="8" s="1"/>
  <c r="AD100" i="6"/>
  <c r="AD100" i="8" s="1"/>
  <c r="AE100" i="6"/>
  <c r="AE100" i="8" s="1"/>
  <c r="AF100" i="6"/>
  <c r="AF100" i="8" s="1"/>
  <c r="E101" i="6"/>
  <c r="E101" i="8" s="1"/>
  <c r="F101" i="6"/>
  <c r="F101" i="8" s="1"/>
  <c r="G101" i="6"/>
  <c r="G101" i="8" s="1"/>
  <c r="H101" i="6"/>
  <c r="H101" i="8" s="1"/>
  <c r="I101" i="6"/>
  <c r="I101" i="8" s="1"/>
  <c r="J101" i="6"/>
  <c r="J101" i="8" s="1"/>
  <c r="K101" i="6"/>
  <c r="K101" i="8" s="1"/>
  <c r="L101" i="6"/>
  <c r="L101" i="8" s="1"/>
  <c r="M101" i="6"/>
  <c r="M101" i="8" s="1"/>
  <c r="N101" i="6"/>
  <c r="N101" i="8" s="1"/>
  <c r="O101" i="6"/>
  <c r="O101" i="8" s="1"/>
  <c r="P101" i="6"/>
  <c r="P101" i="8" s="1"/>
  <c r="Q101" i="6"/>
  <c r="Q101" i="8" s="1"/>
  <c r="R101" i="6"/>
  <c r="R101" i="8" s="1"/>
  <c r="S101" i="6"/>
  <c r="S101" i="8" s="1"/>
  <c r="T101" i="6"/>
  <c r="T101" i="8" s="1"/>
  <c r="U101" i="6"/>
  <c r="U101" i="8" s="1"/>
  <c r="V101" i="6"/>
  <c r="V101" i="8" s="1"/>
  <c r="W101" i="6"/>
  <c r="W101" i="8" s="1"/>
  <c r="X101" i="6"/>
  <c r="X101" i="8" s="1"/>
  <c r="Y101" i="6"/>
  <c r="Y101" i="8" s="1"/>
  <c r="Z101" i="6"/>
  <c r="Z101" i="8" s="1"/>
  <c r="AA101" i="6"/>
  <c r="AA101" i="8" s="1"/>
  <c r="AB101" i="6"/>
  <c r="AB101" i="8" s="1"/>
  <c r="AC101" i="6"/>
  <c r="AC101" i="8" s="1"/>
  <c r="AD101" i="6"/>
  <c r="AD101" i="8" s="1"/>
  <c r="AE101" i="6"/>
  <c r="AE101" i="8" s="1"/>
  <c r="AF101" i="6"/>
  <c r="AF101" i="8" s="1"/>
  <c r="E102" i="6"/>
  <c r="E102" i="8" s="1"/>
  <c r="F102" i="6"/>
  <c r="F102" i="8" s="1"/>
  <c r="G102" i="6"/>
  <c r="G102" i="8" s="1"/>
  <c r="H102" i="6"/>
  <c r="H102" i="8" s="1"/>
  <c r="I102" i="6"/>
  <c r="I102" i="8" s="1"/>
  <c r="J102" i="6"/>
  <c r="J102" i="8" s="1"/>
  <c r="K102" i="6"/>
  <c r="K102" i="8" s="1"/>
  <c r="L102" i="6"/>
  <c r="L102" i="8" s="1"/>
  <c r="M102" i="6"/>
  <c r="M102" i="8" s="1"/>
  <c r="N102" i="6"/>
  <c r="N102" i="8" s="1"/>
  <c r="O102" i="6"/>
  <c r="O102" i="8" s="1"/>
  <c r="P102" i="6"/>
  <c r="P102" i="8" s="1"/>
  <c r="Q102" i="6"/>
  <c r="Q102" i="8" s="1"/>
  <c r="R102" i="6"/>
  <c r="R102" i="8" s="1"/>
  <c r="S102" i="6"/>
  <c r="S102" i="8" s="1"/>
  <c r="T102" i="6"/>
  <c r="T102" i="8" s="1"/>
  <c r="U102" i="6"/>
  <c r="U102" i="8" s="1"/>
  <c r="V102" i="6"/>
  <c r="V102" i="8" s="1"/>
  <c r="W102" i="6"/>
  <c r="W102" i="8" s="1"/>
  <c r="X102" i="6"/>
  <c r="X102" i="8" s="1"/>
  <c r="Y102" i="6"/>
  <c r="Y102" i="8" s="1"/>
  <c r="Z102" i="6"/>
  <c r="Z102" i="8" s="1"/>
  <c r="AA102" i="6"/>
  <c r="AA102" i="8" s="1"/>
  <c r="AB102" i="6"/>
  <c r="AB102" i="8" s="1"/>
  <c r="AC102" i="6"/>
  <c r="AC102" i="8" s="1"/>
  <c r="AD102" i="6"/>
  <c r="AD102" i="8" s="1"/>
  <c r="AE102" i="6"/>
  <c r="AE102" i="8" s="1"/>
  <c r="AF102" i="6"/>
  <c r="AF102" i="8" s="1"/>
  <c r="E103" i="6"/>
  <c r="E103" i="8" s="1"/>
  <c r="F103" i="6"/>
  <c r="F103" i="8" s="1"/>
  <c r="G103" i="6"/>
  <c r="G103" i="8" s="1"/>
  <c r="H103" i="6"/>
  <c r="H103" i="8" s="1"/>
  <c r="I103" i="6"/>
  <c r="I103" i="8" s="1"/>
  <c r="J103" i="6"/>
  <c r="J103" i="8" s="1"/>
  <c r="K103" i="6"/>
  <c r="K103" i="8" s="1"/>
  <c r="L103" i="6"/>
  <c r="L103" i="8" s="1"/>
  <c r="M103" i="6"/>
  <c r="M103" i="8" s="1"/>
  <c r="N103" i="6"/>
  <c r="N103" i="8" s="1"/>
  <c r="O103" i="6"/>
  <c r="O103" i="8" s="1"/>
  <c r="P103" i="6"/>
  <c r="P103" i="8" s="1"/>
  <c r="Q103" i="6"/>
  <c r="Q103" i="8" s="1"/>
  <c r="R103" i="6"/>
  <c r="R103" i="8" s="1"/>
  <c r="S103" i="6"/>
  <c r="S103" i="8" s="1"/>
  <c r="T103" i="6"/>
  <c r="T103" i="8" s="1"/>
  <c r="U103" i="6"/>
  <c r="U103" i="8" s="1"/>
  <c r="V103" i="6"/>
  <c r="V103" i="8" s="1"/>
  <c r="W103" i="6"/>
  <c r="W103" i="8" s="1"/>
  <c r="X103" i="6"/>
  <c r="X103" i="8" s="1"/>
  <c r="Y103" i="6"/>
  <c r="Y103" i="8" s="1"/>
  <c r="Z103" i="6"/>
  <c r="Z103" i="8" s="1"/>
  <c r="AA103" i="6"/>
  <c r="AA103" i="8" s="1"/>
  <c r="AB103" i="6"/>
  <c r="AB103" i="8" s="1"/>
  <c r="AC103" i="6"/>
  <c r="AC103" i="8" s="1"/>
  <c r="AD103" i="6"/>
  <c r="AD103" i="8" s="1"/>
  <c r="AE103" i="6"/>
  <c r="AE103" i="8" s="1"/>
  <c r="AF103" i="6"/>
  <c r="AF103" i="8" s="1"/>
  <c r="E104" i="6"/>
  <c r="E104" i="8" s="1"/>
  <c r="F104" i="6"/>
  <c r="F104" i="8" s="1"/>
  <c r="G104" i="6"/>
  <c r="G104" i="8" s="1"/>
  <c r="H104" i="6"/>
  <c r="H104" i="8" s="1"/>
  <c r="I104" i="6"/>
  <c r="I104" i="8" s="1"/>
  <c r="J104" i="6"/>
  <c r="J104" i="8" s="1"/>
  <c r="K104" i="6"/>
  <c r="K104" i="8" s="1"/>
  <c r="L104" i="6"/>
  <c r="L104" i="8" s="1"/>
  <c r="M104" i="6"/>
  <c r="M104" i="8" s="1"/>
  <c r="N104" i="6"/>
  <c r="N104" i="8" s="1"/>
  <c r="O104" i="6"/>
  <c r="O104" i="8" s="1"/>
  <c r="P104" i="6"/>
  <c r="P104" i="8" s="1"/>
  <c r="Q104" i="6"/>
  <c r="Q104" i="8" s="1"/>
  <c r="R104" i="6"/>
  <c r="R104" i="8" s="1"/>
  <c r="S104" i="6"/>
  <c r="S104" i="8" s="1"/>
  <c r="T104" i="6"/>
  <c r="T104" i="8" s="1"/>
  <c r="U104" i="6"/>
  <c r="U104" i="8" s="1"/>
  <c r="V104" i="6"/>
  <c r="V104" i="8" s="1"/>
  <c r="W104" i="6"/>
  <c r="W104" i="8" s="1"/>
  <c r="X104" i="6"/>
  <c r="X104" i="8" s="1"/>
  <c r="Y104" i="6"/>
  <c r="Y104" i="8" s="1"/>
  <c r="Z104" i="6"/>
  <c r="Z104" i="8" s="1"/>
  <c r="AA104" i="6"/>
  <c r="AA104" i="8" s="1"/>
  <c r="AB104" i="6"/>
  <c r="AB104" i="8" s="1"/>
  <c r="AC104" i="6"/>
  <c r="AC104" i="8" s="1"/>
  <c r="AD104" i="6"/>
  <c r="AD104" i="8" s="1"/>
  <c r="AE104" i="6"/>
  <c r="AE104" i="8" s="1"/>
  <c r="AF104" i="6"/>
  <c r="AF104" i="8" s="1"/>
  <c r="E105" i="6"/>
  <c r="E105" i="8" s="1"/>
  <c r="F105" i="6"/>
  <c r="F105" i="8" s="1"/>
  <c r="G105" i="6"/>
  <c r="G105" i="8" s="1"/>
  <c r="H105" i="6"/>
  <c r="H105" i="8" s="1"/>
  <c r="I105" i="6"/>
  <c r="I105" i="8" s="1"/>
  <c r="J105" i="6"/>
  <c r="J105" i="8" s="1"/>
  <c r="K105" i="6"/>
  <c r="K105" i="8" s="1"/>
  <c r="L105" i="6"/>
  <c r="L105" i="8" s="1"/>
  <c r="M105" i="6"/>
  <c r="M105" i="8" s="1"/>
  <c r="N105" i="6"/>
  <c r="N105" i="8" s="1"/>
  <c r="O105" i="6"/>
  <c r="O105" i="8" s="1"/>
  <c r="P105" i="6"/>
  <c r="P105" i="8" s="1"/>
  <c r="Q105" i="6"/>
  <c r="Q105" i="8" s="1"/>
  <c r="R105" i="6"/>
  <c r="R105" i="8" s="1"/>
  <c r="S105" i="6"/>
  <c r="S105" i="8" s="1"/>
  <c r="T105" i="6"/>
  <c r="T105" i="8" s="1"/>
  <c r="U105" i="6"/>
  <c r="U105" i="8" s="1"/>
  <c r="V105" i="6"/>
  <c r="V105" i="8" s="1"/>
  <c r="W105" i="6"/>
  <c r="W105" i="8" s="1"/>
  <c r="X105" i="6"/>
  <c r="X105" i="8" s="1"/>
  <c r="Y105" i="6"/>
  <c r="Y105" i="8" s="1"/>
  <c r="Z105" i="6"/>
  <c r="Z105" i="8" s="1"/>
  <c r="AA105" i="6"/>
  <c r="AA105" i="8" s="1"/>
  <c r="AB105" i="6"/>
  <c r="AB105" i="8" s="1"/>
  <c r="AC105" i="6"/>
  <c r="AC105" i="8" s="1"/>
  <c r="AD105" i="6"/>
  <c r="AD105" i="8" s="1"/>
  <c r="AE105" i="6"/>
  <c r="AE105" i="8" s="1"/>
  <c r="AF105" i="6"/>
  <c r="AF105" i="8" s="1"/>
  <c r="E106" i="6"/>
  <c r="E106" i="8" s="1"/>
  <c r="F106" i="6"/>
  <c r="F106" i="8" s="1"/>
  <c r="G106" i="6"/>
  <c r="G106" i="8" s="1"/>
  <c r="H106" i="6"/>
  <c r="H106" i="8" s="1"/>
  <c r="I106" i="6"/>
  <c r="I106" i="8" s="1"/>
  <c r="J106" i="6"/>
  <c r="J106" i="8" s="1"/>
  <c r="K106" i="6"/>
  <c r="K106" i="8" s="1"/>
  <c r="L106" i="6"/>
  <c r="L106" i="8" s="1"/>
  <c r="M106" i="6"/>
  <c r="M106" i="8" s="1"/>
  <c r="N106" i="6"/>
  <c r="N106" i="8" s="1"/>
  <c r="O106" i="6"/>
  <c r="O106" i="8" s="1"/>
  <c r="P106" i="6"/>
  <c r="P106" i="8" s="1"/>
  <c r="Q106" i="6"/>
  <c r="Q106" i="8" s="1"/>
  <c r="R106" i="6"/>
  <c r="R106" i="8" s="1"/>
  <c r="S106" i="6"/>
  <c r="S106" i="8" s="1"/>
  <c r="T106" i="6"/>
  <c r="T106" i="8" s="1"/>
  <c r="U106" i="6"/>
  <c r="U106" i="8" s="1"/>
  <c r="V106" i="6"/>
  <c r="V106" i="8" s="1"/>
  <c r="W106" i="6"/>
  <c r="W106" i="8" s="1"/>
  <c r="X106" i="6"/>
  <c r="X106" i="8" s="1"/>
  <c r="Y106" i="6"/>
  <c r="Y106" i="8" s="1"/>
  <c r="Z106" i="6"/>
  <c r="Z106" i="8" s="1"/>
  <c r="AA106" i="6"/>
  <c r="AA106" i="8" s="1"/>
  <c r="AB106" i="6"/>
  <c r="AB106" i="8" s="1"/>
  <c r="AC106" i="6"/>
  <c r="AC106" i="8" s="1"/>
  <c r="AD106" i="6"/>
  <c r="AD106" i="8" s="1"/>
  <c r="AE106" i="6"/>
  <c r="AE106" i="8" s="1"/>
  <c r="AF106" i="6"/>
  <c r="AF106" i="8" s="1"/>
  <c r="E107" i="6"/>
  <c r="E107" i="8" s="1"/>
  <c r="F107" i="6"/>
  <c r="F107" i="8" s="1"/>
  <c r="G107" i="6"/>
  <c r="G107" i="8" s="1"/>
  <c r="H107" i="6"/>
  <c r="H107" i="8" s="1"/>
  <c r="I107" i="6"/>
  <c r="I107" i="8" s="1"/>
  <c r="J107" i="6"/>
  <c r="J107" i="8" s="1"/>
  <c r="K107" i="6"/>
  <c r="K107" i="8" s="1"/>
  <c r="L107" i="6"/>
  <c r="L107" i="8" s="1"/>
  <c r="M107" i="6"/>
  <c r="M107" i="8" s="1"/>
  <c r="N107" i="6"/>
  <c r="N107" i="8" s="1"/>
  <c r="O107" i="6"/>
  <c r="O107" i="8" s="1"/>
  <c r="P107" i="6"/>
  <c r="P107" i="8" s="1"/>
  <c r="Q107" i="6"/>
  <c r="Q107" i="8" s="1"/>
  <c r="R107" i="6"/>
  <c r="R107" i="8" s="1"/>
  <c r="S107" i="6"/>
  <c r="S107" i="8" s="1"/>
  <c r="T107" i="6"/>
  <c r="T107" i="8" s="1"/>
  <c r="U107" i="6"/>
  <c r="U107" i="8" s="1"/>
  <c r="V107" i="6"/>
  <c r="V107" i="8" s="1"/>
  <c r="W107" i="6"/>
  <c r="W107" i="8" s="1"/>
  <c r="X107" i="6"/>
  <c r="X107" i="8" s="1"/>
  <c r="Y107" i="6"/>
  <c r="Y107" i="8" s="1"/>
  <c r="Z107" i="6"/>
  <c r="Z107" i="8" s="1"/>
  <c r="AA107" i="6"/>
  <c r="AA107" i="8" s="1"/>
  <c r="AB107" i="6"/>
  <c r="AB107" i="8" s="1"/>
  <c r="AC107" i="6"/>
  <c r="AC107" i="8" s="1"/>
  <c r="AD107" i="6"/>
  <c r="AD107" i="8" s="1"/>
  <c r="AE107" i="6"/>
  <c r="AE107" i="8" s="1"/>
  <c r="AF107" i="6"/>
  <c r="AF107" i="8" s="1"/>
  <c r="E108" i="6"/>
  <c r="E108" i="8" s="1"/>
  <c r="F108" i="6"/>
  <c r="F108" i="8" s="1"/>
  <c r="G108" i="6"/>
  <c r="G108" i="8" s="1"/>
  <c r="H108" i="6"/>
  <c r="H108" i="8" s="1"/>
  <c r="I108" i="6"/>
  <c r="I108" i="8" s="1"/>
  <c r="J108" i="6"/>
  <c r="J108" i="8" s="1"/>
  <c r="K108" i="6"/>
  <c r="K108" i="8" s="1"/>
  <c r="L108" i="6"/>
  <c r="L108" i="8" s="1"/>
  <c r="M108" i="6"/>
  <c r="M108" i="8" s="1"/>
  <c r="N108" i="6"/>
  <c r="N108" i="8" s="1"/>
  <c r="O108" i="6"/>
  <c r="O108" i="8" s="1"/>
  <c r="P108" i="6"/>
  <c r="P108" i="8" s="1"/>
  <c r="Q108" i="6"/>
  <c r="Q108" i="8" s="1"/>
  <c r="R108" i="6"/>
  <c r="R108" i="8" s="1"/>
  <c r="S108" i="6"/>
  <c r="S108" i="8" s="1"/>
  <c r="T108" i="6"/>
  <c r="T108" i="8" s="1"/>
  <c r="U108" i="6"/>
  <c r="U108" i="8" s="1"/>
  <c r="V108" i="6"/>
  <c r="V108" i="8" s="1"/>
  <c r="W108" i="6"/>
  <c r="W108" i="8" s="1"/>
  <c r="X108" i="6"/>
  <c r="X108" i="8" s="1"/>
  <c r="Y108" i="6"/>
  <c r="Y108" i="8" s="1"/>
  <c r="Z108" i="6"/>
  <c r="Z108" i="8" s="1"/>
  <c r="AA108" i="6"/>
  <c r="AA108" i="8" s="1"/>
  <c r="AB108" i="6"/>
  <c r="AB108" i="8" s="1"/>
  <c r="AC108" i="6"/>
  <c r="AC108" i="8" s="1"/>
  <c r="AD108" i="6"/>
  <c r="AD108" i="8" s="1"/>
  <c r="AE108" i="6"/>
  <c r="AE108" i="8" s="1"/>
  <c r="AF108" i="6"/>
  <c r="AF108" i="8" s="1"/>
  <c r="E109" i="6"/>
  <c r="E109" i="8" s="1"/>
  <c r="F109" i="6"/>
  <c r="F109" i="8" s="1"/>
  <c r="G109" i="6"/>
  <c r="G109" i="8" s="1"/>
  <c r="H109" i="6"/>
  <c r="H109" i="8" s="1"/>
  <c r="I109" i="6"/>
  <c r="I109" i="8" s="1"/>
  <c r="J109" i="6"/>
  <c r="J109" i="8" s="1"/>
  <c r="K109" i="6"/>
  <c r="K109" i="8" s="1"/>
  <c r="L109" i="6"/>
  <c r="L109" i="8" s="1"/>
  <c r="M109" i="6"/>
  <c r="M109" i="8" s="1"/>
  <c r="N109" i="6"/>
  <c r="N109" i="8" s="1"/>
  <c r="O109" i="6"/>
  <c r="O109" i="8" s="1"/>
  <c r="P109" i="6"/>
  <c r="P109" i="8" s="1"/>
  <c r="Q109" i="6"/>
  <c r="Q109" i="8" s="1"/>
  <c r="R109" i="6"/>
  <c r="R109" i="8" s="1"/>
  <c r="S109" i="6"/>
  <c r="S109" i="8" s="1"/>
  <c r="T109" i="6"/>
  <c r="T109" i="8" s="1"/>
  <c r="U109" i="6"/>
  <c r="U109" i="8" s="1"/>
  <c r="V109" i="6"/>
  <c r="V109" i="8" s="1"/>
  <c r="W109" i="6"/>
  <c r="W109" i="8" s="1"/>
  <c r="X109" i="6"/>
  <c r="X109" i="8" s="1"/>
  <c r="Y109" i="6"/>
  <c r="Y109" i="8" s="1"/>
  <c r="Z109" i="6"/>
  <c r="Z109" i="8" s="1"/>
  <c r="AA109" i="6"/>
  <c r="AA109" i="8" s="1"/>
  <c r="AB109" i="6"/>
  <c r="AB109" i="8" s="1"/>
  <c r="AC109" i="6"/>
  <c r="AC109" i="8" s="1"/>
  <c r="AD109" i="6"/>
  <c r="AD109" i="8" s="1"/>
  <c r="AE109" i="6"/>
  <c r="AE109" i="8" s="1"/>
  <c r="AF109" i="6"/>
  <c r="AF109" i="8" s="1"/>
  <c r="E110" i="6"/>
  <c r="E110" i="8" s="1"/>
  <c r="F110" i="6"/>
  <c r="F110" i="8" s="1"/>
  <c r="G110" i="6"/>
  <c r="G110" i="8" s="1"/>
  <c r="H110" i="6"/>
  <c r="H110" i="8" s="1"/>
  <c r="I110" i="6"/>
  <c r="I110" i="8" s="1"/>
  <c r="J110" i="6"/>
  <c r="J110" i="8" s="1"/>
  <c r="K110" i="6"/>
  <c r="K110" i="8" s="1"/>
  <c r="L110" i="6"/>
  <c r="L110" i="8" s="1"/>
  <c r="M110" i="6"/>
  <c r="M110" i="8" s="1"/>
  <c r="N110" i="6"/>
  <c r="N110" i="8" s="1"/>
  <c r="O110" i="6"/>
  <c r="O110" i="8" s="1"/>
  <c r="P110" i="6"/>
  <c r="P110" i="8" s="1"/>
  <c r="Q110" i="6"/>
  <c r="Q110" i="8" s="1"/>
  <c r="R110" i="6"/>
  <c r="R110" i="8" s="1"/>
  <c r="S110" i="6"/>
  <c r="S110" i="8" s="1"/>
  <c r="T110" i="6"/>
  <c r="T110" i="8" s="1"/>
  <c r="U110" i="6"/>
  <c r="U110" i="8" s="1"/>
  <c r="V110" i="6"/>
  <c r="V110" i="8" s="1"/>
  <c r="W110" i="6"/>
  <c r="W110" i="8" s="1"/>
  <c r="X110" i="6"/>
  <c r="X110" i="8" s="1"/>
  <c r="Y110" i="6"/>
  <c r="Y110" i="8" s="1"/>
  <c r="Z110" i="6"/>
  <c r="Z110" i="8" s="1"/>
  <c r="AA110" i="6"/>
  <c r="AA110" i="8" s="1"/>
  <c r="AB110" i="6"/>
  <c r="AB110" i="8" s="1"/>
  <c r="AC110" i="6"/>
  <c r="AC110" i="8" s="1"/>
  <c r="AD110" i="6"/>
  <c r="AD110" i="8" s="1"/>
  <c r="AE110" i="6"/>
  <c r="AE110" i="8" s="1"/>
  <c r="AF110" i="6"/>
  <c r="AF110" i="8" s="1"/>
  <c r="E111" i="6"/>
  <c r="E111" i="8" s="1"/>
  <c r="F111" i="6"/>
  <c r="F111" i="8" s="1"/>
  <c r="G111" i="6"/>
  <c r="G111" i="8" s="1"/>
  <c r="H111" i="6"/>
  <c r="H111" i="8" s="1"/>
  <c r="I111" i="6"/>
  <c r="I111" i="8" s="1"/>
  <c r="J111" i="6"/>
  <c r="J111" i="8" s="1"/>
  <c r="K111" i="6"/>
  <c r="K111" i="8" s="1"/>
  <c r="L111" i="6"/>
  <c r="L111" i="8" s="1"/>
  <c r="M111" i="6"/>
  <c r="M111" i="8" s="1"/>
  <c r="N111" i="6"/>
  <c r="N111" i="8" s="1"/>
  <c r="O111" i="6"/>
  <c r="O111" i="8" s="1"/>
  <c r="P111" i="6"/>
  <c r="P111" i="8" s="1"/>
  <c r="Q111" i="6"/>
  <c r="Q111" i="8" s="1"/>
  <c r="R111" i="6"/>
  <c r="R111" i="8" s="1"/>
  <c r="S111" i="6"/>
  <c r="S111" i="8" s="1"/>
  <c r="T111" i="6"/>
  <c r="T111" i="8" s="1"/>
  <c r="U111" i="6"/>
  <c r="U111" i="8" s="1"/>
  <c r="V111" i="6"/>
  <c r="V111" i="8" s="1"/>
  <c r="W111" i="6"/>
  <c r="W111" i="8" s="1"/>
  <c r="X111" i="6"/>
  <c r="X111" i="8" s="1"/>
  <c r="Y111" i="6"/>
  <c r="Y111" i="8" s="1"/>
  <c r="Z111" i="6"/>
  <c r="Z111" i="8" s="1"/>
  <c r="AA111" i="6"/>
  <c r="AA111" i="8" s="1"/>
  <c r="AB111" i="6"/>
  <c r="AB111" i="8" s="1"/>
  <c r="AC111" i="6"/>
  <c r="AC111" i="8" s="1"/>
  <c r="AD111" i="6"/>
  <c r="AD111" i="8" s="1"/>
  <c r="AE111" i="6"/>
  <c r="AE111" i="8" s="1"/>
  <c r="AF111" i="6"/>
  <c r="AF111" i="8" s="1"/>
  <c r="E112" i="6"/>
  <c r="E112" i="8" s="1"/>
  <c r="F112" i="6"/>
  <c r="F112" i="8" s="1"/>
  <c r="G112" i="6"/>
  <c r="G112" i="8" s="1"/>
  <c r="H112" i="6"/>
  <c r="H112" i="8" s="1"/>
  <c r="I112" i="6"/>
  <c r="I112" i="8" s="1"/>
  <c r="J112" i="6"/>
  <c r="J112" i="8" s="1"/>
  <c r="K112" i="6"/>
  <c r="K112" i="8" s="1"/>
  <c r="L112" i="6"/>
  <c r="L112" i="8" s="1"/>
  <c r="M112" i="6"/>
  <c r="M112" i="8" s="1"/>
  <c r="N112" i="6"/>
  <c r="N112" i="8" s="1"/>
  <c r="O112" i="6"/>
  <c r="O112" i="8" s="1"/>
  <c r="P112" i="6"/>
  <c r="P112" i="8" s="1"/>
  <c r="Q112" i="6"/>
  <c r="Q112" i="8" s="1"/>
  <c r="R112" i="6"/>
  <c r="R112" i="8" s="1"/>
  <c r="S112" i="6"/>
  <c r="S112" i="8" s="1"/>
  <c r="T112" i="6"/>
  <c r="T112" i="8" s="1"/>
  <c r="U112" i="6"/>
  <c r="U112" i="8" s="1"/>
  <c r="V112" i="6"/>
  <c r="V112" i="8" s="1"/>
  <c r="W112" i="6"/>
  <c r="W112" i="8" s="1"/>
  <c r="X112" i="6"/>
  <c r="X112" i="8" s="1"/>
  <c r="Y112" i="6"/>
  <c r="Y112" i="8" s="1"/>
  <c r="Z112" i="6"/>
  <c r="Z112" i="8" s="1"/>
  <c r="AA112" i="6"/>
  <c r="AA112" i="8" s="1"/>
  <c r="AB112" i="6"/>
  <c r="AB112" i="8" s="1"/>
  <c r="AC112" i="6"/>
  <c r="AC112" i="8" s="1"/>
  <c r="AD112" i="6"/>
  <c r="AD112" i="8" s="1"/>
  <c r="AE112" i="6"/>
  <c r="AE112" i="8" s="1"/>
  <c r="AF112" i="6"/>
  <c r="AF112" i="8" s="1"/>
  <c r="E113" i="6"/>
  <c r="E113" i="8" s="1"/>
  <c r="F113" i="6"/>
  <c r="F113" i="8" s="1"/>
  <c r="G113" i="6"/>
  <c r="G113" i="8" s="1"/>
  <c r="H113" i="6"/>
  <c r="H113" i="8" s="1"/>
  <c r="I113" i="6"/>
  <c r="I113" i="8" s="1"/>
  <c r="J113" i="6"/>
  <c r="J113" i="8" s="1"/>
  <c r="K113" i="6"/>
  <c r="K113" i="8" s="1"/>
  <c r="L113" i="6"/>
  <c r="L113" i="8" s="1"/>
  <c r="M113" i="6"/>
  <c r="M113" i="8" s="1"/>
  <c r="N113" i="6"/>
  <c r="N113" i="8" s="1"/>
  <c r="O113" i="6"/>
  <c r="O113" i="8" s="1"/>
  <c r="P113" i="6"/>
  <c r="P113" i="8" s="1"/>
  <c r="Q113" i="6"/>
  <c r="Q113" i="8" s="1"/>
  <c r="R113" i="6"/>
  <c r="R113" i="8" s="1"/>
  <c r="S113" i="6"/>
  <c r="S113" i="8" s="1"/>
  <c r="T113" i="6"/>
  <c r="T113" i="8" s="1"/>
  <c r="U113" i="6"/>
  <c r="U113" i="8" s="1"/>
  <c r="V113" i="6"/>
  <c r="V113" i="8" s="1"/>
  <c r="W113" i="6"/>
  <c r="W113" i="8" s="1"/>
  <c r="X113" i="6"/>
  <c r="X113" i="8" s="1"/>
  <c r="Y113" i="6"/>
  <c r="Y113" i="8" s="1"/>
  <c r="Z113" i="6"/>
  <c r="Z113" i="8" s="1"/>
  <c r="AA113" i="6"/>
  <c r="AA113" i="8" s="1"/>
  <c r="AB113" i="6"/>
  <c r="AB113" i="8" s="1"/>
  <c r="AC113" i="6"/>
  <c r="AC113" i="8" s="1"/>
  <c r="AD113" i="6"/>
  <c r="AD113" i="8" s="1"/>
  <c r="AE113" i="6"/>
  <c r="AE113" i="8" s="1"/>
  <c r="AF113" i="6"/>
  <c r="AF113" i="8" s="1"/>
  <c r="E114" i="6"/>
  <c r="E114" i="8" s="1"/>
  <c r="F114" i="6"/>
  <c r="F114" i="8" s="1"/>
  <c r="G114" i="6"/>
  <c r="G114" i="8" s="1"/>
  <c r="H114" i="6"/>
  <c r="H114" i="8" s="1"/>
  <c r="I114" i="6"/>
  <c r="I114" i="8" s="1"/>
  <c r="J114" i="6"/>
  <c r="J114" i="8" s="1"/>
  <c r="K114" i="6"/>
  <c r="K114" i="8" s="1"/>
  <c r="L114" i="6"/>
  <c r="L114" i="8" s="1"/>
  <c r="M114" i="6"/>
  <c r="M114" i="8" s="1"/>
  <c r="N114" i="6"/>
  <c r="N114" i="8" s="1"/>
  <c r="O114" i="6"/>
  <c r="O114" i="8" s="1"/>
  <c r="P114" i="6"/>
  <c r="P114" i="8" s="1"/>
  <c r="Q114" i="6"/>
  <c r="Q114" i="8" s="1"/>
  <c r="R114" i="6"/>
  <c r="R114" i="8" s="1"/>
  <c r="S114" i="6"/>
  <c r="S114" i="8" s="1"/>
  <c r="T114" i="6"/>
  <c r="T114" i="8" s="1"/>
  <c r="U114" i="6"/>
  <c r="U114" i="8" s="1"/>
  <c r="V114" i="6"/>
  <c r="V114" i="8" s="1"/>
  <c r="W114" i="6"/>
  <c r="W114" i="8" s="1"/>
  <c r="X114" i="6"/>
  <c r="X114" i="8" s="1"/>
  <c r="Y114" i="6"/>
  <c r="Y114" i="8" s="1"/>
  <c r="Z114" i="6"/>
  <c r="Z114" i="8" s="1"/>
  <c r="AA114" i="6"/>
  <c r="AA114" i="8" s="1"/>
  <c r="AB114" i="6"/>
  <c r="AB114" i="8" s="1"/>
  <c r="AC114" i="6"/>
  <c r="AC114" i="8" s="1"/>
  <c r="AD114" i="6"/>
  <c r="AD114" i="8" s="1"/>
  <c r="AE114" i="6"/>
  <c r="AE114" i="8" s="1"/>
  <c r="AF114" i="6"/>
  <c r="AF114" i="8" s="1"/>
  <c r="E115" i="6"/>
  <c r="E115" i="8" s="1"/>
  <c r="F115" i="6"/>
  <c r="F115" i="8" s="1"/>
  <c r="G115" i="6"/>
  <c r="G115" i="8" s="1"/>
  <c r="H115" i="6"/>
  <c r="H115" i="8" s="1"/>
  <c r="I115" i="6"/>
  <c r="I115" i="8" s="1"/>
  <c r="J115" i="6"/>
  <c r="J115" i="8" s="1"/>
  <c r="K115" i="6"/>
  <c r="K115" i="8" s="1"/>
  <c r="L115" i="6"/>
  <c r="L115" i="8" s="1"/>
  <c r="M115" i="6"/>
  <c r="M115" i="8" s="1"/>
  <c r="N115" i="6"/>
  <c r="N115" i="8" s="1"/>
  <c r="O115" i="6"/>
  <c r="O115" i="8" s="1"/>
  <c r="P115" i="6"/>
  <c r="P115" i="8" s="1"/>
  <c r="Q115" i="6"/>
  <c r="Q115" i="8" s="1"/>
  <c r="R115" i="6"/>
  <c r="R115" i="8" s="1"/>
  <c r="S115" i="6"/>
  <c r="S115" i="8" s="1"/>
  <c r="T115" i="6"/>
  <c r="T115" i="8" s="1"/>
  <c r="U115" i="6"/>
  <c r="U115" i="8" s="1"/>
  <c r="V115" i="6"/>
  <c r="V115" i="8" s="1"/>
  <c r="W115" i="6"/>
  <c r="W115" i="8" s="1"/>
  <c r="X115" i="6"/>
  <c r="X115" i="8" s="1"/>
  <c r="Y115" i="6"/>
  <c r="Y115" i="8" s="1"/>
  <c r="Z115" i="6"/>
  <c r="Z115" i="8" s="1"/>
  <c r="AA115" i="6"/>
  <c r="AA115" i="8" s="1"/>
  <c r="AB115" i="6"/>
  <c r="AB115" i="8" s="1"/>
  <c r="AC115" i="6"/>
  <c r="AC115" i="8" s="1"/>
  <c r="AD115" i="6"/>
  <c r="AD115" i="8" s="1"/>
  <c r="AE115" i="6"/>
  <c r="AE115" i="8" s="1"/>
  <c r="AF115" i="6"/>
  <c r="AF115" i="8" s="1"/>
  <c r="E116" i="6"/>
  <c r="E116" i="8" s="1"/>
  <c r="F116" i="6"/>
  <c r="F116" i="8" s="1"/>
  <c r="G116" i="6"/>
  <c r="G116" i="8" s="1"/>
  <c r="H116" i="6"/>
  <c r="H116" i="8" s="1"/>
  <c r="I116" i="6"/>
  <c r="I116" i="8" s="1"/>
  <c r="J116" i="6"/>
  <c r="J116" i="8" s="1"/>
  <c r="K116" i="6"/>
  <c r="K116" i="8" s="1"/>
  <c r="L116" i="6"/>
  <c r="L116" i="8" s="1"/>
  <c r="M116" i="6"/>
  <c r="M116" i="8" s="1"/>
  <c r="N116" i="6"/>
  <c r="N116" i="8" s="1"/>
  <c r="O116" i="6"/>
  <c r="O116" i="8" s="1"/>
  <c r="P116" i="6"/>
  <c r="P116" i="8" s="1"/>
  <c r="Q116" i="6"/>
  <c r="Q116" i="8" s="1"/>
  <c r="R116" i="6"/>
  <c r="R116" i="8" s="1"/>
  <c r="S116" i="6"/>
  <c r="S116" i="8" s="1"/>
  <c r="T116" i="6"/>
  <c r="T116" i="8" s="1"/>
  <c r="U116" i="6"/>
  <c r="U116" i="8" s="1"/>
  <c r="V116" i="6"/>
  <c r="V116" i="8" s="1"/>
  <c r="W116" i="6"/>
  <c r="W116" i="8" s="1"/>
  <c r="X116" i="6"/>
  <c r="X116" i="8" s="1"/>
  <c r="Y116" i="6"/>
  <c r="Y116" i="8" s="1"/>
  <c r="Z116" i="6"/>
  <c r="Z116" i="8" s="1"/>
  <c r="AA116" i="6"/>
  <c r="AA116" i="8" s="1"/>
  <c r="AB116" i="6"/>
  <c r="AB116" i="8" s="1"/>
  <c r="AC116" i="6"/>
  <c r="AC116" i="8" s="1"/>
  <c r="AD116" i="6"/>
  <c r="AD116" i="8" s="1"/>
  <c r="AE116" i="6"/>
  <c r="AE116" i="8" s="1"/>
  <c r="AF116" i="6"/>
  <c r="AF116" i="8" s="1"/>
  <c r="E117" i="6"/>
  <c r="E117" i="8" s="1"/>
  <c r="F117" i="6"/>
  <c r="F117" i="8" s="1"/>
  <c r="G117" i="6"/>
  <c r="G117" i="8" s="1"/>
  <c r="H117" i="6"/>
  <c r="H117" i="8" s="1"/>
  <c r="I117" i="6"/>
  <c r="I117" i="8" s="1"/>
  <c r="J117" i="6"/>
  <c r="J117" i="8" s="1"/>
  <c r="K117" i="6"/>
  <c r="K117" i="8" s="1"/>
  <c r="L117" i="6"/>
  <c r="L117" i="8" s="1"/>
  <c r="M117" i="6"/>
  <c r="M117" i="8" s="1"/>
  <c r="N117" i="6"/>
  <c r="N117" i="8" s="1"/>
  <c r="O117" i="6"/>
  <c r="O117" i="8" s="1"/>
  <c r="P117" i="6"/>
  <c r="P117" i="8" s="1"/>
  <c r="Q117" i="6"/>
  <c r="Q117" i="8" s="1"/>
  <c r="R117" i="6"/>
  <c r="R117" i="8" s="1"/>
  <c r="S117" i="6"/>
  <c r="S117" i="8" s="1"/>
  <c r="T117" i="6"/>
  <c r="T117" i="8" s="1"/>
  <c r="U117" i="6"/>
  <c r="U117" i="8" s="1"/>
  <c r="V117" i="6"/>
  <c r="V117" i="8" s="1"/>
  <c r="W117" i="6"/>
  <c r="W117" i="8" s="1"/>
  <c r="X117" i="6"/>
  <c r="X117" i="8" s="1"/>
  <c r="Y117" i="6"/>
  <c r="Y117" i="8" s="1"/>
  <c r="Z117" i="6"/>
  <c r="Z117" i="8" s="1"/>
  <c r="AA117" i="6"/>
  <c r="AA117" i="8" s="1"/>
  <c r="AB117" i="6"/>
  <c r="AB117" i="8" s="1"/>
  <c r="AC117" i="6"/>
  <c r="AC117" i="8" s="1"/>
  <c r="AD117" i="6"/>
  <c r="AD117" i="8" s="1"/>
  <c r="AE117" i="6"/>
  <c r="AE117" i="8" s="1"/>
  <c r="AF117" i="6"/>
  <c r="AF117" i="8" s="1"/>
  <c r="E118" i="6"/>
  <c r="E118" i="8" s="1"/>
  <c r="F118" i="6"/>
  <c r="F118" i="8" s="1"/>
  <c r="G118" i="6"/>
  <c r="G118" i="8" s="1"/>
  <c r="H118" i="6"/>
  <c r="H118" i="8" s="1"/>
  <c r="I118" i="6"/>
  <c r="I118" i="8" s="1"/>
  <c r="J118" i="6"/>
  <c r="J118" i="8" s="1"/>
  <c r="K118" i="6"/>
  <c r="K118" i="8" s="1"/>
  <c r="L118" i="6"/>
  <c r="L118" i="8" s="1"/>
  <c r="M118" i="6"/>
  <c r="M118" i="8" s="1"/>
  <c r="N118" i="6"/>
  <c r="N118" i="8" s="1"/>
  <c r="O118" i="6"/>
  <c r="O118" i="8" s="1"/>
  <c r="P118" i="6"/>
  <c r="P118" i="8" s="1"/>
  <c r="Q118" i="6"/>
  <c r="Q118" i="8" s="1"/>
  <c r="R118" i="6"/>
  <c r="R118" i="8" s="1"/>
  <c r="S118" i="6"/>
  <c r="S118" i="8" s="1"/>
  <c r="T118" i="6"/>
  <c r="T118" i="8" s="1"/>
  <c r="U118" i="6"/>
  <c r="U118" i="8" s="1"/>
  <c r="V118" i="6"/>
  <c r="V118" i="8" s="1"/>
  <c r="W118" i="6"/>
  <c r="W118" i="8" s="1"/>
  <c r="X118" i="6"/>
  <c r="X118" i="8" s="1"/>
  <c r="Y118" i="6"/>
  <c r="Y118" i="8" s="1"/>
  <c r="Z118" i="6"/>
  <c r="Z118" i="8" s="1"/>
  <c r="AA118" i="6"/>
  <c r="AA118" i="8" s="1"/>
  <c r="AB118" i="6"/>
  <c r="AB118" i="8" s="1"/>
  <c r="AC118" i="6"/>
  <c r="AC118" i="8" s="1"/>
  <c r="AD118" i="6"/>
  <c r="AD118" i="8" s="1"/>
  <c r="AE118" i="6"/>
  <c r="AE118" i="8" s="1"/>
  <c r="AF118" i="6"/>
  <c r="AF118" i="8" s="1"/>
  <c r="E119" i="6"/>
  <c r="E119" i="8" s="1"/>
  <c r="F119" i="6"/>
  <c r="F119" i="8" s="1"/>
  <c r="G119" i="6"/>
  <c r="G119" i="8" s="1"/>
  <c r="H119" i="6"/>
  <c r="H119" i="8" s="1"/>
  <c r="I119" i="6"/>
  <c r="I119" i="8" s="1"/>
  <c r="J119" i="6"/>
  <c r="J119" i="8" s="1"/>
  <c r="K119" i="6"/>
  <c r="K119" i="8" s="1"/>
  <c r="L119" i="6"/>
  <c r="L119" i="8" s="1"/>
  <c r="M119" i="6"/>
  <c r="M119" i="8" s="1"/>
  <c r="N119" i="6"/>
  <c r="N119" i="8" s="1"/>
  <c r="O119" i="6"/>
  <c r="O119" i="8" s="1"/>
  <c r="P119" i="6"/>
  <c r="P119" i="8" s="1"/>
  <c r="Q119" i="6"/>
  <c r="Q119" i="8" s="1"/>
  <c r="R119" i="6"/>
  <c r="R119" i="8" s="1"/>
  <c r="S119" i="6"/>
  <c r="S119" i="8" s="1"/>
  <c r="T119" i="6"/>
  <c r="T119" i="8" s="1"/>
  <c r="U119" i="6"/>
  <c r="U119" i="8" s="1"/>
  <c r="V119" i="6"/>
  <c r="V119" i="8" s="1"/>
  <c r="W119" i="6"/>
  <c r="W119" i="8" s="1"/>
  <c r="X119" i="6"/>
  <c r="X119" i="8" s="1"/>
  <c r="Y119" i="6"/>
  <c r="Y119" i="8" s="1"/>
  <c r="Z119" i="6"/>
  <c r="Z119" i="8" s="1"/>
  <c r="AA119" i="6"/>
  <c r="AA119" i="8" s="1"/>
  <c r="AB119" i="6"/>
  <c r="AB119" i="8" s="1"/>
  <c r="AC119" i="6"/>
  <c r="AC119" i="8" s="1"/>
  <c r="AD119" i="6"/>
  <c r="AD119" i="8" s="1"/>
  <c r="AE119" i="6"/>
  <c r="AE119" i="8" s="1"/>
  <c r="AF119" i="6"/>
  <c r="AF119" i="8" s="1"/>
  <c r="E120" i="6"/>
  <c r="E120" i="8" s="1"/>
  <c r="F120" i="6"/>
  <c r="F120" i="8" s="1"/>
  <c r="G120" i="6"/>
  <c r="G120" i="8" s="1"/>
  <c r="H120" i="6"/>
  <c r="H120" i="8" s="1"/>
  <c r="I120" i="6"/>
  <c r="I120" i="8" s="1"/>
  <c r="J120" i="6"/>
  <c r="J120" i="8" s="1"/>
  <c r="K120" i="6"/>
  <c r="K120" i="8" s="1"/>
  <c r="L120" i="6"/>
  <c r="L120" i="8" s="1"/>
  <c r="M120" i="6"/>
  <c r="M120" i="8" s="1"/>
  <c r="N120" i="6"/>
  <c r="N120" i="8" s="1"/>
  <c r="O120" i="6"/>
  <c r="O120" i="8" s="1"/>
  <c r="P120" i="6"/>
  <c r="P120" i="8" s="1"/>
  <c r="Q120" i="6"/>
  <c r="Q120" i="8" s="1"/>
  <c r="R120" i="6"/>
  <c r="R120" i="8" s="1"/>
  <c r="S120" i="6"/>
  <c r="S120" i="8" s="1"/>
  <c r="T120" i="6"/>
  <c r="T120" i="8" s="1"/>
  <c r="U120" i="6"/>
  <c r="U120" i="8" s="1"/>
  <c r="V120" i="6"/>
  <c r="V120" i="8" s="1"/>
  <c r="W120" i="6"/>
  <c r="W120" i="8" s="1"/>
  <c r="X120" i="6"/>
  <c r="X120" i="8" s="1"/>
  <c r="Y120" i="6"/>
  <c r="Y120" i="8" s="1"/>
  <c r="Z120" i="6"/>
  <c r="Z120" i="8" s="1"/>
  <c r="AA120" i="6"/>
  <c r="AA120" i="8" s="1"/>
  <c r="AB120" i="6"/>
  <c r="AB120" i="8" s="1"/>
  <c r="AC120" i="6"/>
  <c r="AC120" i="8" s="1"/>
  <c r="AD120" i="6"/>
  <c r="AD120" i="8" s="1"/>
  <c r="AE120" i="6"/>
  <c r="AE120" i="8" s="1"/>
  <c r="AF120" i="6"/>
  <c r="AF120" i="8" s="1"/>
  <c r="E121" i="6"/>
  <c r="E121" i="8" s="1"/>
  <c r="F121" i="6"/>
  <c r="F121" i="8" s="1"/>
  <c r="G121" i="6"/>
  <c r="G121" i="8" s="1"/>
  <c r="H121" i="6"/>
  <c r="H121" i="8" s="1"/>
  <c r="I121" i="6"/>
  <c r="I121" i="8" s="1"/>
  <c r="J121" i="6"/>
  <c r="J121" i="8" s="1"/>
  <c r="K121" i="6"/>
  <c r="K121" i="8" s="1"/>
  <c r="L121" i="6"/>
  <c r="L121" i="8" s="1"/>
  <c r="M121" i="6"/>
  <c r="M121" i="8" s="1"/>
  <c r="N121" i="6"/>
  <c r="N121" i="8" s="1"/>
  <c r="O121" i="6"/>
  <c r="O121" i="8" s="1"/>
  <c r="P121" i="6"/>
  <c r="P121" i="8" s="1"/>
  <c r="Q121" i="6"/>
  <c r="Q121" i="8" s="1"/>
  <c r="R121" i="6"/>
  <c r="R121" i="8" s="1"/>
  <c r="S121" i="6"/>
  <c r="S121" i="8" s="1"/>
  <c r="T121" i="6"/>
  <c r="T121" i="8" s="1"/>
  <c r="U121" i="6"/>
  <c r="U121" i="8" s="1"/>
  <c r="V121" i="6"/>
  <c r="V121" i="8" s="1"/>
  <c r="W121" i="6"/>
  <c r="W121" i="8" s="1"/>
  <c r="X121" i="6"/>
  <c r="X121" i="8" s="1"/>
  <c r="Y121" i="6"/>
  <c r="Y121" i="8" s="1"/>
  <c r="Z121" i="6"/>
  <c r="Z121" i="8" s="1"/>
  <c r="AA121" i="6"/>
  <c r="AA121" i="8" s="1"/>
  <c r="AB121" i="6"/>
  <c r="AB121" i="8" s="1"/>
  <c r="AC121" i="6"/>
  <c r="AC121" i="8" s="1"/>
  <c r="AD121" i="6"/>
  <c r="AD121" i="8" s="1"/>
  <c r="AE121" i="6"/>
  <c r="AE121" i="8" s="1"/>
  <c r="AF121" i="6"/>
  <c r="AF121" i="8" s="1"/>
  <c r="E122" i="6"/>
  <c r="E122" i="8" s="1"/>
  <c r="F122" i="6"/>
  <c r="F122" i="8" s="1"/>
  <c r="G122" i="6"/>
  <c r="G122" i="8" s="1"/>
  <c r="H122" i="6"/>
  <c r="H122" i="8" s="1"/>
  <c r="I122" i="6"/>
  <c r="I122" i="8" s="1"/>
  <c r="J122" i="6"/>
  <c r="J122" i="8" s="1"/>
  <c r="K122" i="6"/>
  <c r="K122" i="8" s="1"/>
  <c r="L122" i="6"/>
  <c r="L122" i="8" s="1"/>
  <c r="M122" i="6"/>
  <c r="M122" i="8" s="1"/>
  <c r="N122" i="6"/>
  <c r="N122" i="8" s="1"/>
  <c r="O122" i="6"/>
  <c r="O122" i="8" s="1"/>
  <c r="P122" i="6"/>
  <c r="P122" i="8" s="1"/>
  <c r="Q122" i="6"/>
  <c r="Q122" i="8" s="1"/>
  <c r="R122" i="6"/>
  <c r="R122" i="8" s="1"/>
  <c r="S122" i="6"/>
  <c r="S122" i="8" s="1"/>
  <c r="T122" i="6"/>
  <c r="T122" i="8" s="1"/>
  <c r="U122" i="6"/>
  <c r="U122" i="8" s="1"/>
  <c r="V122" i="6"/>
  <c r="V122" i="8" s="1"/>
  <c r="W122" i="6"/>
  <c r="W122" i="8" s="1"/>
  <c r="X122" i="6"/>
  <c r="X122" i="8" s="1"/>
  <c r="Y122" i="6"/>
  <c r="Y122" i="8" s="1"/>
  <c r="Z122" i="6"/>
  <c r="Z122" i="8" s="1"/>
  <c r="AA122" i="6"/>
  <c r="AA122" i="8" s="1"/>
  <c r="AB122" i="6"/>
  <c r="AB122" i="8" s="1"/>
  <c r="AC122" i="6"/>
  <c r="AC122" i="8" s="1"/>
  <c r="AD122" i="6"/>
  <c r="AD122" i="8" s="1"/>
  <c r="AE122" i="6"/>
  <c r="AE122" i="8" s="1"/>
  <c r="AF122" i="6"/>
  <c r="AF122" i="8" s="1"/>
  <c r="E123" i="6"/>
  <c r="E123" i="8" s="1"/>
  <c r="F123" i="6"/>
  <c r="F123" i="8" s="1"/>
  <c r="G123" i="6"/>
  <c r="G123" i="8" s="1"/>
  <c r="H123" i="6"/>
  <c r="H123" i="8" s="1"/>
  <c r="I123" i="6"/>
  <c r="I123" i="8" s="1"/>
  <c r="J123" i="6"/>
  <c r="J123" i="8" s="1"/>
  <c r="K123" i="6"/>
  <c r="K123" i="8" s="1"/>
  <c r="L123" i="6"/>
  <c r="L123" i="8" s="1"/>
  <c r="M123" i="6"/>
  <c r="M123" i="8" s="1"/>
  <c r="N123" i="6"/>
  <c r="N123" i="8" s="1"/>
  <c r="O123" i="6"/>
  <c r="O123" i="8" s="1"/>
  <c r="P123" i="6"/>
  <c r="P123" i="8" s="1"/>
  <c r="Q123" i="6"/>
  <c r="Q123" i="8" s="1"/>
  <c r="R123" i="6"/>
  <c r="R123" i="8" s="1"/>
  <c r="S123" i="6"/>
  <c r="S123" i="8" s="1"/>
  <c r="T123" i="6"/>
  <c r="T123" i="8" s="1"/>
  <c r="U123" i="6"/>
  <c r="U123" i="8" s="1"/>
  <c r="V123" i="6"/>
  <c r="V123" i="8" s="1"/>
  <c r="W123" i="6"/>
  <c r="W123" i="8" s="1"/>
  <c r="X123" i="6"/>
  <c r="X123" i="8" s="1"/>
  <c r="Y123" i="6"/>
  <c r="Y123" i="8" s="1"/>
  <c r="Z123" i="6"/>
  <c r="Z123" i="8" s="1"/>
  <c r="AA123" i="6"/>
  <c r="AA123" i="8" s="1"/>
  <c r="AB123" i="6"/>
  <c r="AB123" i="8" s="1"/>
  <c r="AC123" i="6"/>
  <c r="AC123" i="8" s="1"/>
  <c r="AD123" i="6"/>
  <c r="AD123" i="8" s="1"/>
  <c r="AE123" i="6"/>
  <c r="AE123" i="8" s="1"/>
  <c r="AF123" i="6"/>
  <c r="AF123" i="8" s="1"/>
  <c r="E124" i="6"/>
  <c r="E124" i="8" s="1"/>
  <c r="F124" i="6"/>
  <c r="F124" i="8" s="1"/>
  <c r="G124" i="6"/>
  <c r="G124" i="8" s="1"/>
  <c r="H124" i="6"/>
  <c r="H124" i="8" s="1"/>
  <c r="I124" i="6"/>
  <c r="I124" i="8" s="1"/>
  <c r="J124" i="6"/>
  <c r="J124" i="8" s="1"/>
  <c r="K124" i="6"/>
  <c r="K124" i="8" s="1"/>
  <c r="L124" i="6"/>
  <c r="L124" i="8" s="1"/>
  <c r="M124" i="6"/>
  <c r="M124" i="8" s="1"/>
  <c r="N124" i="6"/>
  <c r="N124" i="8" s="1"/>
  <c r="O124" i="6"/>
  <c r="O124" i="8" s="1"/>
  <c r="P124" i="6"/>
  <c r="P124" i="8" s="1"/>
  <c r="Q124" i="6"/>
  <c r="Q124" i="8" s="1"/>
  <c r="R124" i="6"/>
  <c r="R124" i="8" s="1"/>
  <c r="S124" i="6"/>
  <c r="S124" i="8" s="1"/>
  <c r="T124" i="6"/>
  <c r="T124" i="8" s="1"/>
  <c r="U124" i="6"/>
  <c r="U124" i="8" s="1"/>
  <c r="V124" i="6"/>
  <c r="V124" i="8" s="1"/>
  <c r="W124" i="6"/>
  <c r="W124" i="8" s="1"/>
  <c r="X124" i="6"/>
  <c r="X124" i="8" s="1"/>
  <c r="Y124" i="6"/>
  <c r="Y124" i="8" s="1"/>
  <c r="Z124" i="6"/>
  <c r="Z124" i="8" s="1"/>
  <c r="AA124" i="6"/>
  <c r="AA124" i="8" s="1"/>
  <c r="AB124" i="6"/>
  <c r="AB124" i="8" s="1"/>
  <c r="AC124" i="6"/>
  <c r="AC124" i="8" s="1"/>
  <c r="AD124" i="6"/>
  <c r="AD124" i="8" s="1"/>
  <c r="AE124" i="6"/>
  <c r="AE124" i="8" s="1"/>
  <c r="AF124" i="6"/>
  <c r="AF124" i="8" s="1"/>
  <c r="E125" i="6"/>
  <c r="E125" i="8" s="1"/>
  <c r="F125" i="6"/>
  <c r="F125" i="8" s="1"/>
  <c r="G125" i="6"/>
  <c r="G125" i="8" s="1"/>
  <c r="H125" i="6"/>
  <c r="H125" i="8" s="1"/>
  <c r="I125" i="6"/>
  <c r="I125" i="8" s="1"/>
  <c r="J125" i="6"/>
  <c r="J125" i="8" s="1"/>
  <c r="K125" i="6"/>
  <c r="K125" i="8" s="1"/>
  <c r="L125" i="6"/>
  <c r="L125" i="8" s="1"/>
  <c r="M125" i="6"/>
  <c r="M125" i="8" s="1"/>
  <c r="N125" i="6"/>
  <c r="N125" i="8" s="1"/>
  <c r="O125" i="6"/>
  <c r="O125" i="8" s="1"/>
  <c r="P125" i="6"/>
  <c r="P125" i="8" s="1"/>
  <c r="Q125" i="6"/>
  <c r="Q125" i="8" s="1"/>
  <c r="R125" i="6"/>
  <c r="R125" i="8" s="1"/>
  <c r="S125" i="6"/>
  <c r="S125" i="8" s="1"/>
  <c r="T125" i="6"/>
  <c r="T125" i="8" s="1"/>
  <c r="U125" i="6"/>
  <c r="U125" i="8" s="1"/>
  <c r="V125" i="6"/>
  <c r="V125" i="8" s="1"/>
  <c r="W125" i="6"/>
  <c r="W125" i="8" s="1"/>
  <c r="X125" i="6"/>
  <c r="X125" i="8" s="1"/>
  <c r="Y125" i="6"/>
  <c r="Y125" i="8" s="1"/>
  <c r="Z125" i="6"/>
  <c r="Z125" i="8" s="1"/>
  <c r="AA125" i="6"/>
  <c r="AA125" i="8" s="1"/>
  <c r="AB125" i="6"/>
  <c r="AB125" i="8" s="1"/>
  <c r="AC125" i="6"/>
  <c r="AC125" i="8" s="1"/>
  <c r="AD125" i="6"/>
  <c r="AD125" i="8" s="1"/>
  <c r="AE125" i="6"/>
  <c r="AE125" i="8" s="1"/>
  <c r="AF125" i="6"/>
  <c r="AF125" i="8" s="1"/>
  <c r="E126" i="6"/>
  <c r="E126" i="8" s="1"/>
  <c r="F126" i="6"/>
  <c r="F126" i="8" s="1"/>
  <c r="G126" i="6"/>
  <c r="G126" i="8" s="1"/>
  <c r="H126" i="6"/>
  <c r="H126" i="8" s="1"/>
  <c r="I126" i="6"/>
  <c r="I126" i="8" s="1"/>
  <c r="J126" i="6"/>
  <c r="J126" i="8" s="1"/>
  <c r="K126" i="6"/>
  <c r="K126" i="8" s="1"/>
  <c r="L126" i="6"/>
  <c r="L126" i="8" s="1"/>
  <c r="M126" i="6"/>
  <c r="M126" i="8" s="1"/>
  <c r="N126" i="6"/>
  <c r="N126" i="8" s="1"/>
  <c r="O126" i="6"/>
  <c r="O126" i="8" s="1"/>
  <c r="P126" i="6"/>
  <c r="P126" i="8" s="1"/>
  <c r="Q126" i="6"/>
  <c r="Q126" i="8" s="1"/>
  <c r="R126" i="6"/>
  <c r="R126" i="8" s="1"/>
  <c r="S126" i="6"/>
  <c r="S126" i="8" s="1"/>
  <c r="T126" i="6"/>
  <c r="T126" i="8" s="1"/>
  <c r="U126" i="6"/>
  <c r="U126" i="8" s="1"/>
  <c r="V126" i="6"/>
  <c r="V126" i="8" s="1"/>
  <c r="W126" i="6"/>
  <c r="W126" i="8" s="1"/>
  <c r="X126" i="6"/>
  <c r="X126" i="8" s="1"/>
  <c r="Y126" i="6"/>
  <c r="Y126" i="8" s="1"/>
  <c r="Z126" i="6"/>
  <c r="Z126" i="8" s="1"/>
  <c r="AA126" i="6"/>
  <c r="AA126" i="8" s="1"/>
  <c r="AB126" i="6"/>
  <c r="AB126" i="8" s="1"/>
  <c r="AC126" i="6"/>
  <c r="AC126" i="8" s="1"/>
  <c r="AD126" i="6"/>
  <c r="AD126" i="8" s="1"/>
  <c r="AE126" i="6"/>
  <c r="AE126" i="8" s="1"/>
  <c r="AF126" i="6"/>
  <c r="AF126" i="8" s="1"/>
  <c r="E127" i="6"/>
  <c r="E127" i="8" s="1"/>
  <c r="F127" i="6"/>
  <c r="F127" i="8" s="1"/>
  <c r="G127" i="6"/>
  <c r="G127" i="8" s="1"/>
  <c r="H127" i="6"/>
  <c r="H127" i="8" s="1"/>
  <c r="I127" i="6"/>
  <c r="I127" i="8" s="1"/>
  <c r="J127" i="6"/>
  <c r="J127" i="8" s="1"/>
  <c r="K127" i="6"/>
  <c r="K127" i="8" s="1"/>
  <c r="L127" i="6"/>
  <c r="L127" i="8" s="1"/>
  <c r="M127" i="6"/>
  <c r="M127" i="8" s="1"/>
  <c r="N127" i="6"/>
  <c r="N127" i="8" s="1"/>
  <c r="O127" i="6"/>
  <c r="O127" i="8" s="1"/>
  <c r="P127" i="6"/>
  <c r="P127" i="8" s="1"/>
  <c r="Q127" i="6"/>
  <c r="Q127" i="8" s="1"/>
  <c r="R127" i="6"/>
  <c r="R127" i="8" s="1"/>
  <c r="S127" i="6"/>
  <c r="S127" i="8" s="1"/>
  <c r="T127" i="6"/>
  <c r="T127" i="8" s="1"/>
  <c r="U127" i="6"/>
  <c r="U127" i="8" s="1"/>
  <c r="V127" i="6"/>
  <c r="V127" i="8" s="1"/>
  <c r="W127" i="6"/>
  <c r="W127" i="8" s="1"/>
  <c r="X127" i="6"/>
  <c r="X127" i="8" s="1"/>
  <c r="Y127" i="6"/>
  <c r="Y127" i="8" s="1"/>
  <c r="Z127" i="6"/>
  <c r="Z127" i="8" s="1"/>
  <c r="AA127" i="6"/>
  <c r="AA127" i="8" s="1"/>
  <c r="AB127" i="6"/>
  <c r="AB127" i="8" s="1"/>
  <c r="AC127" i="6"/>
  <c r="AC127" i="8" s="1"/>
  <c r="AD127" i="6"/>
  <c r="AD127" i="8" s="1"/>
  <c r="AE127" i="6"/>
  <c r="AE127" i="8" s="1"/>
  <c r="AF127" i="6"/>
  <c r="AF127" i="8" s="1"/>
  <c r="E128" i="6"/>
  <c r="E128" i="8" s="1"/>
  <c r="F128" i="6"/>
  <c r="F128" i="8" s="1"/>
  <c r="G128" i="6"/>
  <c r="G128" i="8" s="1"/>
  <c r="H128" i="6"/>
  <c r="H128" i="8" s="1"/>
  <c r="I128" i="6"/>
  <c r="I128" i="8" s="1"/>
  <c r="J128" i="6"/>
  <c r="J128" i="8" s="1"/>
  <c r="K128" i="6"/>
  <c r="K128" i="8" s="1"/>
  <c r="L128" i="6"/>
  <c r="L128" i="8" s="1"/>
  <c r="M128" i="6"/>
  <c r="M128" i="8" s="1"/>
  <c r="N128" i="6"/>
  <c r="N128" i="8" s="1"/>
  <c r="O128" i="6"/>
  <c r="O128" i="8" s="1"/>
  <c r="P128" i="6"/>
  <c r="P128" i="8" s="1"/>
  <c r="Q128" i="6"/>
  <c r="Q128" i="8" s="1"/>
  <c r="R128" i="6"/>
  <c r="R128" i="8" s="1"/>
  <c r="S128" i="6"/>
  <c r="S128" i="8" s="1"/>
  <c r="T128" i="6"/>
  <c r="T128" i="8" s="1"/>
  <c r="U128" i="6"/>
  <c r="U128" i="8" s="1"/>
  <c r="V128" i="6"/>
  <c r="V128" i="8" s="1"/>
  <c r="W128" i="6"/>
  <c r="W128" i="8" s="1"/>
  <c r="X128" i="6"/>
  <c r="X128" i="8" s="1"/>
  <c r="Y128" i="6"/>
  <c r="Y128" i="8" s="1"/>
  <c r="Z128" i="6"/>
  <c r="Z128" i="8" s="1"/>
  <c r="AA128" i="6"/>
  <c r="AA128" i="8" s="1"/>
  <c r="AB128" i="6"/>
  <c r="AB128" i="8" s="1"/>
  <c r="AC128" i="6"/>
  <c r="AC128" i="8" s="1"/>
  <c r="AD128" i="6"/>
  <c r="AD128" i="8" s="1"/>
  <c r="AE128" i="6"/>
  <c r="AE128" i="8" s="1"/>
  <c r="AF128" i="6"/>
  <c r="AF128" i="8" s="1"/>
  <c r="E129" i="6"/>
  <c r="E129" i="8" s="1"/>
  <c r="F129" i="6"/>
  <c r="F129" i="8" s="1"/>
  <c r="G129" i="6"/>
  <c r="G129" i="8" s="1"/>
  <c r="H129" i="6"/>
  <c r="H129" i="8" s="1"/>
  <c r="I129" i="6"/>
  <c r="I129" i="8" s="1"/>
  <c r="J129" i="6"/>
  <c r="J129" i="8" s="1"/>
  <c r="K129" i="6"/>
  <c r="K129" i="8" s="1"/>
  <c r="L129" i="6"/>
  <c r="L129" i="8" s="1"/>
  <c r="M129" i="6"/>
  <c r="M129" i="8" s="1"/>
  <c r="N129" i="6"/>
  <c r="N129" i="8" s="1"/>
  <c r="O129" i="6"/>
  <c r="O129" i="8" s="1"/>
  <c r="P129" i="6"/>
  <c r="P129" i="8" s="1"/>
  <c r="Q129" i="6"/>
  <c r="Q129" i="8" s="1"/>
  <c r="R129" i="6"/>
  <c r="R129" i="8" s="1"/>
  <c r="S129" i="6"/>
  <c r="S129" i="8" s="1"/>
  <c r="T129" i="6"/>
  <c r="T129" i="8" s="1"/>
  <c r="U129" i="6"/>
  <c r="U129" i="8" s="1"/>
  <c r="V129" i="6"/>
  <c r="V129" i="8" s="1"/>
  <c r="W129" i="6"/>
  <c r="W129" i="8" s="1"/>
  <c r="X129" i="6"/>
  <c r="X129" i="8" s="1"/>
  <c r="Y129" i="6"/>
  <c r="Y129" i="8" s="1"/>
  <c r="Z129" i="6"/>
  <c r="Z129" i="8" s="1"/>
  <c r="AA129" i="6"/>
  <c r="AA129" i="8" s="1"/>
  <c r="AB129" i="6"/>
  <c r="AB129" i="8" s="1"/>
  <c r="AC129" i="6"/>
  <c r="AC129" i="8" s="1"/>
  <c r="AD129" i="6"/>
  <c r="AD129" i="8" s="1"/>
  <c r="AE129" i="6"/>
  <c r="AE129" i="8" s="1"/>
  <c r="AF129" i="6"/>
  <c r="AF129" i="8" s="1"/>
  <c r="E130" i="6"/>
  <c r="E130" i="8" s="1"/>
  <c r="F130" i="6"/>
  <c r="F130" i="8" s="1"/>
  <c r="G130" i="6"/>
  <c r="G130" i="8" s="1"/>
  <c r="H130" i="6"/>
  <c r="H130" i="8" s="1"/>
  <c r="I130" i="6"/>
  <c r="I130" i="8" s="1"/>
  <c r="J130" i="6"/>
  <c r="J130" i="8" s="1"/>
  <c r="K130" i="6"/>
  <c r="K130" i="8" s="1"/>
  <c r="L130" i="6"/>
  <c r="L130" i="8" s="1"/>
  <c r="M130" i="6"/>
  <c r="M130" i="8" s="1"/>
  <c r="N130" i="6"/>
  <c r="N130" i="8" s="1"/>
  <c r="O130" i="6"/>
  <c r="O130" i="8" s="1"/>
  <c r="P130" i="6"/>
  <c r="P130" i="8" s="1"/>
  <c r="Q130" i="6"/>
  <c r="Q130" i="8" s="1"/>
  <c r="R130" i="6"/>
  <c r="R130" i="8" s="1"/>
  <c r="S130" i="6"/>
  <c r="S130" i="8" s="1"/>
  <c r="T130" i="6"/>
  <c r="T130" i="8" s="1"/>
  <c r="U130" i="6"/>
  <c r="U130" i="8" s="1"/>
  <c r="V130" i="6"/>
  <c r="V130" i="8" s="1"/>
  <c r="W130" i="6"/>
  <c r="W130" i="8" s="1"/>
  <c r="X130" i="6"/>
  <c r="X130" i="8" s="1"/>
  <c r="Y130" i="6"/>
  <c r="Y130" i="8" s="1"/>
  <c r="Z130" i="6"/>
  <c r="Z130" i="8" s="1"/>
  <c r="AA130" i="6"/>
  <c r="AA130" i="8" s="1"/>
  <c r="AB130" i="6"/>
  <c r="AB130" i="8" s="1"/>
  <c r="AC130" i="6"/>
  <c r="AC130" i="8" s="1"/>
  <c r="AD130" i="6"/>
  <c r="AD130" i="8" s="1"/>
  <c r="AE130" i="6"/>
  <c r="AE130" i="8" s="1"/>
  <c r="AF130" i="6"/>
  <c r="AF130" i="8" s="1"/>
  <c r="E131" i="6"/>
  <c r="E131" i="8" s="1"/>
  <c r="F131" i="6"/>
  <c r="F131" i="8" s="1"/>
  <c r="G131" i="6"/>
  <c r="G131" i="8" s="1"/>
  <c r="H131" i="6"/>
  <c r="H131" i="8" s="1"/>
  <c r="I131" i="6"/>
  <c r="I131" i="8" s="1"/>
  <c r="J131" i="6"/>
  <c r="J131" i="8" s="1"/>
  <c r="K131" i="6"/>
  <c r="K131" i="8" s="1"/>
  <c r="L131" i="6"/>
  <c r="L131" i="8" s="1"/>
  <c r="M131" i="6"/>
  <c r="M131" i="8" s="1"/>
  <c r="N131" i="6"/>
  <c r="N131" i="8" s="1"/>
  <c r="O131" i="6"/>
  <c r="O131" i="8" s="1"/>
  <c r="P131" i="6"/>
  <c r="P131" i="8" s="1"/>
  <c r="Q131" i="6"/>
  <c r="Q131" i="8" s="1"/>
  <c r="R131" i="6"/>
  <c r="R131" i="8" s="1"/>
  <c r="S131" i="6"/>
  <c r="S131" i="8" s="1"/>
  <c r="T131" i="6"/>
  <c r="T131" i="8" s="1"/>
  <c r="U131" i="6"/>
  <c r="U131" i="8" s="1"/>
  <c r="V131" i="6"/>
  <c r="V131" i="8" s="1"/>
  <c r="W131" i="6"/>
  <c r="W131" i="8" s="1"/>
  <c r="X131" i="6"/>
  <c r="X131" i="8" s="1"/>
  <c r="Y131" i="6"/>
  <c r="Y131" i="8" s="1"/>
  <c r="Z131" i="6"/>
  <c r="Z131" i="8" s="1"/>
  <c r="AA131" i="6"/>
  <c r="AA131" i="8" s="1"/>
  <c r="AB131" i="6"/>
  <c r="AB131" i="8" s="1"/>
  <c r="AC131" i="6"/>
  <c r="AC131" i="8" s="1"/>
  <c r="AD131" i="6"/>
  <c r="AD131" i="8" s="1"/>
  <c r="AE131" i="6"/>
  <c r="AE131" i="8" s="1"/>
  <c r="AF131" i="6"/>
  <c r="AF131" i="8" s="1"/>
  <c r="E132" i="6"/>
  <c r="E132" i="8" s="1"/>
  <c r="F132" i="6"/>
  <c r="F132" i="8" s="1"/>
  <c r="G132" i="6"/>
  <c r="G132" i="8" s="1"/>
  <c r="H132" i="6"/>
  <c r="H132" i="8" s="1"/>
  <c r="I132" i="6"/>
  <c r="I132" i="8" s="1"/>
  <c r="J132" i="6"/>
  <c r="J132" i="8" s="1"/>
  <c r="K132" i="6"/>
  <c r="K132" i="8" s="1"/>
  <c r="L132" i="6"/>
  <c r="L132" i="8" s="1"/>
  <c r="M132" i="6"/>
  <c r="M132" i="8" s="1"/>
  <c r="N132" i="6"/>
  <c r="N132" i="8" s="1"/>
  <c r="O132" i="6"/>
  <c r="O132" i="8" s="1"/>
  <c r="P132" i="6"/>
  <c r="P132" i="8" s="1"/>
  <c r="Q132" i="6"/>
  <c r="Q132" i="8" s="1"/>
  <c r="R132" i="6"/>
  <c r="R132" i="8" s="1"/>
  <c r="S132" i="6"/>
  <c r="S132" i="8" s="1"/>
  <c r="T132" i="6"/>
  <c r="T132" i="8" s="1"/>
  <c r="U132" i="6"/>
  <c r="U132" i="8" s="1"/>
  <c r="V132" i="6"/>
  <c r="V132" i="8" s="1"/>
  <c r="W132" i="6"/>
  <c r="W132" i="8" s="1"/>
  <c r="X132" i="6"/>
  <c r="X132" i="8" s="1"/>
  <c r="Y132" i="6"/>
  <c r="Y132" i="8" s="1"/>
  <c r="Z132" i="6"/>
  <c r="Z132" i="8" s="1"/>
  <c r="AA132" i="6"/>
  <c r="AA132" i="8" s="1"/>
  <c r="AB132" i="6"/>
  <c r="AB132" i="8" s="1"/>
  <c r="AC132" i="6"/>
  <c r="AC132" i="8" s="1"/>
  <c r="AD132" i="6"/>
  <c r="AD132" i="8" s="1"/>
  <c r="AE132" i="6"/>
  <c r="AE132" i="8" s="1"/>
  <c r="AF132" i="6"/>
  <c r="AF132" i="8" s="1"/>
  <c r="E133" i="6"/>
  <c r="E133" i="8" s="1"/>
  <c r="F133" i="6"/>
  <c r="F133" i="8" s="1"/>
  <c r="G133" i="6"/>
  <c r="G133" i="8" s="1"/>
  <c r="H133" i="6"/>
  <c r="H133" i="8" s="1"/>
  <c r="I133" i="6"/>
  <c r="I133" i="8" s="1"/>
  <c r="J133" i="6"/>
  <c r="J133" i="8" s="1"/>
  <c r="K133" i="6"/>
  <c r="K133" i="8" s="1"/>
  <c r="L133" i="6"/>
  <c r="L133" i="8" s="1"/>
  <c r="M133" i="6"/>
  <c r="M133" i="8" s="1"/>
  <c r="N133" i="6"/>
  <c r="N133" i="8" s="1"/>
  <c r="O133" i="6"/>
  <c r="O133" i="8" s="1"/>
  <c r="P133" i="6"/>
  <c r="P133" i="8" s="1"/>
  <c r="Q133" i="6"/>
  <c r="Q133" i="8" s="1"/>
  <c r="R133" i="6"/>
  <c r="R133" i="8" s="1"/>
  <c r="S133" i="6"/>
  <c r="S133" i="8" s="1"/>
  <c r="T133" i="6"/>
  <c r="T133" i="8" s="1"/>
  <c r="U133" i="6"/>
  <c r="U133" i="8" s="1"/>
  <c r="V133" i="6"/>
  <c r="V133" i="8" s="1"/>
  <c r="W133" i="6"/>
  <c r="W133" i="8" s="1"/>
  <c r="X133" i="6"/>
  <c r="X133" i="8" s="1"/>
  <c r="Y133" i="6"/>
  <c r="Y133" i="8" s="1"/>
  <c r="Z133" i="6"/>
  <c r="Z133" i="8" s="1"/>
  <c r="AA133" i="6"/>
  <c r="AA133" i="8" s="1"/>
  <c r="AB133" i="6"/>
  <c r="AB133" i="8" s="1"/>
  <c r="AC133" i="6"/>
  <c r="AC133" i="8" s="1"/>
  <c r="AD133" i="6"/>
  <c r="AD133" i="8" s="1"/>
  <c r="AE133" i="6"/>
  <c r="AE133" i="8" s="1"/>
  <c r="AF133" i="6"/>
  <c r="AF133" i="8" s="1"/>
  <c r="E134" i="6"/>
  <c r="E134" i="8" s="1"/>
  <c r="F134" i="6"/>
  <c r="F134" i="8" s="1"/>
  <c r="G134" i="6"/>
  <c r="G134" i="8" s="1"/>
  <c r="H134" i="6"/>
  <c r="H134" i="8" s="1"/>
  <c r="I134" i="6"/>
  <c r="I134" i="8" s="1"/>
  <c r="J134" i="6"/>
  <c r="J134" i="8" s="1"/>
  <c r="K134" i="6"/>
  <c r="K134" i="8" s="1"/>
  <c r="L134" i="6"/>
  <c r="L134" i="8" s="1"/>
  <c r="M134" i="6"/>
  <c r="M134" i="8" s="1"/>
  <c r="N134" i="6"/>
  <c r="N134" i="8" s="1"/>
  <c r="O134" i="6"/>
  <c r="O134" i="8" s="1"/>
  <c r="P134" i="6"/>
  <c r="P134" i="8" s="1"/>
  <c r="Q134" i="6"/>
  <c r="Q134" i="8" s="1"/>
  <c r="R134" i="6"/>
  <c r="R134" i="8" s="1"/>
  <c r="S134" i="6"/>
  <c r="S134" i="8" s="1"/>
  <c r="T134" i="6"/>
  <c r="T134" i="8" s="1"/>
  <c r="U134" i="6"/>
  <c r="U134" i="8" s="1"/>
  <c r="V134" i="6"/>
  <c r="V134" i="8" s="1"/>
  <c r="W134" i="6"/>
  <c r="W134" i="8" s="1"/>
  <c r="X134" i="6"/>
  <c r="X134" i="8" s="1"/>
  <c r="Y134" i="6"/>
  <c r="Y134" i="8" s="1"/>
  <c r="Z134" i="6"/>
  <c r="Z134" i="8" s="1"/>
  <c r="AA134" i="6"/>
  <c r="AA134" i="8" s="1"/>
  <c r="AB134" i="6"/>
  <c r="AB134" i="8" s="1"/>
  <c r="AC134" i="6"/>
  <c r="AC134" i="8" s="1"/>
  <c r="AD134" i="6"/>
  <c r="AD134" i="8" s="1"/>
  <c r="AE134" i="6"/>
  <c r="AE134" i="8" s="1"/>
  <c r="AF134" i="6"/>
  <c r="AF134" i="8" s="1"/>
  <c r="E135" i="6"/>
  <c r="E135" i="8" s="1"/>
  <c r="F135" i="6"/>
  <c r="F135" i="8" s="1"/>
  <c r="G135" i="6"/>
  <c r="G135" i="8" s="1"/>
  <c r="H135" i="6"/>
  <c r="H135" i="8" s="1"/>
  <c r="I135" i="6"/>
  <c r="I135" i="8" s="1"/>
  <c r="J135" i="6"/>
  <c r="J135" i="8" s="1"/>
  <c r="K135" i="6"/>
  <c r="K135" i="8" s="1"/>
  <c r="L135" i="6"/>
  <c r="L135" i="8" s="1"/>
  <c r="M135" i="6"/>
  <c r="M135" i="8" s="1"/>
  <c r="N135" i="6"/>
  <c r="N135" i="8" s="1"/>
  <c r="O135" i="6"/>
  <c r="O135" i="8" s="1"/>
  <c r="P135" i="6"/>
  <c r="P135" i="8" s="1"/>
  <c r="Q135" i="6"/>
  <c r="Q135" i="8" s="1"/>
  <c r="R135" i="6"/>
  <c r="R135" i="8" s="1"/>
  <c r="S135" i="6"/>
  <c r="S135" i="8" s="1"/>
  <c r="T135" i="6"/>
  <c r="T135" i="8" s="1"/>
  <c r="U135" i="6"/>
  <c r="U135" i="8" s="1"/>
  <c r="V135" i="6"/>
  <c r="V135" i="8" s="1"/>
  <c r="W135" i="6"/>
  <c r="W135" i="8" s="1"/>
  <c r="X135" i="6"/>
  <c r="X135" i="8" s="1"/>
  <c r="Y135" i="6"/>
  <c r="Y135" i="8" s="1"/>
  <c r="Z135" i="6"/>
  <c r="Z135" i="8" s="1"/>
  <c r="AA135" i="6"/>
  <c r="AA135" i="8" s="1"/>
  <c r="AB135" i="6"/>
  <c r="AB135" i="8" s="1"/>
  <c r="AC135" i="6"/>
  <c r="AC135" i="8" s="1"/>
  <c r="AD135" i="6"/>
  <c r="AD135" i="8" s="1"/>
  <c r="AE135" i="6"/>
  <c r="AE135" i="8" s="1"/>
  <c r="AF135" i="6"/>
  <c r="AF135" i="8" s="1"/>
  <c r="E136" i="6"/>
  <c r="E136" i="8" s="1"/>
  <c r="F136" i="6"/>
  <c r="F136" i="8" s="1"/>
  <c r="G136" i="6"/>
  <c r="G136" i="8" s="1"/>
  <c r="H136" i="6"/>
  <c r="H136" i="8" s="1"/>
  <c r="I136" i="6"/>
  <c r="I136" i="8" s="1"/>
  <c r="J136" i="6"/>
  <c r="J136" i="8" s="1"/>
  <c r="K136" i="6"/>
  <c r="K136" i="8" s="1"/>
  <c r="L136" i="6"/>
  <c r="L136" i="8" s="1"/>
  <c r="M136" i="6"/>
  <c r="M136" i="8" s="1"/>
  <c r="N136" i="6"/>
  <c r="N136" i="8" s="1"/>
  <c r="O136" i="6"/>
  <c r="O136" i="8" s="1"/>
  <c r="P136" i="6"/>
  <c r="P136" i="8" s="1"/>
  <c r="Q136" i="6"/>
  <c r="Q136" i="8" s="1"/>
  <c r="R136" i="6"/>
  <c r="R136" i="8" s="1"/>
  <c r="S136" i="6"/>
  <c r="S136" i="8" s="1"/>
  <c r="T136" i="6"/>
  <c r="T136" i="8" s="1"/>
  <c r="U136" i="6"/>
  <c r="U136" i="8" s="1"/>
  <c r="V136" i="6"/>
  <c r="V136" i="8" s="1"/>
  <c r="W136" i="6"/>
  <c r="W136" i="8" s="1"/>
  <c r="X136" i="6"/>
  <c r="X136" i="8" s="1"/>
  <c r="Y136" i="6"/>
  <c r="Y136" i="8" s="1"/>
  <c r="Z136" i="6"/>
  <c r="Z136" i="8" s="1"/>
  <c r="AA136" i="6"/>
  <c r="AA136" i="8" s="1"/>
  <c r="AB136" i="6"/>
  <c r="AB136" i="8" s="1"/>
  <c r="AC136" i="6"/>
  <c r="AC136" i="8" s="1"/>
  <c r="AD136" i="6"/>
  <c r="AD136" i="8" s="1"/>
  <c r="AE136" i="6"/>
  <c r="AE136" i="8" s="1"/>
  <c r="AF136" i="6"/>
  <c r="AF136" i="8" s="1"/>
  <c r="E137" i="6"/>
  <c r="E137" i="8" s="1"/>
  <c r="F137" i="6"/>
  <c r="F137" i="8" s="1"/>
  <c r="G137" i="6"/>
  <c r="G137" i="8" s="1"/>
  <c r="H137" i="6"/>
  <c r="H137" i="8" s="1"/>
  <c r="I137" i="6"/>
  <c r="I137" i="8" s="1"/>
  <c r="J137" i="6"/>
  <c r="J137" i="8" s="1"/>
  <c r="K137" i="6"/>
  <c r="K137" i="8" s="1"/>
  <c r="L137" i="6"/>
  <c r="L137" i="8" s="1"/>
  <c r="M137" i="6"/>
  <c r="M137" i="8" s="1"/>
  <c r="N137" i="6"/>
  <c r="N137" i="8" s="1"/>
  <c r="O137" i="6"/>
  <c r="O137" i="8" s="1"/>
  <c r="P137" i="6"/>
  <c r="P137" i="8" s="1"/>
  <c r="Q137" i="6"/>
  <c r="Q137" i="8" s="1"/>
  <c r="R137" i="6"/>
  <c r="R137" i="8" s="1"/>
  <c r="S137" i="6"/>
  <c r="S137" i="8" s="1"/>
  <c r="T137" i="6"/>
  <c r="T137" i="8" s="1"/>
  <c r="U137" i="6"/>
  <c r="U137" i="8" s="1"/>
  <c r="V137" i="6"/>
  <c r="V137" i="8" s="1"/>
  <c r="W137" i="6"/>
  <c r="W137" i="8" s="1"/>
  <c r="X137" i="6"/>
  <c r="X137" i="8" s="1"/>
  <c r="Y137" i="6"/>
  <c r="Y137" i="8" s="1"/>
  <c r="Z137" i="6"/>
  <c r="Z137" i="8" s="1"/>
  <c r="AA137" i="6"/>
  <c r="AA137" i="8" s="1"/>
  <c r="AB137" i="6"/>
  <c r="AB137" i="8" s="1"/>
  <c r="AC137" i="6"/>
  <c r="AC137" i="8" s="1"/>
  <c r="AD137" i="6"/>
  <c r="AD137" i="8" s="1"/>
  <c r="AE137" i="6"/>
  <c r="AE137" i="8" s="1"/>
  <c r="AF137" i="6"/>
  <c r="AF137" i="8" s="1"/>
  <c r="E138" i="6"/>
  <c r="E138" i="8" s="1"/>
  <c r="F138" i="6"/>
  <c r="F138" i="8" s="1"/>
  <c r="G138" i="6"/>
  <c r="G138" i="8" s="1"/>
  <c r="H138" i="6"/>
  <c r="H138" i="8" s="1"/>
  <c r="I138" i="6"/>
  <c r="I138" i="8" s="1"/>
  <c r="J138" i="6"/>
  <c r="J138" i="8" s="1"/>
  <c r="K138" i="6"/>
  <c r="K138" i="8" s="1"/>
  <c r="L138" i="6"/>
  <c r="L138" i="8" s="1"/>
  <c r="M138" i="6"/>
  <c r="M138" i="8" s="1"/>
  <c r="N138" i="6"/>
  <c r="N138" i="8" s="1"/>
  <c r="O138" i="6"/>
  <c r="O138" i="8" s="1"/>
  <c r="P138" i="6"/>
  <c r="P138" i="8" s="1"/>
  <c r="Q138" i="6"/>
  <c r="Q138" i="8" s="1"/>
  <c r="R138" i="6"/>
  <c r="R138" i="8" s="1"/>
  <c r="S138" i="6"/>
  <c r="S138" i="8" s="1"/>
  <c r="T138" i="6"/>
  <c r="T138" i="8" s="1"/>
  <c r="U138" i="6"/>
  <c r="U138" i="8" s="1"/>
  <c r="V138" i="6"/>
  <c r="V138" i="8" s="1"/>
  <c r="W138" i="6"/>
  <c r="W138" i="8" s="1"/>
  <c r="X138" i="6"/>
  <c r="X138" i="8" s="1"/>
  <c r="Y138" i="6"/>
  <c r="Y138" i="8" s="1"/>
  <c r="Z138" i="6"/>
  <c r="Z138" i="8" s="1"/>
  <c r="AA138" i="6"/>
  <c r="AA138" i="8" s="1"/>
  <c r="AB138" i="6"/>
  <c r="AB138" i="8" s="1"/>
  <c r="AC138" i="6"/>
  <c r="AC138" i="8" s="1"/>
  <c r="AD138" i="6"/>
  <c r="AD138" i="8" s="1"/>
  <c r="AE138" i="6"/>
  <c r="AE138" i="8" s="1"/>
  <c r="AF138" i="6"/>
  <c r="AF138" i="8" s="1"/>
  <c r="E139" i="6"/>
  <c r="E139" i="8" s="1"/>
  <c r="F139" i="6"/>
  <c r="F139" i="8" s="1"/>
  <c r="G139" i="6"/>
  <c r="G139" i="8" s="1"/>
  <c r="H139" i="6"/>
  <c r="H139" i="8" s="1"/>
  <c r="I139" i="6"/>
  <c r="I139" i="8" s="1"/>
  <c r="J139" i="6"/>
  <c r="J139" i="8" s="1"/>
  <c r="K139" i="6"/>
  <c r="K139" i="8" s="1"/>
  <c r="L139" i="6"/>
  <c r="L139" i="8" s="1"/>
  <c r="M139" i="6"/>
  <c r="M139" i="8" s="1"/>
  <c r="N139" i="6"/>
  <c r="N139" i="8" s="1"/>
  <c r="O139" i="6"/>
  <c r="O139" i="8" s="1"/>
  <c r="P139" i="6"/>
  <c r="P139" i="8" s="1"/>
  <c r="Q139" i="6"/>
  <c r="Q139" i="8" s="1"/>
  <c r="R139" i="6"/>
  <c r="R139" i="8" s="1"/>
  <c r="S139" i="6"/>
  <c r="S139" i="8" s="1"/>
  <c r="T139" i="6"/>
  <c r="T139" i="8" s="1"/>
  <c r="U139" i="6"/>
  <c r="U139" i="8" s="1"/>
  <c r="V139" i="6"/>
  <c r="V139" i="8" s="1"/>
  <c r="W139" i="6"/>
  <c r="W139" i="8" s="1"/>
  <c r="X139" i="6"/>
  <c r="X139" i="8" s="1"/>
  <c r="Y139" i="6"/>
  <c r="Y139" i="8" s="1"/>
  <c r="Z139" i="6"/>
  <c r="Z139" i="8" s="1"/>
  <c r="AA139" i="6"/>
  <c r="AA139" i="8" s="1"/>
  <c r="AB139" i="6"/>
  <c r="AB139" i="8" s="1"/>
  <c r="AC139" i="6"/>
  <c r="AC139" i="8" s="1"/>
  <c r="AD139" i="6"/>
  <c r="AD139" i="8" s="1"/>
  <c r="AE139" i="6"/>
  <c r="AE139" i="8" s="1"/>
  <c r="AF139" i="6"/>
  <c r="AF139" i="8" s="1"/>
  <c r="E140" i="6"/>
  <c r="E140" i="8" s="1"/>
  <c r="F140" i="6"/>
  <c r="F140" i="8" s="1"/>
  <c r="G140" i="6"/>
  <c r="G140" i="8" s="1"/>
  <c r="H140" i="6"/>
  <c r="H140" i="8" s="1"/>
  <c r="I140" i="6"/>
  <c r="I140" i="8" s="1"/>
  <c r="J140" i="6"/>
  <c r="J140" i="8" s="1"/>
  <c r="K140" i="6"/>
  <c r="K140" i="8" s="1"/>
  <c r="L140" i="6"/>
  <c r="L140" i="8" s="1"/>
  <c r="M140" i="6"/>
  <c r="M140" i="8" s="1"/>
  <c r="N140" i="6"/>
  <c r="N140" i="8" s="1"/>
  <c r="O140" i="6"/>
  <c r="O140" i="8" s="1"/>
  <c r="P140" i="6"/>
  <c r="P140" i="8" s="1"/>
  <c r="Q140" i="6"/>
  <c r="Q140" i="8" s="1"/>
  <c r="R140" i="6"/>
  <c r="R140" i="8" s="1"/>
  <c r="S140" i="6"/>
  <c r="S140" i="8" s="1"/>
  <c r="T140" i="6"/>
  <c r="T140" i="8" s="1"/>
  <c r="U140" i="6"/>
  <c r="U140" i="8" s="1"/>
  <c r="V140" i="6"/>
  <c r="V140" i="8" s="1"/>
  <c r="W140" i="6"/>
  <c r="W140" i="8" s="1"/>
  <c r="X140" i="6"/>
  <c r="X140" i="8" s="1"/>
  <c r="Y140" i="6"/>
  <c r="Y140" i="8" s="1"/>
  <c r="Z140" i="6"/>
  <c r="Z140" i="8" s="1"/>
  <c r="AA140" i="6"/>
  <c r="AA140" i="8" s="1"/>
  <c r="AB140" i="6"/>
  <c r="AB140" i="8" s="1"/>
  <c r="AC140" i="6"/>
  <c r="AC140" i="8" s="1"/>
  <c r="AD140" i="6"/>
  <c r="AD140" i="8" s="1"/>
  <c r="AE140" i="6"/>
  <c r="AE140" i="8" s="1"/>
  <c r="AF140" i="6"/>
  <c r="AF140" i="8" s="1"/>
  <c r="E141" i="6"/>
  <c r="E141" i="8" s="1"/>
  <c r="F141" i="6"/>
  <c r="F141" i="8" s="1"/>
  <c r="G141" i="6"/>
  <c r="G141" i="8" s="1"/>
  <c r="H141" i="6"/>
  <c r="H141" i="8" s="1"/>
  <c r="I141" i="6"/>
  <c r="I141" i="8" s="1"/>
  <c r="J141" i="6"/>
  <c r="J141" i="8" s="1"/>
  <c r="K141" i="6"/>
  <c r="K141" i="8" s="1"/>
  <c r="L141" i="6"/>
  <c r="L141" i="8" s="1"/>
  <c r="M141" i="6"/>
  <c r="M141" i="8" s="1"/>
  <c r="N141" i="6"/>
  <c r="N141" i="8" s="1"/>
  <c r="O141" i="6"/>
  <c r="O141" i="8" s="1"/>
  <c r="P141" i="6"/>
  <c r="P141" i="8" s="1"/>
  <c r="Q141" i="6"/>
  <c r="Q141" i="8" s="1"/>
  <c r="R141" i="6"/>
  <c r="R141" i="8" s="1"/>
  <c r="S141" i="6"/>
  <c r="S141" i="8" s="1"/>
  <c r="T141" i="6"/>
  <c r="T141" i="8" s="1"/>
  <c r="U141" i="6"/>
  <c r="U141" i="8" s="1"/>
  <c r="V141" i="6"/>
  <c r="V141" i="8" s="1"/>
  <c r="W141" i="6"/>
  <c r="W141" i="8" s="1"/>
  <c r="X141" i="6"/>
  <c r="X141" i="8" s="1"/>
  <c r="Y141" i="6"/>
  <c r="Y141" i="8" s="1"/>
  <c r="Z141" i="6"/>
  <c r="Z141" i="8" s="1"/>
  <c r="AA141" i="6"/>
  <c r="AA141" i="8" s="1"/>
  <c r="AB141" i="6"/>
  <c r="AB141" i="8" s="1"/>
  <c r="AC141" i="6"/>
  <c r="AC141" i="8" s="1"/>
  <c r="AD141" i="6"/>
  <c r="AD141" i="8" s="1"/>
  <c r="AE141" i="6"/>
  <c r="AE141" i="8" s="1"/>
  <c r="AF141" i="6"/>
  <c r="AF141" i="8" s="1"/>
  <c r="E142" i="6"/>
  <c r="E142" i="8" s="1"/>
  <c r="F142" i="6"/>
  <c r="F142" i="8" s="1"/>
  <c r="G142" i="6"/>
  <c r="G142" i="8" s="1"/>
  <c r="H142" i="6"/>
  <c r="H142" i="8" s="1"/>
  <c r="I142" i="6"/>
  <c r="I142" i="8" s="1"/>
  <c r="J142" i="6"/>
  <c r="J142" i="8" s="1"/>
  <c r="K142" i="6"/>
  <c r="K142" i="8" s="1"/>
  <c r="L142" i="6"/>
  <c r="L142" i="8" s="1"/>
  <c r="M142" i="6"/>
  <c r="M142" i="8" s="1"/>
  <c r="N142" i="6"/>
  <c r="N142" i="8" s="1"/>
  <c r="O142" i="6"/>
  <c r="O142" i="8" s="1"/>
  <c r="P142" i="6"/>
  <c r="P142" i="8" s="1"/>
  <c r="Q142" i="6"/>
  <c r="Q142" i="8" s="1"/>
  <c r="R142" i="6"/>
  <c r="R142" i="8" s="1"/>
  <c r="S142" i="6"/>
  <c r="S142" i="8" s="1"/>
  <c r="T142" i="6"/>
  <c r="T142" i="8" s="1"/>
  <c r="U142" i="6"/>
  <c r="U142" i="8" s="1"/>
  <c r="V142" i="6"/>
  <c r="V142" i="8" s="1"/>
  <c r="W142" i="6"/>
  <c r="W142" i="8" s="1"/>
  <c r="X142" i="6"/>
  <c r="X142" i="8" s="1"/>
  <c r="Y142" i="6"/>
  <c r="Y142" i="8" s="1"/>
  <c r="Z142" i="6"/>
  <c r="Z142" i="8" s="1"/>
  <c r="AA142" i="6"/>
  <c r="AA142" i="8" s="1"/>
  <c r="AB142" i="6"/>
  <c r="AB142" i="8" s="1"/>
  <c r="AC142" i="6"/>
  <c r="AC142" i="8" s="1"/>
  <c r="AD142" i="6"/>
  <c r="AD142" i="8" s="1"/>
  <c r="AE142" i="6"/>
  <c r="AE142" i="8" s="1"/>
  <c r="AF142" i="6"/>
  <c r="AF142" i="8" s="1"/>
  <c r="E143" i="6"/>
  <c r="E143" i="8" s="1"/>
  <c r="F143" i="6"/>
  <c r="F143" i="8" s="1"/>
  <c r="G143" i="6"/>
  <c r="G143" i="8" s="1"/>
  <c r="H143" i="6"/>
  <c r="H143" i="8" s="1"/>
  <c r="I143" i="6"/>
  <c r="I143" i="8" s="1"/>
  <c r="J143" i="6"/>
  <c r="J143" i="8" s="1"/>
  <c r="K143" i="6"/>
  <c r="K143" i="8" s="1"/>
  <c r="L143" i="6"/>
  <c r="L143" i="8" s="1"/>
  <c r="M143" i="6"/>
  <c r="M143" i="8" s="1"/>
  <c r="N143" i="6"/>
  <c r="N143" i="8" s="1"/>
  <c r="O143" i="6"/>
  <c r="O143" i="8" s="1"/>
  <c r="P143" i="6"/>
  <c r="P143" i="8" s="1"/>
  <c r="Q143" i="6"/>
  <c r="Q143" i="8" s="1"/>
  <c r="R143" i="6"/>
  <c r="R143" i="8" s="1"/>
  <c r="S143" i="6"/>
  <c r="S143" i="8" s="1"/>
  <c r="T143" i="6"/>
  <c r="T143" i="8" s="1"/>
  <c r="U143" i="6"/>
  <c r="U143" i="8" s="1"/>
  <c r="V143" i="6"/>
  <c r="V143" i="8" s="1"/>
  <c r="W143" i="6"/>
  <c r="W143" i="8" s="1"/>
  <c r="X143" i="6"/>
  <c r="X143" i="8" s="1"/>
  <c r="Y143" i="6"/>
  <c r="Y143" i="8" s="1"/>
  <c r="Z143" i="6"/>
  <c r="Z143" i="8" s="1"/>
  <c r="AA143" i="6"/>
  <c r="AA143" i="8" s="1"/>
  <c r="AB143" i="6"/>
  <c r="AB143" i="8" s="1"/>
  <c r="AC143" i="6"/>
  <c r="AC143" i="8" s="1"/>
  <c r="AD143" i="6"/>
  <c r="AD143" i="8" s="1"/>
  <c r="AE143" i="6"/>
  <c r="AE143" i="8" s="1"/>
  <c r="AF143" i="6"/>
  <c r="AF143" i="8" s="1"/>
  <c r="E144" i="6"/>
  <c r="E144" i="8" s="1"/>
  <c r="F144" i="6"/>
  <c r="F144" i="8" s="1"/>
  <c r="G144" i="6"/>
  <c r="G144" i="8" s="1"/>
  <c r="H144" i="6"/>
  <c r="H144" i="8" s="1"/>
  <c r="I144" i="6"/>
  <c r="I144" i="8" s="1"/>
  <c r="J144" i="6"/>
  <c r="J144" i="8" s="1"/>
  <c r="K144" i="6"/>
  <c r="K144" i="8" s="1"/>
  <c r="L144" i="6"/>
  <c r="L144" i="8" s="1"/>
  <c r="M144" i="6"/>
  <c r="M144" i="8" s="1"/>
  <c r="N144" i="6"/>
  <c r="N144" i="8" s="1"/>
  <c r="O144" i="6"/>
  <c r="O144" i="8" s="1"/>
  <c r="P144" i="6"/>
  <c r="P144" i="8" s="1"/>
  <c r="Q144" i="6"/>
  <c r="Q144" i="8" s="1"/>
  <c r="R144" i="6"/>
  <c r="R144" i="8" s="1"/>
  <c r="S144" i="6"/>
  <c r="S144" i="8" s="1"/>
  <c r="T144" i="6"/>
  <c r="T144" i="8" s="1"/>
  <c r="U144" i="6"/>
  <c r="U144" i="8" s="1"/>
  <c r="V144" i="6"/>
  <c r="V144" i="8" s="1"/>
  <c r="W144" i="6"/>
  <c r="W144" i="8" s="1"/>
  <c r="X144" i="6"/>
  <c r="X144" i="8" s="1"/>
  <c r="Y144" i="6"/>
  <c r="Y144" i="8" s="1"/>
  <c r="Z144" i="6"/>
  <c r="Z144" i="8" s="1"/>
  <c r="AA144" i="6"/>
  <c r="AA144" i="8" s="1"/>
  <c r="AB144" i="6"/>
  <c r="AB144" i="8" s="1"/>
  <c r="AC144" i="6"/>
  <c r="AC144" i="8" s="1"/>
  <c r="AD144" i="6"/>
  <c r="AD144" i="8" s="1"/>
  <c r="AE144" i="6"/>
  <c r="AE144" i="8" s="1"/>
  <c r="AF144" i="6"/>
  <c r="AF144" i="8" s="1"/>
  <c r="E145" i="6"/>
  <c r="E145" i="8" s="1"/>
  <c r="F145" i="6"/>
  <c r="F145" i="8" s="1"/>
  <c r="G145" i="6"/>
  <c r="G145" i="8" s="1"/>
  <c r="H145" i="6"/>
  <c r="H145" i="8" s="1"/>
  <c r="I145" i="6"/>
  <c r="I145" i="8" s="1"/>
  <c r="J145" i="6"/>
  <c r="J145" i="8" s="1"/>
  <c r="K145" i="6"/>
  <c r="K145" i="8" s="1"/>
  <c r="L145" i="6"/>
  <c r="L145" i="8" s="1"/>
  <c r="M145" i="6"/>
  <c r="M145" i="8" s="1"/>
  <c r="N145" i="6"/>
  <c r="N145" i="8" s="1"/>
  <c r="O145" i="6"/>
  <c r="O145" i="8" s="1"/>
  <c r="P145" i="6"/>
  <c r="P145" i="8" s="1"/>
  <c r="Q145" i="6"/>
  <c r="Q145" i="8" s="1"/>
  <c r="R145" i="6"/>
  <c r="R145" i="8" s="1"/>
  <c r="S145" i="6"/>
  <c r="S145" i="8" s="1"/>
  <c r="T145" i="6"/>
  <c r="T145" i="8" s="1"/>
  <c r="U145" i="6"/>
  <c r="U145" i="8" s="1"/>
  <c r="V145" i="6"/>
  <c r="V145" i="8" s="1"/>
  <c r="W145" i="6"/>
  <c r="W145" i="8" s="1"/>
  <c r="X145" i="6"/>
  <c r="X145" i="8" s="1"/>
  <c r="Y145" i="6"/>
  <c r="Y145" i="8" s="1"/>
  <c r="Z145" i="6"/>
  <c r="Z145" i="8" s="1"/>
  <c r="AA145" i="6"/>
  <c r="AA145" i="8" s="1"/>
  <c r="AB145" i="6"/>
  <c r="AB145" i="8" s="1"/>
  <c r="AC145" i="6"/>
  <c r="AC145" i="8" s="1"/>
  <c r="AD145" i="6"/>
  <c r="AD145" i="8" s="1"/>
  <c r="AE145" i="6"/>
  <c r="AE145" i="8" s="1"/>
  <c r="AF145" i="6"/>
  <c r="AF145" i="8" s="1"/>
  <c r="E146" i="6"/>
  <c r="E146" i="8" s="1"/>
  <c r="F146" i="6"/>
  <c r="F146" i="8" s="1"/>
  <c r="G146" i="6"/>
  <c r="G146" i="8" s="1"/>
  <c r="H146" i="6"/>
  <c r="H146" i="8" s="1"/>
  <c r="I146" i="6"/>
  <c r="I146" i="8" s="1"/>
  <c r="J146" i="6"/>
  <c r="J146" i="8" s="1"/>
  <c r="K146" i="6"/>
  <c r="K146" i="8" s="1"/>
  <c r="L146" i="6"/>
  <c r="L146" i="8" s="1"/>
  <c r="M146" i="6"/>
  <c r="M146" i="8" s="1"/>
  <c r="N146" i="6"/>
  <c r="N146" i="8" s="1"/>
  <c r="O146" i="6"/>
  <c r="O146" i="8" s="1"/>
  <c r="P146" i="6"/>
  <c r="P146" i="8" s="1"/>
  <c r="Q146" i="6"/>
  <c r="Q146" i="8" s="1"/>
  <c r="R146" i="6"/>
  <c r="R146" i="8" s="1"/>
  <c r="S146" i="6"/>
  <c r="S146" i="8" s="1"/>
  <c r="T146" i="6"/>
  <c r="T146" i="8" s="1"/>
  <c r="U146" i="6"/>
  <c r="U146" i="8" s="1"/>
  <c r="V146" i="6"/>
  <c r="V146" i="8" s="1"/>
  <c r="W146" i="6"/>
  <c r="W146" i="8" s="1"/>
  <c r="X146" i="6"/>
  <c r="X146" i="8" s="1"/>
  <c r="Y146" i="6"/>
  <c r="Y146" i="8" s="1"/>
  <c r="Z146" i="6"/>
  <c r="Z146" i="8" s="1"/>
  <c r="AA146" i="6"/>
  <c r="AA146" i="8" s="1"/>
  <c r="AB146" i="6"/>
  <c r="AB146" i="8" s="1"/>
  <c r="AC146" i="6"/>
  <c r="AC146" i="8" s="1"/>
  <c r="AD146" i="6"/>
  <c r="AD146" i="8" s="1"/>
  <c r="AE146" i="6"/>
  <c r="AE146" i="8" s="1"/>
  <c r="AF146" i="6"/>
  <c r="AF146" i="8" s="1"/>
  <c r="E147" i="6"/>
  <c r="E147" i="8" s="1"/>
  <c r="F147" i="6"/>
  <c r="F147" i="8" s="1"/>
  <c r="G147" i="6"/>
  <c r="G147" i="8" s="1"/>
  <c r="H147" i="6"/>
  <c r="H147" i="8" s="1"/>
  <c r="I147" i="6"/>
  <c r="I147" i="8" s="1"/>
  <c r="J147" i="6"/>
  <c r="J147" i="8" s="1"/>
  <c r="K147" i="6"/>
  <c r="K147" i="8" s="1"/>
  <c r="L147" i="6"/>
  <c r="L147" i="8" s="1"/>
  <c r="M147" i="6"/>
  <c r="M147" i="8" s="1"/>
  <c r="N147" i="6"/>
  <c r="N147" i="8" s="1"/>
  <c r="O147" i="6"/>
  <c r="O147" i="8" s="1"/>
  <c r="P147" i="6"/>
  <c r="P147" i="8" s="1"/>
  <c r="Q147" i="6"/>
  <c r="Q147" i="8" s="1"/>
  <c r="R147" i="6"/>
  <c r="R147" i="8" s="1"/>
  <c r="S147" i="6"/>
  <c r="S147" i="8" s="1"/>
  <c r="T147" i="6"/>
  <c r="T147" i="8" s="1"/>
  <c r="U147" i="6"/>
  <c r="U147" i="8" s="1"/>
  <c r="V147" i="6"/>
  <c r="V147" i="8" s="1"/>
  <c r="W147" i="6"/>
  <c r="W147" i="8" s="1"/>
  <c r="X147" i="6"/>
  <c r="X147" i="8" s="1"/>
  <c r="Y147" i="6"/>
  <c r="Y147" i="8" s="1"/>
  <c r="Z147" i="6"/>
  <c r="Z147" i="8" s="1"/>
  <c r="AA147" i="6"/>
  <c r="AA147" i="8" s="1"/>
  <c r="AB147" i="6"/>
  <c r="AB147" i="8" s="1"/>
  <c r="AC147" i="6"/>
  <c r="AC147" i="8" s="1"/>
  <c r="AD147" i="6"/>
  <c r="AD147" i="8" s="1"/>
  <c r="AE147" i="6"/>
  <c r="AE147" i="8" s="1"/>
  <c r="AF147" i="6"/>
  <c r="AF147" i="8" s="1"/>
  <c r="E148" i="6"/>
  <c r="E148" i="8" s="1"/>
  <c r="F148" i="6"/>
  <c r="F148" i="8" s="1"/>
  <c r="G148" i="6"/>
  <c r="G148" i="8" s="1"/>
  <c r="H148" i="6"/>
  <c r="H148" i="8" s="1"/>
  <c r="I148" i="6"/>
  <c r="I148" i="8" s="1"/>
  <c r="J148" i="6"/>
  <c r="J148" i="8" s="1"/>
  <c r="K148" i="6"/>
  <c r="K148" i="8" s="1"/>
  <c r="L148" i="6"/>
  <c r="L148" i="8" s="1"/>
  <c r="M148" i="6"/>
  <c r="M148" i="8" s="1"/>
  <c r="N148" i="6"/>
  <c r="N148" i="8" s="1"/>
  <c r="O148" i="6"/>
  <c r="O148" i="8" s="1"/>
  <c r="P148" i="6"/>
  <c r="P148" i="8" s="1"/>
  <c r="Q148" i="6"/>
  <c r="Q148" i="8" s="1"/>
  <c r="R148" i="6"/>
  <c r="R148" i="8" s="1"/>
  <c r="S148" i="6"/>
  <c r="S148" i="8" s="1"/>
  <c r="T148" i="6"/>
  <c r="T148" i="8" s="1"/>
  <c r="U148" i="6"/>
  <c r="U148" i="8" s="1"/>
  <c r="V148" i="6"/>
  <c r="V148" i="8" s="1"/>
  <c r="W148" i="6"/>
  <c r="W148" i="8" s="1"/>
  <c r="X148" i="6"/>
  <c r="X148" i="8" s="1"/>
  <c r="Y148" i="6"/>
  <c r="Y148" i="8" s="1"/>
  <c r="Z148" i="6"/>
  <c r="Z148" i="8" s="1"/>
  <c r="AA148" i="6"/>
  <c r="AA148" i="8" s="1"/>
  <c r="AB148" i="6"/>
  <c r="AB148" i="8" s="1"/>
  <c r="AC148" i="6"/>
  <c r="AC148" i="8" s="1"/>
  <c r="AD148" i="6"/>
  <c r="AD148" i="8" s="1"/>
  <c r="AE148" i="6"/>
  <c r="AE148" i="8" s="1"/>
  <c r="AF148" i="6"/>
  <c r="AF148" i="8" s="1"/>
  <c r="E149" i="6"/>
  <c r="E149" i="8" s="1"/>
  <c r="F149" i="6"/>
  <c r="F149" i="8" s="1"/>
  <c r="G149" i="6"/>
  <c r="G149" i="8" s="1"/>
  <c r="H149" i="6"/>
  <c r="H149" i="8" s="1"/>
  <c r="I149" i="6"/>
  <c r="I149" i="8" s="1"/>
  <c r="J149" i="6"/>
  <c r="J149" i="8" s="1"/>
  <c r="K149" i="6"/>
  <c r="K149" i="8" s="1"/>
  <c r="L149" i="6"/>
  <c r="L149" i="8" s="1"/>
  <c r="M149" i="6"/>
  <c r="M149" i="8" s="1"/>
  <c r="N149" i="6"/>
  <c r="N149" i="8" s="1"/>
  <c r="O149" i="6"/>
  <c r="O149" i="8" s="1"/>
  <c r="P149" i="6"/>
  <c r="P149" i="8" s="1"/>
  <c r="Q149" i="6"/>
  <c r="Q149" i="8" s="1"/>
  <c r="R149" i="6"/>
  <c r="R149" i="8" s="1"/>
  <c r="S149" i="6"/>
  <c r="S149" i="8" s="1"/>
  <c r="T149" i="6"/>
  <c r="T149" i="8" s="1"/>
  <c r="U149" i="6"/>
  <c r="U149" i="8" s="1"/>
  <c r="V149" i="6"/>
  <c r="V149" i="8" s="1"/>
  <c r="W149" i="6"/>
  <c r="W149" i="8" s="1"/>
  <c r="X149" i="6"/>
  <c r="X149" i="8" s="1"/>
  <c r="Y149" i="6"/>
  <c r="Y149" i="8" s="1"/>
  <c r="Z149" i="6"/>
  <c r="Z149" i="8" s="1"/>
  <c r="AA149" i="6"/>
  <c r="AA149" i="8" s="1"/>
  <c r="AB149" i="6"/>
  <c r="AB149" i="8" s="1"/>
  <c r="AC149" i="6"/>
  <c r="AC149" i="8" s="1"/>
  <c r="AD149" i="6"/>
  <c r="AD149" i="8" s="1"/>
  <c r="AE149" i="6"/>
  <c r="AE149" i="8" s="1"/>
  <c r="AF149" i="6"/>
  <c r="AF149" i="8" s="1"/>
  <c r="E150" i="6"/>
  <c r="E150" i="8" s="1"/>
  <c r="F150" i="6"/>
  <c r="F150" i="8" s="1"/>
  <c r="G150" i="6"/>
  <c r="G150" i="8" s="1"/>
  <c r="H150" i="6"/>
  <c r="H150" i="8" s="1"/>
  <c r="I150" i="6"/>
  <c r="I150" i="8" s="1"/>
  <c r="J150" i="6"/>
  <c r="J150" i="8" s="1"/>
  <c r="K150" i="6"/>
  <c r="K150" i="8" s="1"/>
  <c r="L150" i="6"/>
  <c r="L150" i="8" s="1"/>
  <c r="M150" i="6"/>
  <c r="M150" i="8" s="1"/>
  <c r="N150" i="6"/>
  <c r="N150" i="8" s="1"/>
  <c r="O150" i="6"/>
  <c r="O150" i="8" s="1"/>
  <c r="P150" i="6"/>
  <c r="P150" i="8" s="1"/>
  <c r="Q150" i="6"/>
  <c r="Q150" i="8" s="1"/>
  <c r="R150" i="6"/>
  <c r="R150" i="8" s="1"/>
  <c r="S150" i="6"/>
  <c r="S150" i="8" s="1"/>
  <c r="T150" i="6"/>
  <c r="T150" i="8" s="1"/>
  <c r="U150" i="6"/>
  <c r="U150" i="8" s="1"/>
  <c r="V150" i="6"/>
  <c r="V150" i="8" s="1"/>
  <c r="W150" i="6"/>
  <c r="W150" i="8" s="1"/>
  <c r="X150" i="6"/>
  <c r="X150" i="8" s="1"/>
  <c r="Y150" i="6"/>
  <c r="Y150" i="8" s="1"/>
  <c r="Z150" i="6"/>
  <c r="Z150" i="8" s="1"/>
  <c r="AA150" i="6"/>
  <c r="AA150" i="8" s="1"/>
  <c r="AB150" i="6"/>
  <c r="AB150" i="8" s="1"/>
  <c r="AC150" i="6"/>
  <c r="AC150" i="8" s="1"/>
  <c r="AD150" i="6"/>
  <c r="AD150" i="8" s="1"/>
  <c r="AE150" i="6"/>
  <c r="AE150" i="8" s="1"/>
  <c r="AF150" i="6"/>
  <c r="AF150" i="8" s="1"/>
  <c r="E151" i="6"/>
  <c r="E151" i="8" s="1"/>
  <c r="F151" i="6"/>
  <c r="F151" i="8" s="1"/>
  <c r="G151" i="6"/>
  <c r="G151" i="8" s="1"/>
  <c r="H151" i="6"/>
  <c r="H151" i="8" s="1"/>
  <c r="I151" i="6"/>
  <c r="I151" i="8" s="1"/>
  <c r="J151" i="6"/>
  <c r="J151" i="8" s="1"/>
  <c r="K151" i="6"/>
  <c r="K151" i="8" s="1"/>
  <c r="L151" i="6"/>
  <c r="L151" i="8" s="1"/>
  <c r="M151" i="6"/>
  <c r="M151" i="8" s="1"/>
  <c r="N151" i="6"/>
  <c r="N151" i="8" s="1"/>
  <c r="O151" i="6"/>
  <c r="O151" i="8" s="1"/>
  <c r="P151" i="6"/>
  <c r="P151" i="8" s="1"/>
  <c r="Q151" i="6"/>
  <c r="Q151" i="8" s="1"/>
  <c r="R151" i="6"/>
  <c r="R151" i="8" s="1"/>
  <c r="S151" i="6"/>
  <c r="S151" i="8" s="1"/>
  <c r="T151" i="6"/>
  <c r="T151" i="8" s="1"/>
  <c r="U151" i="6"/>
  <c r="U151" i="8" s="1"/>
  <c r="V151" i="6"/>
  <c r="V151" i="8" s="1"/>
  <c r="W151" i="6"/>
  <c r="W151" i="8" s="1"/>
  <c r="X151" i="6"/>
  <c r="X151" i="8" s="1"/>
  <c r="Y151" i="6"/>
  <c r="Y151" i="8" s="1"/>
  <c r="Z151" i="6"/>
  <c r="Z151" i="8" s="1"/>
  <c r="AA151" i="6"/>
  <c r="AA151" i="8" s="1"/>
  <c r="AB151" i="6"/>
  <c r="AB151" i="8" s="1"/>
  <c r="AC151" i="6"/>
  <c r="AC151" i="8" s="1"/>
  <c r="AD151" i="6"/>
  <c r="AD151" i="8" s="1"/>
  <c r="AE151" i="6"/>
  <c r="AE151" i="8" s="1"/>
  <c r="AF151" i="6"/>
  <c r="AF151" i="8" s="1"/>
  <c r="E152" i="6"/>
  <c r="E152" i="8" s="1"/>
  <c r="F152" i="6"/>
  <c r="F152" i="8" s="1"/>
  <c r="G152" i="6"/>
  <c r="G152" i="8" s="1"/>
  <c r="H152" i="6"/>
  <c r="H152" i="8" s="1"/>
  <c r="I152" i="6"/>
  <c r="I152" i="8" s="1"/>
  <c r="J152" i="6"/>
  <c r="J152" i="8" s="1"/>
  <c r="K152" i="6"/>
  <c r="K152" i="8" s="1"/>
  <c r="L152" i="6"/>
  <c r="L152" i="8" s="1"/>
  <c r="M152" i="6"/>
  <c r="M152" i="8" s="1"/>
  <c r="N152" i="6"/>
  <c r="N152" i="8" s="1"/>
  <c r="O152" i="6"/>
  <c r="O152" i="8" s="1"/>
  <c r="P152" i="6"/>
  <c r="P152" i="8" s="1"/>
  <c r="Q152" i="6"/>
  <c r="Q152" i="8" s="1"/>
  <c r="R152" i="6"/>
  <c r="R152" i="8" s="1"/>
  <c r="S152" i="6"/>
  <c r="S152" i="8" s="1"/>
  <c r="T152" i="6"/>
  <c r="T152" i="8" s="1"/>
  <c r="U152" i="6"/>
  <c r="U152" i="8" s="1"/>
  <c r="V152" i="6"/>
  <c r="V152" i="8" s="1"/>
  <c r="W152" i="6"/>
  <c r="W152" i="8" s="1"/>
  <c r="X152" i="6"/>
  <c r="X152" i="8" s="1"/>
  <c r="Y152" i="6"/>
  <c r="Y152" i="8" s="1"/>
  <c r="Z152" i="6"/>
  <c r="Z152" i="8" s="1"/>
  <c r="AA152" i="6"/>
  <c r="AA152" i="8" s="1"/>
  <c r="AB152" i="6"/>
  <c r="AB152" i="8" s="1"/>
  <c r="AC152" i="6"/>
  <c r="AC152" i="8" s="1"/>
  <c r="AD152" i="6"/>
  <c r="AD152" i="8" s="1"/>
  <c r="AE152" i="6"/>
  <c r="AE152" i="8" s="1"/>
  <c r="AF152" i="6"/>
  <c r="AF152" i="8" s="1"/>
  <c r="E153" i="6"/>
  <c r="E153" i="8" s="1"/>
  <c r="F153" i="6"/>
  <c r="F153" i="8" s="1"/>
  <c r="G153" i="6"/>
  <c r="G153" i="8" s="1"/>
  <c r="H153" i="6"/>
  <c r="H153" i="8" s="1"/>
  <c r="I153" i="6"/>
  <c r="I153" i="8" s="1"/>
  <c r="J153" i="6"/>
  <c r="J153" i="8" s="1"/>
  <c r="K153" i="6"/>
  <c r="K153" i="8" s="1"/>
  <c r="L153" i="6"/>
  <c r="L153" i="8" s="1"/>
  <c r="M153" i="6"/>
  <c r="M153" i="8" s="1"/>
  <c r="N153" i="6"/>
  <c r="N153" i="8" s="1"/>
  <c r="O153" i="6"/>
  <c r="O153" i="8" s="1"/>
  <c r="P153" i="6"/>
  <c r="P153" i="8" s="1"/>
  <c r="Q153" i="6"/>
  <c r="Q153" i="8" s="1"/>
  <c r="R153" i="6"/>
  <c r="R153" i="8" s="1"/>
  <c r="S153" i="6"/>
  <c r="S153" i="8" s="1"/>
  <c r="T153" i="6"/>
  <c r="T153" i="8" s="1"/>
  <c r="U153" i="6"/>
  <c r="U153" i="8" s="1"/>
  <c r="V153" i="6"/>
  <c r="V153" i="8" s="1"/>
  <c r="W153" i="6"/>
  <c r="W153" i="8" s="1"/>
  <c r="X153" i="6"/>
  <c r="X153" i="8" s="1"/>
  <c r="Y153" i="6"/>
  <c r="Y153" i="8" s="1"/>
  <c r="Z153" i="6"/>
  <c r="Z153" i="8" s="1"/>
  <c r="AA153" i="6"/>
  <c r="AA153" i="8" s="1"/>
  <c r="AB153" i="6"/>
  <c r="AB153" i="8" s="1"/>
  <c r="AC153" i="6"/>
  <c r="AC153" i="8" s="1"/>
  <c r="AD153" i="6"/>
  <c r="AD153" i="8" s="1"/>
  <c r="AE153" i="6"/>
  <c r="AE153" i="8" s="1"/>
  <c r="AF153" i="6"/>
  <c r="AF153" i="8" s="1"/>
  <c r="E154" i="6"/>
  <c r="E154" i="8" s="1"/>
  <c r="F154" i="6"/>
  <c r="F154" i="8" s="1"/>
  <c r="G154" i="6"/>
  <c r="G154" i="8" s="1"/>
  <c r="H154" i="6"/>
  <c r="H154" i="8" s="1"/>
  <c r="I154" i="6"/>
  <c r="I154" i="8" s="1"/>
  <c r="J154" i="6"/>
  <c r="J154" i="8" s="1"/>
  <c r="K154" i="6"/>
  <c r="K154" i="8" s="1"/>
  <c r="L154" i="6"/>
  <c r="L154" i="8" s="1"/>
  <c r="M154" i="6"/>
  <c r="M154" i="8" s="1"/>
  <c r="N154" i="6"/>
  <c r="N154" i="8" s="1"/>
  <c r="O154" i="6"/>
  <c r="O154" i="8" s="1"/>
  <c r="P154" i="6"/>
  <c r="P154" i="8" s="1"/>
  <c r="Q154" i="6"/>
  <c r="Q154" i="8" s="1"/>
  <c r="R154" i="6"/>
  <c r="R154" i="8" s="1"/>
  <c r="S154" i="6"/>
  <c r="S154" i="8" s="1"/>
  <c r="T154" i="6"/>
  <c r="T154" i="8" s="1"/>
  <c r="U154" i="6"/>
  <c r="U154" i="8" s="1"/>
  <c r="V154" i="6"/>
  <c r="V154" i="8" s="1"/>
  <c r="W154" i="6"/>
  <c r="W154" i="8" s="1"/>
  <c r="X154" i="6"/>
  <c r="X154" i="8" s="1"/>
  <c r="Y154" i="6"/>
  <c r="Y154" i="8" s="1"/>
  <c r="Z154" i="6"/>
  <c r="Z154" i="8" s="1"/>
  <c r="AA154" i="6"/>
  <c r="AA154" i="8" s="1"/>
  <c r="AB154" i="6"/>
  <c r="AB154" i="8" s="1"/>
  <c r="AC154" i="6"/>
  <c r="AC154" i="8" s="1"/>
  <c r="AD154" i="6"/>
  <c r="AD154" i="8" s="1"/>
  <c r="AE154" i="6"/>
  <c r="AE154" i="8" s="1"/>
  <c r="AF154" i="6"/>
  <c r="AF154" i="8" s="1"/>
  <c r="E155" i="6"/>
  <c r="E155" i="8" s="1"/>
  <c r="F155" i="6"/>
  <c r="F155" i="8" s="1"/>
  <c r="G155" i="6"/>
  <c r="G155" i="8" s="1"/>
  <c r="H155" i="6"/>
  <c r="H155" i="8" s="1"/>
  <c r="I155" i="6"/>
  <c r="I155" i="8" s="1"/>
  <c r="J155" i="6"/>
  <c r="J155" i="8" s="1"/>
  <c r="K155" i="6"/>
  <c r="K155" i="8" s="1"/>
  <c r="L155" i="6"/>
  <c r="L155" i="8" s="1"/>
  <c r="M155" i="6"/>
  <c r="M155" i="8" s="1"/>
  <c r="N155" i="6"/>
  <c r="N155" i="8" s="1"/>
  <c r="O155" i="6"/>
  <c r="O155" i="8" s="1"/>
  <c r="P155" i="6"/>
  <c r="P155" i="8" s="1"/>
  <c r="Q155" i="6"/>
  <c r="Q155" i="8" s="1"/>
  <c r="R155" i="6"/>
  <c r="R155" i="8" s="1"/>
  <c r="S155" i="6"/>
  <c r="S155" i="8" s="1"/>
  <c r="T155" i="6"/>
  <c r="T155" i="8" s="1"/>
  <c r="U155" i="6"/>
  <c r="U155" i="8" s="1"/>
  <c r="V155" i="6"/>
  <c r="V155" i="8" s="1"/>
  <c r="W155" i="6"/>
  <c r="W155" i="8" s="1"/>
  <c r="X155" i="6"/>
  <c r="X155" i="8" s="1"/>
  <c r="Y155" i="6"/>
  <c r="Y155" i="8" s="1"/>
  <c r="Z155" i="6"/>
  <c r="Z155" i="8" s="1"/>
  <c r="AA155" i="6"/>
  <c r="AA155" i="8" s="1"/>
  <c r="AB155" i="6"/>
  <c r="AB155" i="8" s="1"/>
  <c r="AC155" i="6"/>
  <c r="AC155" i="8" s="1"/>
  <c r="AD155" i="6"/>
  <c r="AD155" i="8" s="1"/>
  <c r="AE155" i="6"/>
  <c r="AE155" i="8" s="1"/>
  <c r="AF155" i="6"/>
  <c r="AF155" i="8" s="1"/>
  <c r="E156" i="6"/>
  <c r="E156" i="8" s="1"/>
  <c r="F156" i="6"/>
  <c r="F156" i="8" s="1"/>
  <c r="G156" i="6"/>
  <c r="G156" i="8" s="1"/>
  <c r="H156" i="6"/>
  <c r="H156" i="8" s="1"/>
  <c r="I156" i="6"/>
  <c r="I156" i="8" s="1"/>
  <c r="J156" i="6"/>
  <c r="J156" i="8" s="1"/>
  <c r="K156" i="6"/>
  <c r="K156" i="8" s="1"/>
  <c r="L156" i="6"/>
  <c r="L156" i="8" s="1"/>
  <c r="M156" i="6"/>
  <c r="M156" i="8" s="1"/>
  <c r="N156" i="6"/>
  <c r="N156" i="8" s="1"/>
  <c r="O156" i="6"/>
  <c r="O156" i="8" s="1"/>
  <c r="P156" i="6"/>
  <c r="P156" i="8" s="1"/>
  <c r="Q156" i="6"/>
  <c r="Q156" i="8" s="1"/>
  <c r="R156" i="6"/>
  <c r="R156" i="8" s="1"/>
  <c r="S156" i="6"/>
  <c r="S156" i="8" s="1"/>
  <c r="T156" i="6"/>
  <c r="T156" i="8" s="1"/>
  <c r="U156" i="6"/>
  <c r="U156" i="8" s="1"/>
  <c r="V156" i="6"/>
  <c r="V156" i="8" s="1"/>
  <c r="W156" i="6"/>
  <c r="W156" i="8" s="1"/>
  <c r="X156" i="6"/>
  <c r="X156" i="8" s="1"/>
  <c r="Y156" i="6"/>
  <c r="Y156" i="8" s="1"/>
  <c r="Z156" i="6"/>
  <c r="Z156" i="8" s="1"/>
  <c r="AA156" i="6"/>
  <c r="AA156" i="8" s="1"/>
  <c r="AB156" i="6"/>
  <c r="AB156" i="8" s="1"/>
  <c r="AC156" i="6"/>
  <c r="AC156" i="8" s="1"/>
  <c r="AD156" i="6"/>
  <c r="AD156" i="8" s="1"/>
  <c r="AE156" i="6"/>
  <c r="AE156" i="8" s="1"/>
  <c r="AF156" i="6"/>
  <c r="AF156" i="8" s="1"/>
  <c r="E157" i="6"/>
  <c r="E157" i="8" s="1"/>
  <c r="F157" i="6"/>
  <c r="F157" i="8" s="1"/>
  <c r="G157" i="6"/>
  <c r="G157" i="8" s="1"/>
  <c r="H157" i="6"/>
  <c r="H157" i="8" s="1"/>
  <c r="I157" i="6"/>
  <c r="I157" i="8" s="1"/>
  <c r="J157" i="6"/>
  <c r="J157" i="8" s="1"/>
  <c r="K157" i="6"/>
  <c r="K157" i="8" s="1"/>
  <c r="L157" i="6"/>
  <c r="L157" i="8" s="1"/>
  <c r="M157" i="6"/>
  <c r="M157" i="8" s="1"/>
  <c r="N157" i="6"/>
  <c r="N157" i="8" s="1"/>
  <c r="O157" i="6"/>
  <c r="O157" i="8" s="1"/>
  <c r="P157" i="6"/>
  <c r="P157" i="8" s="1"/>
  <c r="Q157" i="6"/>
  <c r="Q157" i="8" s="1"/>
  <c r="R157" i="6"/>
  <c r="R157" i="8" s="1"/>
  <c r="S157" i="6"/>
  <c r="S157" i="8" s="1"/>
  <c r="T157" i="6"/>
  <c r="T157" i="8" s="1"/>
  <c r="U157" i="6"/>
  <c r="U157" i="8" s="1"/>
  <c r="V157" i="6"/>
  <c r="V157" i="8" s="1"/>
  <c r="W157" i="6"/>
  <c r="W157" i="8" s="1"/>
  <c r="X157" i="6"/>
  <c r="X157" i="8" s="1"/>
  <c r="Y157" i="6"/>
  <c r="Y157" i="8" s="1"/>
  <c r="Z157" i="6"/>
  <c r="Z157" i="8" s="1"/>
  <c r="AA157" i="6"/>
  <c r="AA157" i="8" s="1"/>
  <c r="AB157" i="6"/>
  <c r="AB157" i="8" s="1"/>
  <c r="AC157" i="6"/>
  <c r="AC157" i="8" s="1"/>
  <c r="AD157" i="6"/>
  <c r="AD157" i="8" s="1"/>
  <c r="AE157" i="6"/>
  <c r="AE157" i="8" s="1"/>
  <c r="AF157" i="6"/>
  <c r="AF157" i="8" s="1"/>
  <c r="E158" i="6"/>
  <c r="E158" i="8" s="1"/>
  <c r="F158" i="6"/>
  <c r="F158" i="8" s="1"/>
  <c r="G158" i="6"/>
  <c r="G158" i="8" s="1"/>
  <c r="H158" i="6"/>
  <c r="H158" i="8" s="1"/>
  <c r="I158" i="6"/>
  <c r="I158" i="8" s="1"/>
  <c r="J158" i="6"/>
  <c r="J158" i="8" s="1"/>
  <c r="K158" i="6"/>
  <c r="K158" i="8" s="1"/>
  <c r="L158" i="6"/>
  <c r="L158" i="8" s="1"/>
  <c r="M158" i="6"/>
  <c r="M158" i="8" s="1"/>
  <c r="N158" i="6"/>
  <c r="N158" i="8" s="1"/>
  <c r="O158" i="6"/>
  <c r="O158" i="8" s="1"/>
  <c r="P158" i="6"/>
  <c r="P158" i="8" s="1"/>
  <c r="Q158" i="6"/>
  <c r="Q158" i="8" s="1"/>
  <c r="R158" i="6"/>
  <c r="R158" i="8" s="1"/>
  <c r="S158" i="6"/>
  <c r="S158" i="8" s="1"/>
  <c r="T158" i="6"/>
  <c r="T158" i="8" s="1"/>
  <c r="U158" i="6"/>
  <c r="U158" i="8" s="1"/>
  <c r="V158" i="6"/>
  <c r="V158" i="8" s="1"/>
  <c r="W158" i="6"/>
  <c r="W158" i="8" s="1"/>
  <c r="X158" i="6"/>
  <c r="X158" i="8" s="1"/>
  <c r="Y158" i="6"/>
  <c r="Y158" i="8" s="1"/>
  <c r="Z158" i="6"/>
  <c r="Z158" i="8" s="1"/>
  <c r="AA158" i="6"/>
  <c r="AA158" i="8" s="1"/>
  <c r="AB158" i="6"/>
  <c r="AB158" i="8" s="1"/>
  <c r="AC158" i="6"/>
  <c r="AC158" i="8" s="1"/>
  <c r="AD158" i="6"/>
  <c r="AD158" i="8" s="1"/>
  <c r="AE158" i="6"/>
  <c r="AE158" i="8" s="1"/>
  <c r="AF158" i="6"/>
  <c r="AF158" i="8" s="1"/>
  <c r="E159" i="6"/>
  <c r="E159" i="8" s="1"/>
  <c r="F159" i="6"/>
  <c r="F159" i="8" s="1"/>
  <c r="G159" i="6"/>
  <c r="G159" i="8" s="1"/>
  <c r="H159" i="6"/>
  <c r="H159" i="8" s="1"/>
  <c r="I159" i="6"/>
  <c r="I159" i="8" s="1"/>
  <c r="J159" i="6"/>
  <c r="J159" i="8" s="1"/>
  <c r="K159" i="6"/>
  <c r="K159" i="8" s="1"/>
  <c r="L159" i="6"/>
  <c r="L159" i="8" s="1"/>
  <c r="M159" i="6"/>
  <c r="M159" i="8" s="1"/>
  <c r="N159" i="6"/>
  <c r="N159" i="8" s="1"/>
  <c r="O159" i="6"/>
  <c r="O159" i="8" s="1"/>
  <c r="P159" i="6"/>
  <c r="P159" i="8" s="1"/>
  <c r="Q159" i="6"/>
  <c r="Q159" i="8" s="1"/>
  <c r="R159" i="6"/>
  <c r="R159" i="8" s="1"/>
  <c r="S159" i="6"/>
  <c r="S159" i="8" s="1"/>
  <c r="T159" i="6"/>
  <c r="T159" i="8" s="1"/>
  <c r="U159" i="6"/>
  <c r="U159" i="8" s="1"/>
  <c r="V159" i="6"/>
  <c r="V159" i="8" s="1"/>
  <c r="W159" i="6"/>
  <c r="W159" i="8" s="1"/>
  <c r="X159" i="6"/>
  <c r="X159" i="8" s="1"/>
  <c r="Y159" i="6"/>
  <c r="Y159" i="8" s="1"/>
  <c r="Z159" i="6"/>
  <c r="Z159" i="8" s="1"/>
  <c r="AA159" i="6"/>
  <c r="AA159" i="8" s="1"/>
  <c r="AB159" i="6"/>
  <c r="AB159" i="8" s="1"/>
  <c r="AC159" i="6"/>
  <c r="AC159" i="8" s="1"/>
  <c r="AD159" i="6"/>
  <c r="AD159" i="8" s="1"/>
  <c r="AE159" i="6"/>
  <c r="AE159" i="8" s="1"/>
  <c r="AF159" i="6"/>
  <c r="AF159" i="8" s="1"/>
  <c r="E160" i="6"/>
  <c r="E160" i="8" s="1"/>
  <c r="F160" i="6"/>
  <c r="F160" i="8" s="1"/>
  <c r="G160" i="6"/>
  <c r="G160" i="8" s="1"/>
  <c r="H160" i="6"/>
  <c r="H160" i="8" s="1"/>
  <c r="I160" i="6"/>
  <c r="I160" i="8" s="1"/>
  <c r="J160" i="6"/>
  <c r="J160" i="8" s="1"/>
  <c r="K160" i="6"/>
  <c r="K160" i="8" s="1"/>
  <c r="L160" i="6"/>
  <c r="L160" i="8" s="1"/>
  <c r="M160" i="6"/>
  <c r="M160" i="8" s="1"/>
  <c r="N160" i="6"/>
  <c r="N160" i="8" s="1"/>
  <c r="O160" i="6"/>
  <c r="O160" i="8" s="1"/>
  <c r="P160" i="6"/>
  <c r="P160" i="8" s="1"/>
  <c r="Q160" i="6"/>
  <c r="Q160" i="8" s="1"/>
  <c r="R160" i="6"/>
  <c r="R160" i="8" s="1"/>
  <c r="S160" i="6"/>
  <c r="S160" i="8" s="1"/>
  <c r="T160" i="6"/>
  <c r="T160" i="8" s="1"/>
  <c r="U160" i="6"/>
  <c r="U160" i="8" s="1"/>
  <c r="V160" i="6"/>
  <c r="V160" i="8" s="1"/>
  <c r="W160" i="6"/>
  <c r="W160" i="8" s="1"/>
  <c r="X160" i="6"/>
  <c r="X160" i="8" s="1"/>
  <c r="Y160" i="6"/>
  <c r="Y160" i="8" s="1"/>
  <c r="Z160" i="6"/>
  <c r="Z160" i="8" s="1"/>
  <c r="AA160" i="6"/>
  <c r="AA160" i="8" s="1"/>
  <c r="AB160" i="6"/>
  <c r="AB160" i="8" s="1"/>
  <c r="AC160" i="6"/>
  <c r="AC160" i="8" s="1"/>
  <c r="AD160" i="6"/>
  <c r="AD160" i="8" s="1"/>
  <c r="AE160" i="6"/>
  <c r="AE160" i="8" s="1"/>
  <c r="AF160" i="6"/>
  <c r="AF160" i="8" s="1"/>
  <c r="E161" i="6"/>
  <c r="E161" i="8" s="1"/>
  <c r="F161" i="6"/>
  <c r="F161" i="8" s="1"/>
  <c r="G161" i="6"/>
  <c r="G161" i="8" s="1"/>
  <c r="H161" i="6"/>
  <c r="H161" i="8" s="1"/>
  <c r="I161" i="6"/>
  <c r="I161" i="8" s="1"/>
  <c r="J161" i="6"/>
  <c r="J161" i="8" s="1"/>
  <c r="K161" i="6"/>
  <c r="K161" i="8" s="1"/>
  <c r="L161" i="6"/>
  <c r="L161" i="8" s="1"/>
  <c r="M161" i="6"/>
  <c r="M161" i="8" s="1"/>
  <c r="N161" i="6"/>
  <c r="N161" i="8" s="1"/>
  <c r="O161" i="6"/>
  <c r="O161" i="8" s="1"/>
  <c r="P161" i="6"/>
  <c r="P161" i="8" s="1"/>
  <c r="Q161" i="6"/>
  <c r="Q161" i="8" s="1"/>
  <c r="R161" i="6"/>
  <c r="R161" i="8" s="1"/>
  <c r="S161" i="6"/>
  <c r="S161" i="8" s="1"/>
  <c r="T161" i="6"/>
  <c r="T161" i="8" s="1"/>
  <c r="U161" i="6"/>
  <c r="U161" i="8" s="1"/>
  <c r="V161" i="6"/>
  <c r="V161" i="8" s="1"/>
  <c r="W161" i="6"/>
  <c r="W161" i="8" s="1"/>
  <c r="X161" i="6"/>
  <c r="X161" i="8" s="1"/>
  <c r="Y161" i="6"/>
  <c r="Y161" i="8" s="1"/>
  <c r="Z161" i="6"/>
  <c r="Z161" i="8" s="1"/>
  <c r="AA161" i="6"/>
  <c r="AA161" i="8" s="1"/>
  <c r="AB161" i="6"/>
  <c r="AB161" i="8" s="1"/>
  <c r="AC161" i="6"/>
  <c r="AC161" i="8" s="1"/>
  <c r="AD161" i="6"/>
  <c r="AD161" i="8" s="1"/>
  <c r="AE161" i="6"/>
  <c r="AE161" i="8" s="1"/>
  <c r="AF161" i="6"/>
  <c r="AF161" i="8" s="1"/>
  <c r="E162" i="6"/>
  <c r="E162" i="8" s="1"/>
  <c r="F162" i="6"/>
  <c r="F162" i="8" s="1"/>
  <c r="G162" i="6"/>
  <c r="G162" i="8" s="1"/>
  <c r="H162" i="6"/>
  <c r="H162" i="8" s="1"/>
  <c r="I162" i="6"/>
  <c r="I162" i="8" s="1"/>
  <c r="J162" i="6"/>
  <c r="J162" i="8" s="1"/>
  <c r="K162" i="6"/>
  <c r="K162" i="8" s="1"/>
  <c r="L162" i="6"/>
  <c r="L162" i="8" s="1"/>
  <c r="M162" i="6"/>
  <c r="M162" i="8" s="1"/>
  <c r="N162" i="6"/>
  <c r="N162" i="8" s="1"/>
  <c r="O162" i="6"/>
  <c r="O162" i="8" s="1"/>
  <c r="P162" i="6"/>
  <c r="P162" i="8" s="1"/>
  <c r="Q162" i="6"/>
  <c r="Q162" i="8" s="1"/>
  <c r="R162" i="6"/>
  <c r="R162" i="8" s="1"/>
  <c r="S162" i="6"/>
  <c r="S162" i="8" s="1"/>
  <c r="T162" i="6"/>
  <c r="T162" i="8" s="1"/>
  <c r="U162" i="6"/>
  <c r="U162" i="8" s="1"/>
  <c r="V162" i="6"/>
  <c r="V162" i="8" s="1"/>
  <c r="W162" i="6"/>
  <c r="W162" i="8" s="1"/>
  <c r="X162" i="6"/>
  <c r="X162" i="8" s="1"/>
  <c r="Y162" i="6"/>
  <c r="Y162" i="8" s="1"/>
  <c r="Z162" i="6"/>
  <c r="Z162" i="8" s="1"/>
  <c r="AA162" i="6"/>
  <c r="AA162" i="8" s="1"/>
  <c r="AB162" i="6"/>
  <c r="AB162" i="8" s="1"/>
  <c r="AC162" i="6"/>
  <c r="AC162" i="8" s="1"/>
  <c r="AD162" i="6"/>
  <c r="AD162" i="8" s="1"/>
  <c r="AE162" i="6"/>
  <c r="AE162" i="8" s="1"/>
  <c r="AF162" i="6"/>
  <c r="AF162" i="8" s="1"/>
  <c r="E163" i="6"/>
  <c r="E163" i="8" s="1"/>
  <c r="F163" i="6"/>
  <c r="F163" i="8" s="1"/>
  <c r="G163" i="6"/>
  <c r="G163" i="8" s="1"/>
  <c r="H163" i="6"/>
  <c r="H163" i="8" s="1"/>
  <c r="I163" i="6"/>
  <c r="I163" i="8" s="1"/>
  <c r="J163" i="6"/>
  <c r="J163" i="8" s="1"/>
  <c r="K163" i="6"/>
  <c r="K163" i="8" s="1"/>
  <c r="L163" i="6"/>
  <c r="L163" i="8" s="1"/>
  <c r="M163" i="6"/>
  <c r="M163" i="8" s="1"/>
  <c r="N163" i="6"/>
  <c r="N163" i="8" s="1"/>
  <c r="O163" i="6"/>
  <c r="O163" i="8" s="1"/>
  <c r="P163" i="6"/>
  <c r="P163" i="8" s="1"/>
  <c r="Q163" i="6"/>
  <c r="Q163" i="8" s="1"/>
  <c r="R163" i="6"/>
  <c r="R163" i="8" s="1"/>
  <c r="S163" i="6"/>
  <c r="S163" i="8" s="1"/>
  <c r="T163" i="6"/>
  <c r="T163" i="8" s="1"/>
  <c r="U163" i="6"/>
  <c r="U163" i="8" s="1"/>
  <c r="V163" i="6"/>
  <c r="V163" i="8" s="1"/>
  <c r="W163" i="6"/>
  <c r="W163" i="8" s="1"/>
  <c r="X163" i="6"/>
  <c r="X163" i="8" s="1"/>
  <c r="Y163" i="6"/>
  <c r="Y163" i="8" s="1"/>
  <c r="Z163" i="6"/>
  <c r="Z163" i="8" s="1"/>
  <c r="AA163" i="6"/>
  <c r="AA163" i="8" s="1"/>
  <c r="AB163" i="6"/>
  <c r="AB163" i="8" s="1"/>
  <c r="AC163" i="6"/>
  <c r="AC163" i="8" s="1"/>
  <c r="AD163" i="6"/>
  <c r="AD163" i="8" s="1"/>
  <c r="AE163" i="6"/>
  <c r="AE163" i="8" s="1"/>
  <c r="AF163" i="6"/>
  <c r="AF163" i="8" s="1"/>
  <c r="E164" i="6"/>
  <c r="E164" i="8" s="1"/>
  <c r="F164" i="6"/>
  <c r="F164" i="8" s="1"/>
  <c r="G164" i="6"/>
  <c r="G164" i="8" s="1"/>
  <c r="H164" i="6"/>
  <c r="H164" i="8" s="1"/>
  <c r="I164" i="6"/>
  <c r="I164" i="8" s="1"/>
  <c r="J164" i="6"/>
  <c r="J164" i="8" s="1"/>
  <c r="K164" i="6"/>
  <c r="K164" i="8" s="1"/>
  <c r="L164" i="6"/>
  <c r="L164" i="8" s="1"/>
  <c r="M164" i="6"/>
  <c r="M164" i="8" s="1"/>
  <c r="N164" i="6"/>
  <c r="N164" i="8" s="1"/>
  <c r="O164" i="6"/>
  <c r="O164" i="8" s="1"/>
  <c r="P164" i="6"/>
  <c r="P164" i="8" s="1"/>
  <c r="Q164" i="6"/>
  <c r="Q164" i="8" s="1"/>
  <c r="R164" i="6"/>
  <c r="R164" i="8" s="1"/>
  <c r="S164" i="6"/>
  <c r="S164" i="8" s="1"/>
  <c r="T164" i="6"/>
  <c r="T164" i="8" s="1"/>
  <c r="U164" i="6"/>
  <c r="U164" i="8" s="1"/>
  <c r="V164" i="6"/>
  <c r="V164" i="8" s="1"/>
  <c r="W164" i="6"/>
  <c r="W164" i="8" s="1"/>
  <c r="X164" i="6"/>
  <c r="X164" i="8" s="1"/>
  <c r="Y164" i="6"/>
  <c r="Y164" i="8" s="1"/>
  <c r="Z164" i="6"/>
  <c r="Z164" i="8" s="1"/>
  <c r="AA164" i="6"/>
  <c r="AA164" i="8" s="1"/>
  <c r="AB164" i="6"/>
  <c r="AB164" i="8" s="1"/>
  <c r="AC164" i="6"/>
  <c r="AC164" i="8" s="1"/>
  <c r="AD164" i="6"/>
  <c r="AD164" i="8" s="1"/>
  <c r="AE164" i="6"/>
  <c r="AE164" i="8" s="1"/>
  <c r="AF164" i="6"/>
  <c r="AF164" i="8" s="1"/>
  <c r="E165" i="6"/>
  <c r="E165" i="8" s="1"/>
  <c r="F165" i="6"/>
  <c r="F165" i="8" s="1"/>
  <c r="G165" i="6"/>
  <c r="G165" i="8" s="1"/>
  <c r="H165" i="6"/>
  <c r="H165" i="8" s="1"/>
  <c r="I165" i="6"/>
  <c r="I165" i="8" s="1"/>
  <c r="J165" i="6"/>
  <c r="J165" i="8" s="1"/>
  <c r="K165" i="6"/>
  <c r="K165" i="8" s="1"/>
  <c r="L165" i="6"/>
  <c r="L165" i="8" s="1"/>
  <c r="M165" i="6"/>
  <c r="M165" i="8" s="1"/>
  <c r="N165" i="6"/>
  <c r="N165" i="8" s="1"/>
  <c r="O165" i="6"/>
  <c r="O165" i="8" s="1"/>
  <c r="P165" i="6"/>
  <c r="P165" i="8" s="1"/>
  <c r="Q165" i="6"/>
  <c r="Q165" i="8" s="1"/>
  <c r="R165" i="6"/>
  <c r="R165" i="8" s="1"/>
  <c r="S165" i="6"/>
  <c r="S165" i="8" s="1"/>
  <c r="T165" i="6"/>
  <c r="T165" i="8" s="1"/>
  <c r="U165" i="6"/>
  <c r="U165" i="8" s="1"/>
  <c r="V165" i="6"/>
  <c r="V165" i="8" s="1"/>
  <c r="W165" i="6"/>
  <c r="W165" i="8" s="1"/>
  <c r="X165" i="6"/>
  <c r="X165" i="8" s="1"/>
  <c r="Y165" i="6"/>
  <c r="Y165" i="8" s="1"/>
  <c r="Z165" i="6"/>
  <c r="Z165" i="8" s="1"/>
  <c r="AA165" i="6"/>
  <c r="AA165" i="8" s="1"/>
  <c r="AB165" i="6"/>
  <c r="AB165" i="8" s="1"/>
  <c r="AC165" i="6"/>
  <c r="AC165" i="8" s="1"/>
  <c r="AD165" i="6"/>
  <c r="AD165" i="8" s="1"/>
  <c r="AE165" i="6"/>
  <c r="AE165" i="8" s="1"/>
  <c r="AF165" i="6"/>
  <c r="AF165" i="8" s="1"/>
  <c r="E166" i="6"/>
  <c r="E166" i="8" s="1"/>
  <c r="F166" i="6"/>
  <c r="F166" i="8" s="1"/>
  <c r="G166" i="6"/>
  <c r="G166" i="8" s="1"/>
  <c r="H166" i="6"/>
  <c r="H166" i="8" s="1"/>
  <c r="I166" i="6"/>
  <c r="I166" i="8" s="1"/>
  <c r="J166" i="6"/>
  <c r="J166" i="8" s="1"/>
  <c r="K166" i="6"/>
  <c r="K166" i="8" s="1"/>
  <c r="L166" i="6"/>
  <c r="L166" i="8" s="1"/>
  <c r="M166" i="6"/>
  <c r="M166" i="8" s="1"/>
  <c r="N166" i="6"/>
  <c r="N166" i="8" s="1"/>
  <c r="O166" i="6"/>
  <c r="O166" i="8" s="1"/>
  <c r="P166" i="6"/>
  <c r="P166" i="8" s="1"/>
  <c r="Q166" i="6"/>
  <c r="Q166" i="8" s="1"/>
  <c r="R166" i="6"/>
  <c r="R166" i="8" s="1"/>
  <c r="S166" i="6"/>
  <c r="S166" i="8" s="1"/>
  <c r="T166" i="6"/>
  <c r="T166" i="8" s="1"/>
  <c r="U166" i="6"/>
  <c r="U166" i="8" s="1"/>
  <c r="V166" i="6"/>
  <c r="V166" i="8" s="1"/>
  <c r="W166" i="6"/>
  <c r="W166" i="8" s="1"/>
  <c r="X166" i="6"/>
  <c r="X166" i="8" s="1"/>
  <c r="Y166" i="6"/>
  <c r="Y166" i="8" s="1"/>
  <c r="Z166" i="6"/>
  <c r="Z166" i="8" s="1"/>
  <c r="AA166" i="6"/>
  <c r="AA166" i="8" s="1"/>
  <c r="AB166" i="6"/>
  <c r="AB166" i="8" s="1"/>
  <c r="AC166" i="6"/>
  <c r="AC166" i="8" s="1"/>
  <c r="AD166" i="6"/>
  <c r="AD166" i="8" s="1"/>
  <c r="AE166" i="6"/>
  <c r="AE166" i="8" s="1"/>
  <c r="AF166" i="6"/>
  <c r="AF166" i="8" s="1"/>
  <c r="E167" i="6"/>
  <c r="E167" i="8" s="1"/>
  <c r="F167" i="6"/>
  <c r="F167" i="8" s="1"/>
  <c r="G167" i="6"/>
  <c r="G167" i="8" s="1"/>
  <c r="H167" i="6"/>
  <c r="H167" i="8" s="1"/>
  <c r="I167" i="6"/>
  <c r="I167" i="8" s="1"/>
  <c r="J167" i="6"/>
  <c r="J167" i="8" s="1"/>
  <c r="K167" i="6"/>
  <c r="K167" i="8" s="1"/>
  <c r="L167" i="6"/>
  <c r="L167" i="8" s="1"/>
  <c r="M167" i="6"/>
  <c r="M167" i="8" s="1"/>
  <c r="N167" i="6"/>
  <c r="N167" i="8" s="1"/>
  <c r="O167" i="6"/>
  <c r="O167" i="8" s="1"/>
  <c r="P167" i="6"/>
  <c r="P167" i="8" s="1"/>
  <c r="Q167" i="6"/>
  <c r="Q167" i="8" s="1"/>
  <c r="R167" i="6"/>
  <c r="R167" i="8" s="1"/>
  <c r="S167" i="6"/>
  <c r="S167" i="8" s="1"/>
  <c r="T167" i="6"/>
  <c r="T167" i="8" s="1"/>
  <c r="U167" i="6"/>
  <c r="U167" i="8" s="1"/>
  <c r="V167" i="6"/>
  <c r="V167" i="8" s="1"/>
  <c r="W167" i="6"/>
  <c r="W167" i="8" s="1"/>
  <c r="X167" i="6"/>
  <c r="X167" i="8" s="1"/>
  <c r="Y167" i="6"/>
  <c r="Y167" i="8" s="1"/>
  <c r="Z167" i="6"/>
  <c r="Z167" i="8" s="1"/>
  <c r="AA167" i="6"/>
  <c r="AA167" i="8" s="1"/>
  <c r="AB167" i="6"/>
  <c r="AB167" i="8" s="1"/>
  <c r="AC167" i="6"/>
  <c r="AC167" i="8" s="1"/>
  <c r="AD167" i="6"/>
  <c r="AD167" i="8" s="1"/>
  <c r="AE167" i="6"/>
  <c r="AE167" i="8" s="1"/>
  <c r="AF167" i="6"/>
  <c r="AF167" i="8" s="1"/>
  <c r="E168" i="6"/>
  <c r="E168" i="8" s="1"/>
  <c r="F168" i="6"/>
  <c r="F168" i="8" s="1"/>
  <c r="G168" i="6"/>
  <c r="G168" i="8" s="1"/>
  <c r="H168" i="6"/>
  <c r="H168" i="8" s="1"/>
  <c r="I168" i="6"/>
  <c r="I168" i="8" s="1"/>
  <c r="J168" i="6"/>
  <c r="J168" i="8" s="1"/>
  <c r="K168" i="6"/>
  <c r="K168" i="8" s="1"/>
  <c r="L168" i="6"/>
  <c r="L168" i="8" s="1"/>
  <c r="M168" i="6"/>
  <c r="M168" i="8" s="1"/>
  <c r="N168" i="6"/>
  <c r="N168" i="8" s="1"/>
  <c r="O168" i="6"/>
  <c r="O168" i="8" s="1"/>
  <c r="P168" i="6"/>
  <c r="P168" i="8" s="1"/>
  <c r="Q168" i="6"/>
  <c r="Q168" i="8" s="1"/>
  <c r="R168" i="6"/>
  <c r="R168" i="8" s="1"/>
  <c r="S168" i="6"/>
  <c r="S168" i="8" s="1"/>
  <c r="T168" i="6"/>
  <c r="T168" i="8" s="1"/>
  <c r="U168" i="6"/>
  <c r="U168" i="8" s="1"/>
  <c r="V168" i="6"/>
  <c r="V168" i="8" s="1"/>
  <c r="W168" i="6"/>
  <c r="W168" i="8" s="1"/>
  <c r="X168" i="6"/>
  <c r="X168" i="8" s="1"/>
  <c r="Y168" i="6"/>
  <c r="Y168" i="8" s="1"/>
  <c r="Z168" i="6"/>
  <c r="Z168" i="8" s="1"/>
  <c r="AA168" i="6"/>
  <c r="AA168" i="8" s="1"/>
  <c r="AB168" i="6"/>
  <c r="AB168" i="8" s="1"/>
  <c r="AC168" i="6"/>
  <c r="AC168" i="8" s="1"/>
  <c r="AD168" i="6"/>
  <c r="AD168" i="8" s="1"/>
  <c r="AE168" i="6"/>
  <c r="AE168" i="8" s="1"/>
  <c r="AF168" i="6"/>
  <c r="AF168" i="8" s="1"/>
  <c r="E169" i="6"/>
  <c r="E169" i="8" s="1"/>
  <c r="F169" i="6"/>
  <c r="F169" i="8" s="1"/>
  <c r="G169" i="6"/>
  <c r="G169" i="8" s="1"/>
  <c r="H169" i="6"/>
  <c r="H169" i="8" s="1"/>
  <c r="I169" i="6"/>
  <c r="I169" i="8" s="1"/>
  <c r="J169" i="6"/>
  <c r="J169" i="8" s="1"/>
  <c r="K169" i="6"/>
  <c r="K169" i="8" s="1"/>
  <c r="L169" i="6"/>
  <c r="L169" i="8" s="1"/>
  <c r="M169" i="6"/>
  <c r="M169" i="8" s="1"/>
  <c r="N169" i="6"/>
  <c r="N169" i="8" s="1"/>
  <c r="O169" i="6"/>
  <c r="O169" i="8" s="1"/>
  <c r="P169" i="6"/>
  <c r="P169" i="8" s="1"/>
  <c r="Q169" i="6"/>
  <c r="Q169" i="8" s="1"/>
  <c r="R169" i="6"/>
  <c r="R169" i="8" s="1"/>
  <c r="S169" i="6"/>
  <c r="S169" i="8" s="1"/>
  <c r="T169" i="6"/>
  <c r="T169" i="8" s="1"/>
  <c r="U169" i="6"/>
  <c r="U169" i="8" s="1"/>
  <c r="V169" i="6"/>
  <c r="V169" i="8" s="1"/>
  <c r="W169" i="6"/>
  <c r="W169" i="8" s="1"/>
  <c r="X169" i="6"/>
  <c r="X169" i="8" s="1"/>
  <c r="Y169" i="6"/>
  <c r="Y169" i="8" s="1"/>
  <c r="Z169" i="6"/>
  <c r="Z169" i="8" s="1"/>
  <c r="AA169" i="6"/>
  <c r="AA169" i="8" s="1"/>
  <c r="AB169" i="6"/>
  <c r="AB169" i="8" s="1"/>
  <c r="AC169" i="6"/>
  <c r="AC169" i="8" s="1"/>
  <c r="AD169" i="6"/>
  <c r="AD169" i="8" s="1"/>
  <c r="AE169" i="6"/>
  <c r="AE169" i="8" s="1"/>
  <c r="AF169" i="6"/>
  <c r="AF169" i="8" s="1"/>
  <c r="E170" i="6"/>
  <c r="E170" i="8" s="1"/>
  <c r="F170" i="6"/>
  <c r="F170" i="8" s="1"/>
  <c r="G170" i="6"/>
  <c r="G170" i="8" s="1"/>
  <c r="H170" i="6"/>
  <c r="H170" i="8" s="1"/>
  <c r="I170" i="6"/>
  <c r="I170" i="8" s="1"/>
  <c r="J170" i="6"/>
  <c r="J170" i="8" s="1"/>
  <c r="K170" i="6"/>
  <c r="K170" i="8" s="1"/>
  <c r="L170" i="6"/>
  <c r="L170" i="8" s="1"/>
  <c r="M170" i="6"/>
  <c r="M170" i="8" s="1"/>
  <c r="N170" i="6"/>
  <c r="N170" i="8" s="1"/>
  <c r="O170" i="6"/>
  <c r="O170" i="8" s="1"/>
  <c r="P170" i="6"/>
  <c r="P170" i="8" s="1"/>
  <c r="Q170" i="6"/>
  <c r="Q170" i="8" s="1"/>
  <c r="R170" i="6"/>
  <c r="R170" i="8" s="1"/>
  <c r="S170" i="6"/>
  <c r="S170" i="8" s="1"/>
  <c r="T170" i="6"/>
  <c r="T170" i="8" s="1"/>
  <c r="U170" i="6"/>
  <c r="U170" i="8" s="1"/>
  <c r="V170" i="6"/>
  <c r="V170" i="8" s="1"/>
  <c r="W170" i="6"/>
  <c r="W170" i="8" s="1"/>
  <c r="X170" i="6"/>
  <c r="X170" i="8" s="1"/>
  <c r="Y170" i="6"/>
  <c r="Y170" i="8" s="1"/>
  <c r="Z170" i="6"/>
  <c r="Z170" i="8" s="1"/>
  <c r="AA170" i="6"/>
  <c r="AA170" i="8" s="1"/>
  <c r="AB170" i="6"/>
  <c r="AB170" i="8" s="1"/>
  <c r="AC170" i="6"/>
  <c r="AC170" i="8" s="1"/>
  <c r="AD170" i="6"/>
  <c r="AD170" i="8" s="1"/>
  <c r="AE170" i="6"/>
  <c r="AE170" i="8" s="1"/>
  <c r="AF170" i="6"/>
  <c r="AF170" i="8" s="1"/>
  <c r="E171" i="6"/>
  <c r="E171" i="8" s="1"/>
  <c r="F171" i="6"/>
  <c r="F171" i="8" s="1"/>
  <c r="G171" i="6"/>
  <c r="G171" i="8" s="1"/>
  <c r="H171" i="6"/>
  <c r="H171" i="8" s="1"/>
  <c r="I171" i="6"/>
  <c r="I171" i="8" s="1"/>
  <c r="J171" i="6"/>
  <c r="J171" i="8" s="1"/>
  <c r="K171" i="6"/>
  <c r="K171" i="8" s="1"/>
  <c r="L171" i="6"/>
  <c r="L171" i="8" s="1"/>
  <c r="M171" i="6"/>
  <c r="M171" i="8" s="1"/>
  <c r="N171" i="6"/>
  <c r="N171" i="8" s="1"/>
  <c r="O171" i="6"/>
  <c r="O171" i="8" s="1"/>
  <c r="P171" i="6"/>
  <c r="P171" i="8" s="1"/>
  <c r="Q171" i="6"/>
  <c r="Q171" i="8" s="1"/>
  <c r="R171" i="6"/>
  <c r="R171" i="8" s="1"/>
  <c r="S171" i="6"/>
  <c r="S171" i="8" s="1"/>
  <c r="T171" i="6"/>
  <c r="T171" i="8" s="1"/>
  <c r="U171" i="6"/>
  <c r="U171" i="8" s="1"/>
  <c r="V171" i="6"/>
  <c r="V171" i="8" s="1"/>
  <c r="W171" i="6"/>
  <c r="W171" i="8" s="1"/>
  <c r="X171" i="6"/>
  <c r="X171" i="8" s="1"/>
  <c r="Y171" i="6"/>
  <c r="Y171" i="8" s="1"/>
  <c r="Z171" i="6"/>
  <c r="Z171" i="8" s="1"/>
  <c r="AA171" i="6"/>
  <c r="AA171" i="8" s="1"/>
  <c r="AB171" i="6"/>
  <c r="AB171" i="8" s="1"/>
  <c r="AC171" i="6"/>
  <c r="AC171" i="8" s="1"/>
  <c r="AD171" i="6"/>
  <c r="AD171" i="8" s="1"/>
  <c r="AE171" i="6"/>
  <c r="AE171" i="8" s="1"/>
  <c r="AF171" i="6"/>
  <c r="AF171" i="8" s="1"/>
  <c r="E172" i="6"/>
  <c r="E172" i="8" s="1"/>
  <c r="F172" i="6"/>
  <c r="F172" i="8" s="1"/>
  <c r="G172" i="6"/>
  <c r="G172" i="8" s="1"/>
  <c r="H172" i="6"/>
  <c r="H172" i="8" s="1"/>
  <c r="I172" i="6"/>
  <c r="I172" i="8" s="1"/>
  <c r="J172" i="6"/>
  <c r="J172" i="8" s="1"/>
  <c r="K172" i="6"/>
  <c r="K172" i="8" s="1"/>
  <c r="L172" i="6"/>
  <c r="L172" i="8" s="1"/>
  <c r="M172" i="6"/>
  <c r="M172" i="8" s="1"/>
  <c r="N172" i="6"/>
  <c r="N172" i="8" s="1"/>
  <c r="O172" i="6"/>
  <c r="O172" i="8" s="1"/>
  <c r="P172" i="6"/>
  <c r="P172" i="8" s="1"/>
  <c r="Q172" i="6"/>
  <c r="Q172" i="8" s="1"/>
  <c r="R172" i="6"/>
  <c r="R172" i="8" s="1"/>
  <c r="S172" i="6"/>
  <c r="S172" i="8" s="1"/>
  <c r="T172" i="6"/>
  <c r="T172" i="8" s="1"/>
  <c r="U172" i="6"/>
  <c r="U172" i="8" s="1"/>
  <c r="V172" i="6"/>
  <c r="V172" i="8" s="1"/>
  <c r="W172" i="6"/>
  <c r="W172" i="8" s="1"/>
  <c r="X172" i="6"/>
  <c r="X172" i="8" s="1"/>
  <c r="Y172" i="6"/>
  <c r="Y172" i="8" s="1"/>
  <c r="Z172" i="6"/>
  <c r="Z172" i="8" s="1"/>
  <c r="AA172" i="6"/>
  <c r="AA172" i="8" s="1"/>
  <c r="AB172" i="6"/>
  <c r="AB172" i="8" s="1"/>
  <c r="AC172" i="6"/>
  <c r="AC172" i="8" s="1"/>
  <c r="AD172" i="6"/>
  <c r="AD172" i="8" s="1"/>
  <c r="AE172" i="6"/>
  <c r="AE172" i="8" s="1"/>
  <c r="AF172" i="6"/>
  <c r="AF172" i="8" s="1"/>
  <c r="E173" i="6"/>
  <c r="E173" i="8" s="1"/>
  <c r="F173" i="6"/>
  <c r="F173" i="8" s="1"/>
  <c r="G173" i="6"/>
  <c r="G173" i="8" s="1"/>
  <c r="H173" i="6"/>
  <c r="H173" i="8" s="1"/>
  <c r="I173" i="6"/>
  <c r="I173" i="8" s="1"/>
  <c r="J173" i="6"/>
  <c r="J173" i="8" s="1"/>
  <c r="K173" i="6"/>
  <c r="K173" i="8" s="1"/>
  <c r="L173" i="6"/>
  <c r="L173" i="8" s="1"/>
  <c r="M173" i="6"/>
  <c r="M173" i="8" s="1"/>
  <c r="N173" i="6"/>
  <c r="N173" i="8" s="1"/>
  <c r="O173" i="6"/>
  <c r="O173" i="8" s="1"/>
  <c r="P173" i="6"/>
  <c r="P173" i="8" s="1"/>
  <c r="Q173" i="6"/>
  <c r="Q173" i="8" s="1"/>
  <c r="R173" i="6"/>
  <c r="R173" i="8" s="1"/>
  <c r="S173" i="6"/>
  <c r="S173" i="8" s="1"/>
  <c r="T173" i="6"/>
  <c r="T173" i="8" s="1"/>
  <c r="U173" i="6"/>
  <c r="U173" i="8" s="1"/>
  <c r="V173" i="6"/>
  <c r="V173" i="8" s="1"/>
  <c r="W173" i="6"/>
  <c r="W173" i="8" s="1"/>
  <c r="X173" i="6"/>
  <c r="X173" i="8" s="1"/>
  <c r="Y173" i="6"/>
  <c r="Y173" i="8" s="1"/>
  <c r="Z173" i="6"/>
  <c r="Z173" i="8" s="1"/>
  <c r="AA173" i="6"/>
  <c r="AA173" i="8" s="1"/>
  <c r="AB173" i="6"/>
  <c r="AB173" i="8" s="1"/>
  <c r="AC173" i="6"/>
  <c r="AC173" i="8" s="1"/>
  <c r="AD173" i="6"/>
  <c r="AD173" i="8" s="1"/>
  <c r="AE173" i="6"/>
  <c r="AE173" i="8" s="1"/>
  <c r="AF173" i="6"/>
  <c r="AF173" i="8" s="1"/>
  <c r="E174" i="6"/>
  <c r="E174" i="8" s="1"/>
  <c r="F174" i="6"/>
  <c r="F174" i="8" s="1"/>
  <c r="G174" i="6"/>
  <c r="G174" i="8" s="1"/>
  <c r="H174" i="6"/>
  <c r="H174" i="8" s="1"/>
  <c r="I174" i="6"/>
  <c r="I174" i="8" s="1"/>
  <c r="J174" i="6"/>
  <c r="J174" i="8" s="1"/>
  <c r="K174" i="6"/>
  <c r="K174" i="8" s="1"/>
  <c r="L174" i="6"/>
  <c r="L174" i="8" s="1"/>
  <c r="M174" i="6"/>
  <c r="M174" i="8" s="1"/>
  <c r="N174" i="6"/>
  <c r="N174" i="8" s="1"/>
  <c r="O174" i="6"/>
  <c r="O174" i="8" s="1"/>
  <c r="P174" i="6"/>
  <c r="P174" i="8" s="1"/>
  <c r="Q174" i="6"/>
  <c r="Q174" i="8" s="1"/>
  <c r="R174" i="6"/>
  <c r="R174" i="8" s="1"/>
  <c r="S174" i="6"/>
  <c r="S174" i="8" s="1"/>
  <c r="T174" i="6"/>
  <c r="T174" i="8" s="1"/>
  <c r="U174" i="6"/>
  <c r="U174" i="8" s="1"/>
  <c r="V174" i="6"/>
  <c r="V174" i="8" s="1"/>
  <c r="W174" i="6"/>
  <c r="W174" i="8" s="1"/>
  <c r="X174" i="6"/>
  <c r="X174" i="8" s="1"/>
  <c r="Y174" i="6"/>
  <c r="Y174" i="8" s="1"/>
  <c r="Z174" i="6"/>
  <c r="Z174" i="8" s="1"/>
  <c r="AA174" i="6"/>
  <c r="AA174" i="8" s="1"/>
  <c r="AB174" i="6"/>
  <c r="AB174" i="8" s="1"/>
  <c r="AC174" i="6"/>
  <c r="AC174" i="8" s="1"/>
  <c r="AD174" i="6"/>
  <c r="AD174" i="8" s="1"/>
  <c r="AE174" i="6"/>
  <c r="AE174" i="8" s="1"/>
  <c r="AF174" i="6"/>
  <c r="AF174" i="8" s="1"/>
  <c r="E175" i="6"/>
  <c r="E175" i="8" s="1"/>
  <c r="F175" i="6"/>
  <c r="F175" i="8" s="1"/>
  <c r="G175" i="6"/>
  <c r="G175" i="8" s="1"/>
  <c r="H175" i="6"/>
  <c r="H175" i="8" s="1"/>
  <c r="I175" i="6"/>
  <c r="I175" i="8" s="1"/>
  <c r="J175" i="6"/>
  <c r="J175" i="8" s="1"/>
  <c r="K175" i="6"/>
  <c r="K175" i="8" s="1"/>
  <c r="L175" i="6"/>
  <c r="L175" i="8" s="1"/>
  <c r="M175" i="6"/>
  <c r="M175" i="8" s="1"/>
  <c r="N175" i="6"/>
  <c r="N175" i="8" s="1"/>
  <c r="O175" i="6"/>
  <c r="O175" i="8" s="1"/>
  <c r="P175" i="6"/>
  <c r="P175" i="8" s="1"/>
  <c r="Q175" i="6"/>
  <c r="Q175" i="8" s="1"/>
  <c r="R175" i="6"/>
  <c r="R175" i="8" s="1"/>
  <c r="S175" i="6"/>
  <c r="S175" i="8" s="1"/>
  <c r="T175" i="6"/>
  <c r="T175" i="8" s="1"/>
  <c r="U175" i="6"/>
  <c r="U175" i="8" s="1"/>
  <c r="V175" i="6"/>
  <c r="V175" i="8" s="1"/>
  <c r="W175" i="6"/>
  <c r="W175" i="8" s="1"/>
  <c r="X175" i="6"/>
  <c r="X175" i="8" s="1"/>
  <c r="Y175" i="6"/>
  <c r="Y175" i="8" s="1"/>
  <c r="Z175" i="6"/>
  <c r="Z175" i="8" s="1"/>
  <c r="AA175" i="6"/>
  <c r="AA175" i="8" s="1"/>
  <c r="AB175" i="6"/>
  <c r="AB175" i="8" s="1"/>
  <c r="AC175" i="6"/>
  <c r="AC175" i="8" s="1"/>
  <c r="AD175" i="6"/>
  <c r="AD175" i="8" s="1"/>
  <c r="AE175" i="6"/>
  <c r="AE175" i="8" s="1"/>
  <c r="AF175" i="6"/>
  <c r="AF175" i="8" s="1"/>
  <c r="E176" i="6"/>
  <c r="E176" i="8" s="1"/>
  <c r="F176" i="6"/>
  <c r="F176" i="8" s="1"/>
  <c r="G176" i="6"/>
  <c r="G176" i="8" s="1"/>
  <c r="H176" i="6"/>
  <c r="H176" i="8" s="1"/>
  <c r="I176" i="6"/>
  <c r="I176" i="8" s="1"/>
  <c r="J176" i="6"/>
  <c r="J176" i="8" s="1"/>
  <c r="K176" i="6"/>
  <c r="K176" i="8" s="1"/>
  <c r="L176" i="6"/>
  <c r="L176" i="8" s="1"/>
  <c r="M176" i="6"/>
  <c r="M176" i="8" s="1"/>
  <c r="N176" i="6"/>
  <c r="N176" i="8" s="1"/>
  <c r="O176" i="6"/>
  <c r="O176" i="8" s="1"/>
  <c r="P176" i="6"/>
  <c r="P176" i="8" s="1"/>
  <c r="Q176" i="6"/>
  <c r="Q176" i="8" s="1"/>
  <c r="R176" i="6"/>
  <c r="R176" i="8" s="1"/>
  <c r="S176" i="6"/>
  <c r="S176" i="8" s="1"/>
  <c r="T176" i="6"/>
  <c r="T176" i="8" s="1"/>
  <c r="U176" i="6"/>
  <c r="U176" i="8" s="1"/>
  <c r="V176" i="6"/>
  <c r="V176" i="8" s="1"/>
  <c r="W176" i="6"/>
  <c r="W176" i="8" s="1"/>
  <c r="X176" i="6"/>
  <c r="X176" i="8" s="1"/>
  <c r="Y176" i="6"/>
  <c r="Y176" i="8" s="1"/>
  <c r="Z176" i="6"/>
  <c r="Z176" i="8" s="1"/>
  <c r="AA176" i="6"/>
  <c r="AA176" i="8" s="1"/>
  <c r="AB176" i="6"/>
  <c r="AB176" i="8" s="1"/>
  <c r="AC176" i="6"/>
  <c r="AC176" i="8" s="1"/>
  <c r="AD176" i="6"/>
  <c r="AD176" i="8" s="1"/>
  <c r="AE176" i="6"/>
  <c r="AE176" i="8" s="1"/>
  <c r="AF176" i="6"/>
  <c r="AF176" i="8" s="1"/>
  <c r="E177" i="6"/>
  <c r="E177" i="8" s="1"/>
  <c r="F177" i="6"/>
  <c r="F177" i="8" s="1"/>
  <c r="G177" i="6"/>
  <c r="G177" i="8" s="1"/>
  <c r="H177" i="6"/>
  <c r="H177" i="8" s="1"/>
  <c r="I177" i="6"/>
  <c r="I177" i="8" s="1"/>
  <c r="J177" i="6"/>
  <c r="J177" i="8" s="1"/>
  <c r="K177" i="6"/>
  <c r="K177" i="8" s="1"/>
  <c r="L177" i="6"/>
  <c r="L177" i="8" s="1"/>
  <c r="M177" i="6"/>
  <c r="M177" i="8" s="1"/>
  <c r="N177" i="6"/>
  <c r="N177" i="8" s="1"/>
  <c r="O177" i="6"/>
  <c r="O177" i="8" s="1"/>
  <c r="P177" i="6"/>
  <c r="P177" i="8" s="1"/>
  <c r="Q177" i="6"/>
  <c r="Q177" i="8" s="1"/>
  <c r="R177" i="6"/>
  <c r="R177" i="8" s="1"/>
  <c r="S177" i="6"/>
  <c r="S177" i="8" s="1"/>
  <c r="T177" i="6"/>
  <c r="T177" i="8" s="1"/>
  <c r="U177" i="6"/>
  <c r="U177" i="8" s="1"/>
  <c r="V177" i="6"/>
  <c r="V177" i="8" s="1"/>
  <c r="W177" i="6"/>
  <c r="W177" i="8" s="1"/>
  <c r="X177" i="6"/>
  <c r="X177" i="8" s="1"/>
  <c r="Y177" i="6"/>
  <c r="Y177" i="8" s="1"/>
  <c r="Z177" i="6"/>
  <c r="Z177" i="8" s="1"/>
  <c r="AA177" i="6"/>
  <c r="AA177" i="8" s="1"/>
  <c r="AB177" i="6"/>
  <c r="AB177" i="8" s="1"/>
  <c r="AC177" i="6"/>
  <c r="AC177" i="8" s="1"/>
  <c r="AD177" i="6"/>
  <c r="AD177" i="8" s="1"/>
  <c r="AE177" i="6"/>
  <c r="AE177" i="8" s="1"/>
  <c r="AF177" i="6"/>
  <c r="AF177" i="8" s="1"/>
  <c r="E178" i="6"/>
  <c r="E178" i="8" s="1"/>
  <c r="F178" i="6"/>
  <c r="F178" i="8" s="1"/>
  <c r="G178" i="6"/>
  <c r="G178" i="8" s="1"/>
  <c r="H178" i="6"/>
  <c r="H178" i="8" s="1"/>
  <c r="I178" i="6"/>
  <c r="I178" i="8" s="1"/>
  <c r="J178" i="6"/>
  <c r="J178" i="8" s="1"/>
  <c r="K178" i="6"/>
  <c r="K178" i="8" s="1"/>
  <c r="L178" i="6"/>
  <c r="L178" i="8" s="1"/>
  <c r="M178" i="6"/>
  <c r="M178" i="8" s="1"/>
  <c r="N178" i="6"/>
  <c r="N178" i="8" s="1"/>
  <c r="O178" i="6"/>
  <c r="O178" i="8" s="1"/>
  <c r="P178" i="6"/>
  <c r="P178" i="8" s="1"/>
  <c r="Q178" i="6"/>
  <c r="Q178" i="8" s="1"/>
  <c r="R178" i="6"/>
  <c r="R178" i="8" s="1"/>
  <c r="S178" i="6"/>
  <c r="S178" i="8" s="1"/>
  <c r="T178" i="6"/>
  <c r="T178" i="8" s="1"/>
  <c r="U178" i="6"/>
  <c r="U178" i="8" s="1"/>
  <c r="V178" i="6"/>
  <c r="V178" i="8" s="1"/>
  <c r="W178" i="6"/>
  <c r="W178" i="8" s="1"/>
  <c r="X178" i="6"/>
  <c r="X178" i="8" s="1"/>
  <c r="Y178" i="6"/>
  <c r="Y178" i="8" s="1"/>
  <c r="Z178" i="6"/>
  <c r="Z178" i="8" s="1"/>
  <c r="AA178" i="6"/>
  <c r="AA178" i="8" s="1"/>
  <c r="AB178" i="6"/>
  <c r="AB178" i="8" s="1"/>
  <c r="AC178" i="6"/>
  <c r="AC178" i="8" s="1"/>
  <c r="AD178" i="6"/>
  <c r="AD178" i="8" s="1"/>
  <c r="AE178" i="6"/>
  <c r="AE178" i="8" s="1"/>
  <c r="AF178" i="6"/>
  <c r="AF178" i="8" s="1"/>
  <c r="E179" i="6"/>
  <c r="E179" i="8" s="1"/>
  <c r="F179" i="6"/>
  <c r="F179" i="8" s="1"/>
  <c r="G179" i="6"/>
  <c r="G179" i="8" s="1"/>
  <c r="H179" i="6"/>
  <c r="H179" i="8" s="1"/>
  <c r="I179" i="6"/>
  <c r="I179" i="8" s="1"/>
  <c r="J179" i="6"/>
  <c r="J179" i="8" s="1"/>
  <c r="K179" i="6"/>
  <c r="K179" i="8" s="1"/>
  <c r="L179" i="6"/>
  <c r="L179" i="8" s="1"/>
  <c r="M179" i="6"/>
  <c r="M179" i="8" s="1"/>
  <c r="N179" i="6"/>
  <c r="N179" i="8" s="1"/>
  <c r="O179" i="6"/>
  <c r="O179" i="8" s="1"/>
  <c r="P179" i="6"/>
  <c r="P179" i="8" s="1"/>
  <c r="Q179" i="6"/>
  <c r="Q179" i="8" s="1"/>
  <c r="R179" i="6"/>
  <c r="R179" i="8" s="1"/>
  <c r="S179" i="6"/>
  <c r="S179" i="8" s="1"/>
  <c r="T179" i="6"/>
  <c r="T179" i="8" s="1"/>
  <c r="U179" i="6"/>
  <c r="U179" i="8" s="1"/>
  <c r="V179" i="6"/>
  <c r="V179" i="8" s="1"/>
  <c r="W179" i="6"/>
  <c r="W179" i="8" s="1"/>
  <c r="X179" i="6"/>
  <c r="X179" i="8" s="1"/>
  <c r="Y179" i="6"/>
  <c r="Y179" i="8" s="1"/>
  <c r="Z179" i="6"/>
  <c r="Z179" i="8" s="1"/>
  <c r="AA179" i="6"/>
  <c r="AA179" i="8" s="1"/>
  <c r="AB179" i="6"/>
  <c r="AB179" i="8" s="1"/>
  <c r="AC179" i="6"/>
  <c r="AC179" i="8" s="1"/>
  <c r="AD179" i="6"/>
  <c r="AD179" i="8" s="1"/>
  <c r="AE179" i="6"/>
  <c r="AE179" i="8" s="1"/>
  <c r="AF179" i="6"/>
  <c r="AF179" i="8" s="1"/>
  <c r="E180" i="6"/>
  <c r="E180" i="8" s="1"/>
  <c r="F180" i="6"/>
  <c r="F180" i="8" s="1"/>
  <c r="G180" i="6"/>
  <c r="G180" i="8" s="1"/>
  <c r="H180" i="6"/>
  <c r="H180" i="8" s="1"/>
  <c r="I180" i="6"/>
  <c r="I180" i="8" s="1"/>
  <c r="J180" i="6"/>
  <c r="J180" i="8" s="1"/>
  <c r="K180" i="6"/>
  <c r="K180" i="8" s="1"/>
  <c r="L180" i="6"/>
  <c r="L180" i="8" s="1"/>
  <c r="M180" i="6"/>
  <c r="M180" i="8" s="1"/>
  <c r="N180" i="6"/>
  <c r="N180" i="8" s="1"/>
  <c r="O180" i="6"/>
  <c r="O180" i="8" s="1"/>
  <c r="P180" i="6"/>
  <c r="P180" i="8" s="1"/>
  <c r="Q180" i="6"/>
  <c r="Q180" i="8" s="1"/>
  <c r="R180" i="6"/>
  <c r="R180" i="8" s="1"/>
  <c r="S180" i="6"/>
  <c r="S180" i="8" s="1"/>
  <c r="T180" i="6"/>
  <c r="T180" i="8" s="1"/>
  <c r="U180" i="6"/>
  <c r="U180" i="8" s="1"/>
  <c r="V180" i="6"/>
  <c r="V180" i="8" s="1"/>
  <c r="W180" i="6"/>
  <c r="W180" i="8" s="1"/>
  <c r="X180" i="6"/>
  <c r="X180" i="8" s="1"/>
  <c r="Y180" i="6"/>
  <c r="Y180" i="8" s="1"/>
  <c r="Z180" i="6"/>
  <c r="Z180" i="8" s="1"/>
  <c r="AA180" i="6"/>
  <c r="AA180" i="8" s="1"/>
  <c r="AB180" i="6"/>
  <c r="AB180" i="8" s="1"/>
  <c r="AC180" i="6"/>
  <c r="AC180" i="8" s="1"/>
  <c r="AD180" i="6"/>
  <c r="AD180" i="8" s="1"/>
  <c r="AE180" i="6"/>
  <c r="AE180" i="8" s="1"/>
  <c r="AF180" i="6"/>
  <c r="AF180" i="8" s="1"/>
  <c r="E181" i="6"/>
  <c r="E181" i="8" s="1"/>
  <c r="F181" i="6"/>
  <c r="F181" i="8" s="1"/>
  <c r="G181" i="6"/>
  <c r="G181" i="8" s="1"/>
  <c r="H181" i="6"/>
  <c r="H181" i="8" s="1"/>
  <c r="I181" i="6"/>
  <c r="I181" i="8" s="1"/>
  <c r="J181" i="6"/>
  <c r="J181" i="8" s="1"/>
  <c r="K181" i="6"/>
  <c r="K181" i="8" s="1"/>
  <c r="L181" i="6"/>
  <c r="L181" i="8" s="1"/>
  <c r="M181" i="6"/>
  <c r="M181" i="8" s="1"/>
  <c r="N181" i="6"/>
  <c r="N181" i="8" s="1"/>
  <c r="O181" i="6"/>
  <c r="O181" i="8" s="1"/>
  <c r="P181" i="6"/>
  <c r="P181" i="8" s="1"/>
  <c r="Q181" i="6"/>
  <c r="Q181" i="8" s="1"/>
  <c r="R181" i="6"/>
  <c r="R181" i="8" s="1"/>
  <c r="S181" i="6"/>
  <c r="S181" i="8" s="1"/>
  <c r="T181" i="6"/>
  <c r="T181" i="8" s="1"/>
  <c r="U181" i="6"/>
  <c r="U181" i="8" s="1"/>
  <c r="V181" i="6"/>
  <c r="V181" i="8" s="1"/>
  <c r="W181" i="6"/>
  <c r="W181" i="8" s="1"/>
  <c r="X181" i="6"/>
  <c r="X181" i="8" s="1"/>
  <c r="Y181" i="6"/>
  <c r="Y181" i="8" s="1"/>
  <c r="Z181" i="6"/>
  <c r="Z181" i="8" s="1"/>
  <c r="AA181" i="6"/>
  <c r="AA181" i="8" s="1"/>
  <c r="AB181" i="6"/>
  <c r="AB181" i="8" s="1"/>
  <c r="AC181" i="6"/>
  <c r="AC181" i="8" s="1"/>
  <c r="AD181" i="6"/>
  <c r="AD181" i="8" s="1"/>
  <c r="AE181" i="6"/>
  <c r="AE181" i="8" s="1"/>
  <c r="AF181" i="6"/>
  <c r="AF181" i="8" s="1"/>
  <c r="E182" i="6"/>
  <c r="E182" i="8" s="1"/>
  <c r="F182" i="6"/>
  <c r="F182" i="8" s="1"/>
  <c r="G182" i="6"/>
  <c r="G182" i="8" s="1"/>
  <c r="H182" i="6"/>
  <c r="H182" i="8" s="1"/>
  <c r="I182" i="6"/>
  <c r="I182" i="8" s="1"/>
  <c r="J182" i="6"/>
  <c r="J182" i="8" s="1"/>
  <c r="K182" i="6"/>
  <c r="K182" i="8" s="1"/>
  <c r="L182" i="6"/>
  <c r="L182" i="8" s="1"/>
  <c r="M182" i="6"/>
  <c r="M182" i="8" s="1"/>
  <c r="N182" i="6"/>
  <c r="N182" i="8" s="1"/>
  <c r="O182" i="6"/>
  <c r="O182" i="8" s="1"/>
  <c r="P182" i="6"/>
  <c r="P182" i="8" s="1"/>
  <c r="Q182" i="6"/>
  <c r="Q182" i="8" s="1"/>
  <c r="R182" i="6"/>
  <c r="R182" i="8" s="1"/>
  <c r="S182" i="6"/>
  <c r="S182" i="8" s="1"/>
  <c r="T182" i="6"/>
  <c r="T182" i="8" s="1"/>
  <c r="U182" i="6"/>
  <c r="U182" i="8" s="1"/>
  <c r="V182" i="6"/>
  <c r="V182" i="8" s="1"/>
  <c r="W182" i="6"/>
  <c r="W182" i="8" s="1"/>
  <c r="X182" i="6"/>
  <c r="X182" i="8" s="1"/>
  <c r="Y182" i="6"/>
  <c r="Y182" i="8" s="1"/>
  <c r="Z182" i="6"/>
  <c r="Z182" i="8" s="1"/>
  <c r="AA182" i="6"/>
  <c r="AA182" i="8" s="1"/>
  <c r="AB182" i="6"/>
  <c r="AB182" i="8" s="1"/>
  <c r="AC182" i="6"/>
  <c r="AC182" i="8" s="1"/>
  <c r="AD182" i="6"/>
  <c r="AD182" i="8" s="1"/>
  <c r="AE182" i="6"/>
  <c r="AE182" i="8" s="1"/>
  <c r="AF182" i="6"/>
  <c r="AF182" i="8" s="1"/>
  <c r="E183" i="6"/>
  <c r="E183" i="8" s="1"/>
  <c r="F183" i="6"/>
  <c r="F183" i="8" s="1"/>
  <c r="G183" i="6"/>
  <c r="G183" i="8" s="1"/>
  <c r="H183" i="6"/>
  <c r="H183" i="8" s="1"/>
  <c r="I183" i="6"/>
  <c r="I183" i="8" s="1"/>
  <c r="J183" i="6"/>
  <c r="J183" i="8" s="1"/>
  <c r="K183" i="6"/>
  <c r="K183" i="8" s="1"/>
  <c r="L183" i="6"/>
  <c r="L183" i="8" s="1"/>
  <c r="M183" i="6"/>
  <c r="M183" i="8" s="1"/>
  <c r="N183" i="6"/>
  <c r="N183" i="8" s="1"/>
  <c r="O183" i="6"/>
  <c r="O183" i="8" s="1"/>
  <c r="P183" i="6"/>
  <c r="P183" i="8" s="1"/>
  <c r="Q183" i="6"/>
  <c r="Q183" i="8" s="1"/>
  <c r="R183" i="6"/>
  <c r="R183" i="8" s="1"/>
  <c r="S183" i="6"/>
  <c r="S183" i="8" s="1"/>
  <c r="T183" i="6"/>
  <c r="T183" i="8" s="1"/>
  <c r="U183" i="6"/>
  <c r="U183" i="8" s="1"/>
  <c r="V183" i="6"/>
  <c r="V183" i="8" s="1"/>
  <c r="W183" i="6"/>
  <c r="W183" i="8" s="1"/>
  <c r="X183" i="6"/>
  <c r="X183" i="8" s="1"/>
  <c r="Y183" i="6"/>
  <c r="Y183" i="8" s="1"/>
  <c r="Z183" i="6"/>
  <c r="Z183" i="8" s="1"/>
  <c r="AA183" i="6"/>
  <c r="AA183" i="8" s="1"/>
  <c r="AB183" i="6"/>
  <c r="AB183" i="8" s="1"/>
  <c r="AC183" i="6"/>
  <c r="AC183" i="8" s="1"/>
  <c r="AD183" i="6"/>
  <c r="AD183" i="8" s="1"/>
  <c r="AE183" i="6"/>
  <c r="AE183" i="8" s="1"/>
  <c r="AF183" i="6"/>
  <c r="AF183" i="8" s="1"/>
  <c r="E184" i="6"/>
  <c r="E184" i="8" s="1"/>
  <c r="F184" i="6"/>
  <c r="F184" i="8" s="1"/>
  <c r="G184" i="6"/>
  <c r="G184" i="8" s="1"/>
  <c r="H184" i="6"/>
  <c r="H184" i="8" s="1"/>
  <c r="I184" i="6"/>
  <c r="I184" i="8" s="1"/>
  <c r="J184" i="6"/>
  <c r="J184" i="8" s="1"/>
  <c r="K184" i="6"/>
  <c r="K184" i="8" s="1"/>
  <c r="L184" i="6"/>
  <c r="L184" i="8" s="1"/>
  <c r="M184" i="6"/>
  <c r="M184" i="8" s="1"/>
  <c r="N184" i="6"/>
  <c r="N184" i="8" s="1"/>
  <c r="O184" i="6"/>
  <c r="O184" i="8" s="1"/>
  <c r="P184" i="6"/>
  <c r="P184" i="8" s="1"/>
  <c r="Q184" i="6"/>
  <c r="Q184" i="8" s="1"/>
  <c r="R184" i="6"/>
  <c r="R184" i="8" s="1"/>
  <c r="S184" i="6"/>
  <c r="S184" i="8" s="1"/>
  <c r="T184" i="6"/>
  <c r="T184" i="8" s="1"/>
  <c r="U184" i="6"/>
  <c r="U184" i="8" s="1"/>
  <c r="V184" i="6"/>
  <c r="V184" i="8" s="1"/>
  <c r="W184" i="6"/>
  <c r="W184" i="8" s="1"/>
  <c r="X184" i="6"/>
  <c r="X184" i="8" s="1"/>
  <c r="Y184" i="6"/>
  <c r="Y184" i="8" s="1"/>
  <c r="Z184" i="6"/>
  <c r="Z184" i="8" s="1"/>
  <c r="AA184" i="6"/>
  <c r="AA184" i="8" s="1"/>
  <c r="AB184" i="6"/>
  <c r="AB184" i="8" s="1"/>
  <c r="AC184" i="6"/>
  <c r="AC184" i="8" s="1"/>
  <c r="AD184" i="6"/>
  <c r="AD184" i="8" s="1"/>
  <c r="AE184" i="6"/>
  <c r="AE184" i="8" s="1"/>
  <c r="AF184" i="6"/>
  <c r="AF184" i="8" s="1"/>
  <c r="E185" i="6"/>
  <c r="E185" i="8" s="1"/>
  <c r="F185" i="6"/>
  <c r="F185" i="8" s="1"/>
  <c r="G185" i="6"/>
  <c r="G185" i="8" s="1"/>
  <c r="H185" i="6"/>
  <c r="H185" i="8" s="1"/>
  <c r="I185" i="6"/>
  <c r="I185" i="8" s="1"/>
  <c r="J185" i="6"/>
  <c r="J185" i="8" s="1"/>
  <c r="K185" i="6"/>
  <c r="K185" i="8" s="1"/>
  <c r="L185" i="6"/>
  <c r="L185" i="8" s="1"/>
  <c r="M185" i="6"/>
  <c r="M185" i="8" s="1"/>
  <c r="N185" i="6"/>
  <c r="N185" i="8" s="1"/>
  <c r="O185" i="6"/>
  <c r="O185" i="8" s="1"/>
  <c r="P185" i="6"/>
  <c r="P185" i="8" s="1"/>
  <c r="Q185" i="6"/>
  <c r="Q185" i="8" s="1"/>
  <c r="R185" i="6"/>
  <c r="R185" i="8" s="1"/>
  <c r="S185" i="6"/>
  <c r="S185" i="8" s="1"/>
  <c r="T185" i="6"/>
  <c r="T185" i="8" s="1"/>
  <c r="U185" i="6"/>
  <c r="U185" i="8" s="1"/>
  <c r="V185" i="6"/>
  <c r="V185" i="8" s="1"/>
  <c r="W185" i="6"/>
  <c r="W185" i="8" s="1"/>
  <c r="X185" i="6"/>
  <c r="X185" i="8" s="1"/>
  <c r="Y185" i="6"/>
  <c r="Y185" i="8" s="1"/>
  <c r="Z185" i="6"/>
  <c r="Z185" i="8" s="1"/>
  <c r="AA185" i="6"/>
  <c r="AA185" i="8" s="1"/>
  <c r="AB185" i="6"/>
  <c r="AB185" i="8" s="1"/>
  <c r="AC185" i="6"/>
  <c r="AC185" i="8" s="1"/>
  <c r="AD185" i="6"/>
  <c r="AD185" i="8" s="1"/>
  <c r="AE185" i="6"/>
  <c r="AE185" i="8" s="1"/>
  <c r="AF185" i="6"/>
  <c r="AF185" i="8" s="1"/>
  <c r="E186" i="6"/>
  <c r="E186" i="8" s="1"/>
  <c r="F186" i="6"/>
  <c r="F186" i="8" s="1"/>
  <c r="G186" i="6"/>
  <c r="G186" i="8" s="1"/>
  <c r="H186" i="6"/>
  <c r="H186" i="8" s="1"/>
  <c r="I186" i="6"/>
  <c r="I186" i="8" s="1"/>
  <c r="J186" i="6"/>
  <c r="J186" i="8" s="1"/>
  <c r="K186" i="6"/>
  <c r="K186" i="8" s="1"/>
  <c r="L186" i="6"/>
  <c r="L186" i="8" s="1"/>
  <c r="M186" i="6"/>
  <c r="M186" i="8" s="1"/>
  <c r="N186" i="6"/>
  <c r="N186" i="8" s="1"/>
  <c r="O186" i="6"/>
  <c r="O186" i="8" s="1"/>
  <c r="P186" i="6"/>
  <c r="P186" i="8" s="1"/>
  <c r="Q186" i="6"/>
  <c r="Q186" i="8" s="1"/>
  <c r="R186" i="6"/>
  <c r="R186" i="8" s="1"/>
  <c r="S186" i="6"/>
  <c r="S186" i="8" s="1"/>
  <c r="T186" i="6"/>
  <c r="T186" i="8" s="1"/>
  <c r="U186" i="6"/>
  <c r="U186" i="8" s="1"/>
  <c r="V186" i="6"/>
  <c r="V186" i="8" s="1"/>
  <c r="W186" i="6"/>
  <c r="W186" i="8" s="1"/>
  <c r="X186" i="6"/>
  <c r="X186" i="8" s="1"/>
  <c r="Y186" i="6"/>
  <c r="Y186" i="8" s="1"/>
  <c r="Z186" i="6"/>
  <c r="Z186" i="8" s="1"/>
  <c r="AA186" i="6"/>
  <c r="AA186" i="8" s="1"/>
  <c r="AB186" i="6"/>
  <c r="AB186" i="8" s="1"/>
  <c r="AC186" i="6"/>
  <c r="AC186" i="8" s="1"/>
  <c r="AD186" i="6"/>
  <c r="AD186" i="8" s="1"/>
  <c r="AE186" i="6"/>
  <c r="AE186" i="8" s="1"/>
  <c r="AF186" i="6"/>
  <c r="AF186" i="8" s="1"/>
  <c r="E187" i="6"/>
  <c r="E187" i="8" s="1"/>
  <c r="F187" i="6"/>
  <c r="F187" i="8" s="1"/>
  <c r="G187" i="6"/>
  <c r="G187" i="8" s="1"/>
  <c r="H187" i="6"/>
  <c r="H187" i="8" s="1"/>
  <c r="I187" i="6"/>
  <c r="I187" i="8" s="1"/>
  <c r="J187" i="6"/>
  <c r="J187" i="8" s="1"/>
  <c r="K187" i="6"/>
  <c r="K187" i="8" s="1"/>
  <c r="L187" i="6"/>
  <c r="L187" i="8" s="1"/>
  <c r="M187" i="6"/>
  <c r="M187" i="8" s="1"/>
  <c r="N187" i="6"/>
  <c r="N187" i="8" s="1"/>
  <c r="O187" i="6"/>
  <c r="O187" i="8" s="1"/>
  <c r="P187" i="6"/>
  <c r="P187" i="8" s="1"/>
  <c r="Q187" i="6"/>
  <c r="Q187" i="8" s="1"/>
  <c r="R187" i="6"/>
  <c r="R187" i="8" s="1"/>
  <c r="S187" i="6"/>
  <c r="S187" i="8" s="1"/>
  <c r="T187" i="6"/>
  <c r="T187" i="8" s="1"/>
  <c r="U187" i="6"/>
  <c r="U187" i="8" s="1"/>
  <c r="V187" i="6"/>
  <c r="V187" i="8" s="1"/>
  <c r="W187" i="6"/>
  <c r="W187" i="8" s="1"/>
  <c r="X187" i="6"/>
  <c r="X187" i="8" s="1"/>
  <c r="Y187" i="6"/>
  <c r="Y187" i="8" s="1"/>
  <c r="Z187" i="6"/>
  <c r="Z187" i="8" s="1"/>
  <c r="AA187" i="6"/>
  <c r="AA187" i="8" s="1"/>
  <c r="AB187" i="6"/>
  <c r="AB187" i="8" s="1"/>
  <c r="AC187" i="6"/>
  <c r="AC187" i="8" s="1"/>
  <c r="AD187" i="6"/>
  <c r="AD187" i="8" s="1"/>
  <c r="AE187" i="6"/>
  <c r="AE187" i="8" s="1"/>
  <c r="AF187" i="6"/>
  <c r="AF187" i="8" s="1"/>
  <c r="E188" i="6"/>
  <c r="E188" i="8" s="1"/>
  <c r="F188" i="6"/>
  <c r="F188" i="8" s="1"/>
  <c r="G188" i="6"/>
  <c r="G188" i="8" s="1"/>
  <c r="H188" i="6"/>
  <c r="H188" i="8" s="1"/>
  <c r="I188" i="6"/>
  <c r="I188" i="8" s="1"/>
  <c r="J188" i="6"/>
  <c r="J188" i="8" s="1"/>
  <c r="K188" i="6"/>
  <c r="K188" i="8" s="1"/>
  <c r="L188" i="6"/>
  <c r="L188" i="8" s="1"/>
  <c r="M188" i="6"/>
  <c r="M188" i="8" s="1"/>
  <c r="N188" i="6"/>
  <c r="N188" i="8" s="1"/>
  <c r="O188" i="6"/>
  <c r="O188" i="8" s="1"/>
  <c r="P188" i="6"/>
  <c r="P188" i="8" s="1"/>
  <c r="Q188" i="6"/>
  <c r="Q188" i="8" s="1"/>
  <c r="R188" i="6"/>
  <c r="R188" i="8" s="1"/>
  <c r="S188" i="6"/>
  <c r="S188" i="8" s="1"/>
  <c r="T188" i="6"/>
  <c r="T188" i="8" s="1"/>
  <c r="U188" i="6"/>
  <c r="U188" i="8" s="1"/>
  <c r="V188" i="6"/>
  <c r="V188" i="8" s="1"/>
  <c r="W188" i="6"/>
  <c r="W188" i="8" s="1"/>
  <c r="X188" i="6"/>
  <c r="X188" i="8" s="1"/>
  <c r="Y188" i="6"/>
  <c r="Y188" i="8" s="1"/>
  <c r="Z188" i="6"/>
  <c r="Z188" i="8" s="1"/>
  <c r="AA188" i="6"/>
  <c r="AA188" i="8" s="1"/>
  <c r="AB188" i="6"/>
  <c r="AB188" i="8" s="1"/>
  <c r="AC188" i="6"/>
  <c r="AC188" i="8" s="1"/>
  <c r="AD188" i="6"/>
  <c r="AD188" i="8" s="1"/>
  <c r="AE188" i="6"/>
  <c r="AE188" i="8" s="1"/>
  <c r="AF188" i="6"/>
  <c r="AF188" i="8" s="1"/>
  <c r="E189" i="6"/>
  <c r="E189" i="8" s="1"/>
  <c r="F189" i="6"/>
  <c r="F189" i="8" s="1"/>
  <c r="G189" i="6"/>
  <c r="G189" i="8" s="1"/>
  <c r="H189" i="6"/>
  <c r="H189" i="8" s="1"/>
  <c r="I189" i="6"/>
  <c r="I189" i="8" s="1"/>
  <c r="J189" i="6"/>
  <c r="J189" i="8" s="1"/>
  <c r="K189" i="6"/>
  <c r="K189" i="8" s="1"/>
  <c r="L189" i="6"/>
  <c r="L189" i="8" s="1"/>
  <c r="M189" i="6"/>
  <c r="M189" i="8" s="1"/>
  <c r="N189" i="6"/>
  <c r="N189" i="8" s="1"/>
  <c r="O189" i="6"/>
  <c r="O189" i="8" s="1"/>
  <c r="P189" i="6"/>
  <c r="P189" i="8" s="1"/>
  <c r="Q189" i="6"/>
  <c r="Q189" i="8" s="1"/>
  <c r="R189" i="6"/>
  <c r="R189" i="8" s="1"/>
  <c r="S189" i="6"/>
  <c r="S189" i="8" s="1"/>
  <c r="T189" i="6"/>
  <c r="T189" i="8" s="1"/>
  <c r="U189" i="6"/>
  <c r="U189" i="8" s="1"/>
  <c r="V189" i="6"/>
  <c r="V189" i="8" s="1"/>
  <c r="W189" i="6"/>
  <c r="W189" i="8" s="1"/>
  <c r="X189" i="6"/>
  <c r="X189" i="8" s="1"/>
  <c r="Y189" i="6"/>
  <c r="Y189" i="8" s="1"/>
  <c r="Z189" i="6"/>
  <c r="Z189" i="8" s="1"/>
  <c r="AA189" i="6"/>
  <c r="AA189" i="8" s="1"/>
  <c r="AB189" i="6"/>
  <c r="AB189" i="8" s="1"/>
  <c r="AC189" i="6"/>
  <c r="AC189" i="8" s="1"/>
  <c r="AD189" i="6"/>
  <c r="AD189" i="8" s="1"/>
  <c r="AE189" i="6"/>
  <c r="AE189" i="8" s="1"/>
  <c r="AF189" i="6"/>
  <c r="AF189" i="8" s="1"/>
  <c r="E190" i="6"/>
  <c r="E190" i="8" s="1"/>
  <c r="F190" i="6"/>
  <c r="F190" i="8" s="1"/>
  <c r="G190" i="6"/>
  <c r="G190" i="8" s="1"/>
  <c r="H190" i="6"/>
  <c r="H190" i="8" s="1"/>
  <c r="I190" i="6"/>
  <c r="I190" i="8" s="1"/>
  <c r="J190" i="6"/>
  <c r="J190" i="8" s="1"/>
  <c r="K190" i="6"/>
  <c r="K190" i="8" s="1"/>
  <c r="L190" i="6"/>
  <c r="L190" i="8" s="1"/>
  <c r="M190" i="6"/>
  <c r="M190" i="8" s="1"/>
  <c r="N190" i="6"/>
  <c r="N190" i="8" s="1"/>
  <c r="O190" i="6"/>
  <c r="O190" i="8" s="1"/>
  <c r="P190" i="6"/>
  <c r="P190" i="8" s="1"/>
  <c r="Q190" i="6"/>
  <c r="Q190" i="8" s="1"/>
  <c r="R190" i="6"/>
  <c r="R190" i="8" s="1"/>
  <c r="S190" i="6"/>
  <c r="S190" i="8" s="1"/>
  <c r="T190" i="6"/>
  <c r="T190" i="8" s="1"/>
  <c r="U190" i="6"/>
  <c r="U190" i="8" s="1"/>
  <c r="V190" i="6"/>
  <c r="V190" i="8" s="1"/>
  <c r="W190" i="6"/>
  <c r="W190" i="8" s="1"/>
  <c r="X190" i="6"/>
  <c r="X190" i="8" s="1"/>
  <c r="Y190" i="6"/>
  <c r="Y190" i="8" s="1"/>
  <c r="Z190" i="6"/>
  <c r="Z190" i="8" s="1"/>
  <c r="AA190" i="6"/>
  <c r="AA190" i="8" s="1"/>
  <c r="AB190" i="6"/>
  <c r="AB190" i="8" s="1"/>
  <c r="AC190" i="6"/>
  <c r="AC190" i="8" s="1"/>
  <c r="AD190" i="6"/>
  <c r="AD190" i="8" s="1"/>
  <c r="AE190" i="6"/>
  <c r="AE190" i="8" s="1"/>
  <c r="AF190" i="6"/>
  <c r="AF190" i="8" s="1"/>
  <c r="E191" i="6"/>
  <c r="E191" i="8" s="1"/>
  <c r="F191" i="6"/>
  <c r="F191" i="8" s="1"/>
  <c r="G191" i="6"/>
  <c r="G191" i="8" s="1"/>
  <c r="H191" i="6"/>
  <c r="H191" i="8" s="1"/>
  <c r="I191" i="6"/>
  <c r="I191" i="8" s="1"/>
  <c r="J191" i="6"/>
  <c r="J191" i="8" s="1"/>
  <c r="K191" i="6"/>
  <c r="K191" i="8" s="1"/>
  <c r="L191" i="6"/>
  <c r="L191" i="8" s="1"/>
  <c r="M191" i="6"/>
  <c r="M191" i="8" s="1"/>
  <c r="N191" i="6"/>
  <c r="N191" i="8" s="1"/>
  <c r="O191" i="6"/>
  <c r="O191" i="8" s="1"/>
  <c r="P191" i="6"/>
  <c r="P191" i="8" s="1"/>
  <c r="Q191" i="6"/>
  <c r="Q191" i="8" s="1"/>
  <c r="R191" i="6"/>
  <c r="R191" i="8" s="1"/>
  <c r="S191" i="6"/>
  <c r="S191" i="8" s="1"/>
  <c r="T191" i="6"/>
  <c r="T191" i="8" s="1"/>
  <c r="U191" i="6"/>
  <c r="U191" i="8" s="1"/>
  <c r="V191" i="6"/>
  <c r="V191" i="8" s="1"/>
  <c r="W191" i="6"/>
  <c r="W191" i="8" s="1"/>
  <c r="X191" i="6"/>
  <c r="X191" i="8" s="1"/>
  <c r="Y191" i="6"/>
  <c r="Y191" i="8" s="1"/>
  <c r="Z191" i="6"/>
  <c r="Z191" i="8" s="1"/>
  <c r="AA191" i="6"/>
  <c r="AA191" i="8" s="1"/>
  <c r="AB191" i="6"/>
  <c r="AB191" i="8" s="1"/>
  <c r="AC191" i="6"/>
  <c r="AC191" i="8" s="1"/>
  <c r="AD191" i="6"/>
  <c r="AD191" i="8" s="1"/>
  <c r="AE191" i="6"/>
  <c r="AE191" i="8" s="1"/>
  <c r="AF191" i="6"/>
  <c r="AF191" i="8" s="1"/>
  <c r="E192" i="6"/>
  <c r="E192" i="8" s="1"/>
  <c r="F192" i="6"/>
  <c r="F192" i="8" s="1"/>
  <c r="G192" i="6"/>
  <c r="G192" i="8" s="1"/>
  <c r="H192" i="6"/>
  <c r="H192" i="8" s="1"/>
  <c r="I192" i="6"/>
  <c r="I192" i="8" s="1"/>
  <c r="J192" i="6"/>
  <c r="J192" i="8" s="1"/>
  <c r="K192" i="6"/>
  <c r="K192" i="8" s="1"/>
  <c r="L192" i="6"/>
  <c r="L192" i="8" s="1"/>
  <c r="M192" i="6"/>
  <c r="M192" i="8" s="1"/>
  <c r="N192" i="6"/>
  <c r="N192" i="8" s="1"/>
  <c r="O192" i="6"/>
  <c r="O192" i="8" s="1"/>
  <c r="P192" i="6"/>
  <c r="P192" i="8" s="1"/>
  <c r="Q192" i="6"/>
  <c r="Q192" i="8" s="1"/>
  <c r="R192" i="6"/>
  <c r="R192" i="8" s="1"/>
  <c r="S192" i="6"/>
  <c r="S192" i="8" s="1"/>
  <c r="T192" i="6"/>
  <c r="T192" i="8" s="1"/>
  <c r="U192" i="6"/>
  <c r="U192" i="8" s="1"/>
  <c r="V192" i="6"/>
  <c r="V192" i="8" s="1"/>
  <c r="W192" i="6"/>
  <c r="W192" i="8" s="1"/>
  <c r="X192" i="6"/>
  <c r="X192" i="8" s="1"/>
  <c r="Y192" i="6"/>
  <c r="Y192" i="8" s="1"/>
  <c r="Z192" i="6"/>
  <c r="Z192" i="8" s="1"/>
  <c r="AA192" i="6"/>
  <c r="AA192" i="8" s="1"/>
  <c r="AB192" i="6"/>
  <c r="AB192" i="8" s="1"/>
  <c r="AC192" i="6"/>
  <c r="AC192" i="8" s="1"/>
  <c r="AD192" i="6"/>
  <c r="AD192" i="8" s="1"/>
  <c r="AE192" i="6"/>
  <c r="AE192" i="8" s="1"/>
  <c r="AF192" i="6"/>
  <c r="AF192" i="8" s="1"/>
  <c r="E193" i="6"/>
  <c r="E193" i="8" s="1"/>
  <c r="F193" i="6"/>
  <c r="F193" i="8" s="1"/>
  <c r="G193" i="6"/>
  <c r="G193" i="8" s="1"/>
  <c r="H193" i="6"/>
  <c r="H193" i="8" s="1"/>
  <c r="I193" i="6"/>
  <c r="I193" i="8" s="1"/>
  <c r="J193" i="6"/>
  <c r="J193" i="8" s="1"/>
  <c r="K193" i="6"/>
  <c r="K193" i="8" s="1"/>
  <c r="L193" i="6"/>
  <c r="L193" i="8" s="1"/>
  <c r="M193" i="6"/>
  <c r="M193" i="8" s="1"/>
  <c r="N193" i="6"/>
  <c r="N193" i="8" s="1"/>
  <c r="O193" i="6"/>
  <c r="O193" i="8" s="1"/>
  <c r="P193" i="6"/>
  <c r="P193" i="8" s="1"/>
  <c r="Q193" i="6"/>
  <c r="Q193" i="8" s="1"/>
  <c r="R193" i="6"/>
  <c r="R193" i="8" s="1"/>
  <c r="S193" i="6"/>
  <c r="S193" i="8" s="1"/>
  <c r="T193" i="6"/>
  <c r="T193" i="8" s="1"/>
  <c r="U193" i="6"/>
  <c r="U193" i="8" s="1"/>
  <c r="V193" i="6"/>
  <c r="V193" i="8" s="1"/>
  <c r="W193" i="6"/>
  <c r="W193" i="8" s="1"/>
  <c r="X193" i="6"/>
  <c r="X193" i="8" s="1"/>
  <c r="Y193" i="6"/>
  <c r="Y193" i="8" s="1"/>
  <c r="Z193" i="6"/>
  <c r="Z193" i="8" s="1"/>
  <c r="AA193" i="6"/>
  <c r="AA193" i="8" s="1"/>
  <c r="AB193" i="6"/>
  <c r="AB193" i="8" s="1"/>
  <c r="AC193" i="6"/>
  <c r="AC193" i="8" s="1"/>
  <c r="AD193" i="6"/>
  <c r="AD193" i="8" s="1"/>
  <c r="AE193" i="6"/>
  <c r="AE193" i="8" s="1"/>
  <c r="AF193" i="6"/>
  <c r="AF193" i="8" s="1"/>
  <c r="E194" i="6"/>
  <c r="E194" i="8" s="1"/>
  <c r="F194" i="6"/>
  <c r="F194" i="8" s="1"/>
  <c r="G194" i="6"/>
  <c r="G194" i="8" s="1"/>
  <c r="H194" i="6"/>
  <c r="H194" i="8" s="1"/>
  <c r="I194" i="6"/>
  <c r="I194" i="8" s="1"/>
  <c r="J194" i="6"/>
  <c r="J194" i="8" s="1"/>
  <c r="K194" i="6"/>
  <c r="K194" i="8" s="1"/>
  <c r="L194" i="6"/>
  <c r="L194" i="8" s="1"/>
  <c r="M194" i="6"/>
  <c r="M194" i="8" s="1"/>
  <c r="N194" i="6"/>
  <c r="N194" i="8" s="1"/>
  <c r="O194" i="6"/>
  <c r="O194" i="8" s="1"/>
  <c r="P194" i="6"/>
  <c r="P194" i="8" s="1"/>
  <c r="Q194" i="6"/>
  <c r="Q194" i="8" s="1"/>
  <c r="R194" i="6"/>
  <c r="R194" i="8" s="1"/>
  <c r="S194" i="6"/>
  <c r="S194" i="8" s="1"/>
  <c r="T194" i="6"/>
  <c r="T194" i="8" s="1"/>
  <c r="U194" i="6"/>
  <c r="U194" i="8" s="1"/>
  <c r="V194" i="6"/>
  <c r="V194" i="8" s="1"/>
  <c r="W194" i="6"/>
  <c r="W194" i="8" s="1"/>
  <c r="X194" i="6"/>
  <c r="X194" i="8" s="1"/>
  <c r="Y194" i="6"/>
  <c r="Y194" i="8" s="1"/>
  <c r="Z194" i="6"/>
  <c r="Z194" i="8" s="1"/>
  <c r="AA194" i="6"/>
  <c r="AA194" i="8" s="1"/>
  <c r="AB194" i="6"/>
  <c r="AB194" i="8" s="1"/>
  <c r="AC194" i="6"/>
  <c r="AC194" i="8" s="1"/>
  <c r="AD194" i="6"/>
  <c r="AD194" i="8" s="1"/>
  <c r="AE194" i="6"/>
  <c r="AE194" i="8" s="1"/>
  <c r="AF194" i="6"/>
  <c r="AF194" i="8" s="1"/>
  <c r="E195" i="6"/>
  <c r="E195" i="8" s="1"/>
  <c r="F195" i="6"/>
  <c r="F195" i="8" s="1"/>
  <c r="G195" i="6"/>
  <c r="G195" i="8" s="1"/>
  <c r="H195" i="6"/>
  <c r="H195" i="8" s="1"/>
  <c r="I195" i="6"/>
  <c r="I195" i="8" s="1"/>
  <c r="J195" i="6"/>
  <c r="J195" i="8" s="1"/>
  <c r="K195" i="6"/>
  <c r="K195" i="8" s="1"/>
  <c r="L195" i="6"/>
  <c r="L195" i="8" s="1"/>
  <c r="M195" i="6"/>
  <c r="M195" i="8" s="1"/>
  <c r="N195" i="6"/>
  <c r="N195" i="8" s="1"/>
  <c r="O195" i="6"/>
  <c r="O195" i="8" s="1"/>
  <c r="P195" i="6"/>
  <c r="P195" i="8" s="1"/>
  <c r="Q195" i="6"/>
  <c r="Q195" i="8" s="1"/>
  <c r="R195" i="6"/>
  <c r="R195" i="8" s="1"/>
  <c r="S195" i="6"/>
  <c r="S195" i="8" s="1"/>
  <c r="T195" i="6"/>
  <c r="T195" i="8" s="1"/>
  <c r="U195" i="6"/>
  <c r="U195" i="8" s="1"/>
  <c r="V195" i="6"/>
  <c r="V195" i="8" s="1"/>
  <c r="W195" i="6"/>
  <c r="W195" i="8" s="1"/>
  <c r="X195" i="6"/>
  <c r="X195" i="8" s="1"/>
  <c r="Y195" i="6"/>
  <c r="Y195" i="8" s="1"/>
  <c r="Z195" i="6"/>
  <c r="Z195" i="8" s="1"/>
  <c r="AA195" i="6"/>
  <c r="AA195" i="8" s="1"/>
  <c r="AB195" i="6"/>
  <c r="AB195" i="8" s="1"/>
  <c r="AC195" i="6"/>
  <c r="AC195" i="8" s="1"/>
  <c r="AD195" i="6"/>
  <c r="AD195" i="8" s="1"/>
  <c r="AE195" i="6"/>
  <c r="AE195" i="8" s="1"/>
  <c r="AF195" i="6"/>
  <c r="AF195" i="8" s="1"/>
  <c r="E196" i="6"/>
  <c r="E196" i="8" s="1"/>
  <c r="F196" i="6"/>
  <c r="F196" i="8" s="1"/>
  <c r="G196" i="6"/>
  <c r="G196" i="8" s="1"/>
  <c r="H196" i="6"/>
  <c r="H196" i="8" s="1"/>
  <c r="I196" i="6"/>
  <c r="I196" i="8" s="1"/>
  <c r="J196" i="6"/>
  <c r="J196" i="8" s="1"/>
  <c r="K196" i="6"/>
  <c r="K196" i="8" s="1"/>
  <c r="L196" i="6"/>
  <c r="L196" i="8" s="1"/>
  <c r="M196" i="6"/>
  <c r="M196" i="8" s="1"/>
  <c r="N196" i="6"/>
  <c r="N196" i="8" s="1"/>
  <c r="O196" i="6"/>
  <c r="O196" i="8" s="1"/>
  <c r="P196" i="6"/>
  <c r="P196" i="8" s="1"/>
  <c r="Q196" i="6"/>
  <c r="Q196" i="8" s="1"/>
  <c r="R196" i="6"/>
  <c r="R196" i="8" s="1"/>
  <c r="S196" i="6"/>
  <c r="S196" i="8" s="1"/>
  <c r="T196" i="6"/>
  <c r="T196" i="8" s="1"/>
  <c r="U196" i="6"/>
  <c r="U196" i="8" s="1"/>
  <c r="V196" i="6"/>
  <c r="V196" i="8" s="1"/>
  <c r="W196" i="6"/>
  <c r="W196" i="8" s="1"/>
  <c r="X196" i="6"/>
  <c r="X196" i="8" s="1"/>
  <c r="Y196" i="6"/>
  <c r="Y196" i="8" s="1"/>
  <c r="Z196" i="6"/>
  <c r="Z196" i="8" s="1"/>
  <c r="AA196" i="6"/>
  <c r="AA196" i="8" s="1"/>
  <c r="AB196" i="6"/>
  <c r="AB196" i="8" s="1"/>
  <c r="AC196" i="6"/>
  <c r="AC196" i="8" s="1"/>
  <c r="AD196" i="6"/>
  <c r="AD196" i="8" s="1"/>
  <c r="AE196" i="6"/>
  <c r="AE196" i="8" s="1"/>
  <c r="AF196" i="6"/>
  <c r="AF196" i="8" s="1"/>
  <c r="E197" i="6"/>
  <c r="E197" i="8" s="1"/>
  <c r="F197" i="6"/>
  <c r="F197" i="8" s="1"/>
  <c r="G197" i="6"/>
  <c r="G197" i="8" s="1"/>
  <c r="H197" i="6"/>
  <c r="H197" i="8" s="1"/>
  <c r="I197" i="6"/>
  <c r="I197" i="8" s="1"/>
  <c r="J197" i="6"/>
  <c r="J197" i="8" s="1"/>
  <c r="K197" i="6"/>
  <c r="K197" i="8" s="1"/>
  <c r="L197" i="6"/>
  <c r="L197" i="8" s="1"/>
  <c r="M197" i="6"/>
  <c r="M197" i="8" s="1"/>
  <c r="N197" i="6"/>
  <c r="N197" i="8" s="1"/>
  <c r="O197" i="6"/>
  <c r="O197" i="8" s="1"/>
  <c r="P197" i="6"/>
  <c r="P197" i="8" s="1"/>
  <c r="Q197" i="6"/>
  <c r="Q197" i="8" s="1"/>
  <c r="R197" i="6"/>
  <c r="R197" i="8" s="1"/>
  <c r="S197" i="6"/>
  <c r="S197" i="8" s="1"/>
  <c r="T197" i="6"/>
  <c r="T197" i="8" s="1"/>
  <c r="U197" i="6"/>
  <c r="U197" i="8" s="1"/>
  <c r="V197" i="6"/>
  <c r="V197" i="8" s="1"/>
  <c r="W197" i="6"/>
  <c r="W197" i="8" s="1"/>
  <c r="X197" i="6"/>
  <c r="X197" i="8" s="1"/>
  <c r="Y197" i="6"/>
  <c r="Y197" i="8" s="1"/>
  <c r="Z197" i="6"/>
  <c r="Z197" i="8" s="1"/>
  <c r="AA197" i="6"/>
  <c r="AA197" i="8" s="1"/>
  <c r="AB197" i="6"/>
  <c r="AB197" i="8" s="1"/>
  <c r="AC197" i="6"/>
  <c r="AC197" i="8" s="1"/>
  <c r="AD197" i="6"/>
  <c r="AD197" i="8" s="1"/>
  <c r="AE197" i="6"/>
  <c r="AE197" i="8" s="1"/>
  <c r="AF197" i="6"/>
  <c r="AF197" i="8" s="1"/>
  <c r="E198" i="6"/>
  <c r="E198" i="8" s="1"/>
  <c r="F198" i="6"/>
  <c r="F198" i="8" s="1"/>
  <c r="G198" i="6"/>
  <c r="G198" i="8" s="1"/>
  <c r="H198" i="6"/>
  <c r="H198" i="8" s="1"/>
  <c r="I198" i="6"/>
  <c r="I198" i="8" s="1"/>
  <c r="J198" i="6"/>
  <c r="J198" i="8" s="1"/>
  <c r="K198" i="6"/>
  <c r="K198" i="8" s="1"/>
  <c r="L198" i="6"/>
  <c r="L198" i="8" s="1"/>
  <c r="M198" i="6"/>
  <c r="M198" i="8" s="1"/>
  <c r="N198" i="6"/>
  <c r="N198" i="8" s="1"/>
  <c r="O198" i="6"/>
  <c r="O198" i="8" s="1"/>
  <c r="P198" i="6"/>
  <c r="P198" i="8" s="1"/>
  <c r="Q198" i="6"/>
  <c r="Q198" i="8" s="1"/>
  <c r="R198" i="6"/>
  <c r="R198" i="8" s="1"/>
  <c r="S198" i="6"/>
  <c r="S198" i="8" s="1"/>
  <c r="T198" i="6"/>
  <c r="T198" i="8" s="1"/>
  <c r="U198" i="6"/>
  <c r="U198" i="8" s="1"/>
  <c r="V198" i="6"/>
  <c r="V198" i="8" s="1"/>
  <c r="W198" i="6"/>
  <c r="W198" i="8" s="1"/>
  <c r="X198" i="6"/>
  <c r="X198" i="8" s="1"/>
  <c r="Y198" i="6"/>
  <c r="Y198" i="8" s="1"/>
  <c r="Z198" i="6"/>
  <c r="Z198" i="8" s="1"/>
  <c r="AA198" i="6"/>
  <c r="AA198" i="8" s="1"/>
  <c r="AB198" i="6"/>
  <c r="AB198" i="8" s="1"/>
  <c r="AC198" i="6"/>
  <c r="AC198" i="8" s="1"/>
  <c r="AD198" i="6"/>
  <c r="AD198" i="8" s="1"/>
  <c r="AE198" i="6"/>
  <c r="AE198" i="8" s="1"/>
  <c r="AF198" i="6"/>
  <c r="AF198" i="8" s="1"/>
  <c r="E199" i="6"/>
  <c r="E199" i="8" s="1"/>
  <c r="F199" i="6"/>
  <c r="F199" i="8" s="1"/>
  <c r="G199" i="6"/>
  <c r="G199" i="8" s="1"/>
  <c r="H199" i="6"/>
  <c r="H199" i="8" s="1"/>
  <c r="I199" i="6"/>
  <c r="I199" i="8" s="1"/>
  <c r="J199" i="6"/>
  <c r="J199" i="8" s="1"/>
  <c r="K199" i="6"/>
  <c r="K199" i="8" s="1"/>
  <c r="L199" i="6"/>
  <c r="L199" i="8" s="1"/>
  <c r="M199" i="6"/>
  <c r="M199" i="8" s="1"/>
  <c r="N199" i="6"/>
  <c r="N199" i="8" s="1"/>
  <c r="O199" i="6"/>
  <c r="O199" i="8" s="1"/>
  <c r="P199" i="6"/>
  <c r="P199" i="8" s="1"/>
  <c r="Q199" i="6"/>
  <c r="Q199" i="8" s="1"/>
  <c r="R199" i="6"/>
  <c r="R199" i="8" s="1"/>
  <c r="S199" i="6"/>
  <c r="S199" i="8" s="1"/>
  <c r="T199" i="6"/>
  <c r="T199" i="8" s="1"/>
  <c r="U199" i="6"/>
  <c r="U199" i="8" s="1"/>
  <c r="V199" i="6"/>
  <c r="V199" i="8" s="1"/>
  <c r="W199" i="6"/>
  <c r="W199" i="8" s="1"/>
  <c r="X199" i="6"/>
  <c r="X199" i="8" s="1"/>
  <c r="Y199" i="6"/>
  <c r="Y199" i="8" s="1"/>
  <c r="Z199" i="6"/>
  <c r="Z199" i="8" s="1"/>
  <c r="AA199" i="6"/>
  <c r="AA199" i="8" s="1"/>
  <c r="AB199" i="6"/>
  <c r="AB199" i="8" s="1"/>
  <c r="AC199" i="6"/>
  <c r="AC199" i="8" s="1"/>
  <c r="AD199" i="6"/>
  <c r="AD199" i="8" s="1"/>
  <c r="AE199" i="6"/>
  <c r="AE199" i="8" s="1"/>
  <c r="AF199" i="6"/>
  <c r="AF199" i="8" s="1"/>
  <c r="E200" i="6"/>
  <c r="E200" i="8" s="1"/>
  <c r="F200" i="6"/>
  <c r="F200" i="8" s="1"/>
  <c r="G200" i="6"/>
  <c r="G200" i="8" s="1"/>
  <c r="H200" i="6"/>
  <c r="H200" i="8" s="1"/>
  <c r="I200" i="6"/>
  <c r="I200" i="8" s="1"/>
  <c r="J200" i="6"/>
  <c r="J200" i="8" s="1"/>
  <c r="K200" i="6"/>
  <c r="K200" i="8" s="1"/>
  <c r="L200" i="6"/>
  <c r="L200" i="8" s="1"/>
  <c r="M200" i="6"/>
  <c r="M200" i="8" s="1"/>
  <c r="N200" i="6"/>
  <c r="N200" i="8" s="1"/>
  <c r="O200" i="6"/>
  <c r="O200" i="8" s="1"/>
  <c r="P200" i="6"/>
  <c r="P200" i="8" s="1"/>
  <c r="Q200" i="6"/>
  <c r="Q200" i="8" s="1"/>
  <c r="R200" i="6"/>
  <c r="R200" i="8" s="1"/>
  <c r="S200" i="6"/>
  <c r="S200" i="8" s="1"/>
  <c r="T200" i="6"/>
  <c r="T200" i="8" s="1"/>
  <c r="U200" i="6"/>
  <c r="U200" i="8" s="1"/>
  <c r="V200" i="6"/>
  <c r="V200" i="8" s="1"/>
  <c r="W200" i="6"/>
  <c r="W200" i="8" s="1"/>
  <c r="X200" i="6"/>
  <c r="X200" i="8" s="1"/>
  <c r="Y200" i="6"/>
  <c r="Y200" i="8" s="1"/>
  <c r="Z200" i="6"/>
  <c r="Z200" i="8" s="1"/>
  <c r="AA200" i="6"/>
  <c r="AA200" i="8" s="1"/>
  <c r="AB200" i="6"/>
  <c r="AB200" i="8" s="1"/>
  <c r="AC200" i="6"/>
  <c r="AC200" i="8" s="1"/>
  <c r="AD200" i="6"/>
  <c r="AD200" i="8" s="1"/>
  <c r="AE200" i="6"/>
  <c r="AE200" i="8" s="1"/>
  <c r="AF200" i="6"/>
  <c r="AF200" i="8" s="1"/>
  <c r="E201" i="6"/>
  <c r="E201" i="8" s="1"/>
  <c r="F201" i="6"/>
  <c r="F201" i="8" s="1"/>
  <c r="G201" i="6"/>
  <c r="G201" i="8" s="1"/>
  <c r="H201" i="6"/>
  <c r="H201" i="8" s="1"/>
  <c r="I201" i="6"/>
  <c r="I201" i="8" s="1"/>
  <c r="J201" i="6"/>
  <c r="J201" i="8" s="1"/>
  <c r="K201" i="6"/>
  <c r="K201" i="8" s="1"/>
  <c r="L201" i="6"/>
  <c r="L201" i="8" s="1"/>
  <c r="M201" i="6"/>
  <c r="M201" i="8" s="1"/>
  <c r="N201" i="6"/>
  <c r="N201" i="8" s="1"/>
  <c r="O201" i="6"/>
  <c r="O201" i="8" s="1"/>
  <c r="P201" i="6"/>
  <c r="P201" i="8" s="1"/>
  <c r="Q201" i="6"/>
  <c r="Q201" i="8" s="1"/>
  <c r="R201" i="6"/>
  <c r="R201" i="8" s="1"/>
  <c r="S201" i="6"/>
  <c r="S201" i="8" s="1"/>
  <c r="T201" i="6"/>
  <c r="T201" i="8" s="1"/>
  <c r="U201" i="6"/>
  <c r="U201" i="8" s="1"/>
  <c r="V201" i="6"/>
  <c r="V201" i="8" s="1"/>
  <c r="W201" i="6"/>
  <c r="W201" i="8" s="1"/>
  <c r="X201" i="6"/>
  <c r="X201" i="8" s="1"/>
  <c r="Y201" i="6"/>
  <c r="Y201" i="8" s="1"/>
  <c r="Z201" i="6"/>
  <c r="Z201" i="8" s="1"/>
  <c r="AA201" i="6"/>
  <c r="AA201" i="8" s="1"/>
  <c r="AB201" i="6"/>
  <c r="AB201" i="8" s="1"/>
  <c r="AC201" i="6"/>
  <c r="AC201" i="8" s="1"/>
  <c r="AD201" i="6"/>
  <c r="AD201" i="8" s="1"/>
  <c r="AE201" i="6"/>
  <c r="AE201" i="8" s="1"/>
  <c r="AF201" i="6"/>
  <c r="AF201" i="8" s="1"/>
  <c r="E202" i="6"/>
  <c r="E202" i="8" s="1"/>
  <c r="F202" i="6"/>
  <c r="F202" i="8" s="1"/>
  <c r="G202" i="6"/>
  <c r="G202" i="8" s="1"/>
  <c r="H202" i="6"/>
  <c r="H202" i="8" s="1"/>
  <c r="I202" i="6"/>
  <c r="I202" i="8" s="1"/>
  <c r="J202" i="6"/>
  <c r="J202" i="8" s="1"/>
  <c r="K202" i="6"/>
  <c r="K202" i="8" s="1"/>
  <c r="L202" i="6"/>
  <c r="L202" i="8" s="1"/>
  <c r="M202" i="6"/>
  <c r="M202" i="8" s="1"/>
  <c r="N202" i="6"/>
  <c r="N202" i="8" s="1"/>
  <c r="O202" i="6"/>
  <c r="O202" i="8" s="1"/>
  <c r="P202" i="6"/>
  <c r="P202" i="8" s="1"/>
  <c r="Q202" i="6"/>
  <c r="Q202" i="8" s="1"/>
  <c r="R202" i="6"/>
  <c r="R202" i="8" s="1"/>
  <c r="S202" i="6"/>
  <c r="S202" i="8" s="1"/>
  <c r="T202" i="6"/>
  <c r="T202" i="8" s="1"/>
  <c r="U202" i="6"/>
  <c r="U202" i="8" s="1"/>
  <c r="V202" i="6"/>
  <c r="V202" i="8" s="1"/>
  <c r="W202" i="6"/>
  <c r="W202" i="8" s="1"/>
  <c r="X202" i="6"/>
  <c r="X202" i="8" s="1"/>
  <c r="Y202" i="6"/>
  <c r="Y202" i="8" s="1"/>
  <c r="Z202" i="6"/>
  <c r="Z202" i="8" s="1"/>
  <c r="AA202" i="6"/>
  <c r="AA202" i="8" s="1"/>
  <c r="AB202" i="6"/>
  <c r="AB202" i="8" s="1"/>
  <c r="AC202" i="6"/>
  <c r="AC202" i="8" s="1"/>
  <c r="AD202" i="6"/>
  <c r="AD202" i="8" s="1"/>
  <c r="AE202" i="6"/>
  <c r="AE202" i="8" s="1"/>
  <c r="AF202" i="6"/>
  <c r="AF202" i="8" s="1"/>
  <c r="E203" i="6"/>
  <c r="E203" i="8" s="1"/>
  <c r="F203" i="6"/>
  <c r="F203" i="8" s="1"/>
  <c r="G203" i="6"/>
  <c r="G203" i="8" s="1"/>
  <c r="H203" i="6"/>
  <c r="H203" i="8" s="1"/>
  <c r="I203" i="6"/>
  <c r="I203" i="8" s="1"/>
  <c r="J203" i="6"/>
  <c r="J203" i="8" s="1"/>
  <c r="K203" i="6"/>
  <c r="K203" i="8" s="1"/>
  <c r="L203" i="6"/>
  <c r="L203" i="8" s="1"/>
  <c r="M203" i="6"/>
  <c r="M203" i="8" s="1"/>
  <c r="N203" i="6"/>
  <c r="N203" i="8" s="1"/>
  <c r="O203" i="6"/>
  <c r="O203" i="8" s="1"/>
  <c r="P203" i="6"/>
  <c r="P203" i="8" s="1"/>
  <c r="Q203" i="6"/>
  <c r="Q203" i="8" s="1"/>
  <c r="R203" i="6"/>
  <c r="R203" i="8" s="1"/>
  <c r="S203" i="6"/>
  <c r="S203" i="8" s="1"/>
  <c r="T203" i="6"/>
  <c r="T203" i="8" s="1"/>
  <c r="U203" i="6"/>
  <c r="U203" i="8" s="1"/>
  <c r="V203" i="6"/>
  <c r="V203" i="8" s="1"/>
  <c r="W203" i="6"/>
  <c r="W203" i="8" s="1"/>
  <c r="X203" i="6"/>
  <c r="X203" i="8" s="1"/>
  <c r="Y203" i="6"/>
  <c r="Y203" i="8" s="1"/>
  <c r="Z203" i="6"/>
  <c r="Z203" i="8" s="1"/>
  <c r="AA203" i="6"/>
  <c r="AA203" i="8" s="1"/>
  <c r="AB203" i="6"/>
  <c r="AB203" i="8" s="1"/>
  <c r="AC203" i="6"/>
  <c r="AC203" i="8" s="1"/>
  <c r="AD203" i="6"/>
  <c r="AD203" i="8" s="1"/>
  <c r="AE203" i="6"/>
  <c r="AE203" i="8" s="1"/>
  <c r="AF203" i="6"/>
  <c r="AF203" i="8" s="1"/>
  <c r="E204" i="6"/>
  <c r="E204" i="8" s="1"/>
  <c r="F204" i="6"/>
  <c r="F204" i="8" s="1"/>
  <c r="G204" i="6"/>
  <c r="G204" i="8" s="1"/>
  <c r="H204" i="6"/>
  <c r="H204" i="8" s="1"/>
  <c r="I204" i="6"/>
  <c r="I204" i="8" s="1"/>
  <c r="J204" i="6"/>
  <c r="J204" i="8" s="1"/>
  <c r="K204" i="6"/>
  <c r="K204" i="8" s="1"/>
  <c r="L204" i="6"/>
  <c r="L204" i="8" s="1"/>
  <c r="M204" i="6"/>
  <c r="M204" i="8" s="1"/>
  <c r="N204" i="6"/>
  <c r="N204" i="8" s="1"/>
  <c r="O204" i="6"/>
  <c r="O204" i="8" s="1"/>
  <c r="P204" i="6"/>
  <c r="P204" i="8" s="1"/>
  <c r="Q204" i="6"/>
  <c r="Q204" i="8" s="1"/>
  <c r="R204" i="6"/>
  <c r="R204" i="8" s="1"/>
  <c r="S204" i="6"/>
  <c r="S204" i="8" s="1"/>
  <c r="T204" i="6"/>
  <c r="T204" i="8" s="1"/>
  <c r="U204" i="6"/>
  <c r="U204" i="8" s="1"/>
  <c r="V204" i="6"/>
  <c r="V204" i="8" s="1"/>
  <c r="W204" i="6"/>
  <c r="W204" i="8" s="1"/>
  <c r="X204" i="6"/>
  <c r="X204" i="8" s="1"/>
  <c r="Y204" i="6"/>
  <c r="Y204" i="8" s="1"/>
  <c r="Z204" i="6"/>
  <c r="Z204" i="8" s="1"/>
  <c r="AA204" i="6"/>
  <c r="AA204" i="8" s="1"/>
  <c r="AB204" i="6"/>
  <c r="AB204" i="8" s="1"/>
  <c r="AC204" i="6"/>
  <c r="AC204" i="8" s="1"/>
  <c r="AD204" i="6"/>
  <c r="AD204" i="8" s="1"/>
  <c r="AE204" i="6"/>
  <c r="AE204" i="8" s="1"/>
  <c r="AF204" i="6"/>
  <c r="AF204" i="8" s="1"/>
  <c r="E205" i="6"/>
  <c r="E205" i="8" s="1"/>
  <c r="F205" i="6"/>
  <c r="F205" i="8" s="1"/>
  <c r="G205" i="6"/>
  <c r="G205" i="8" s="1"/>
  <c r="H205" i="6"/>
  <c r="H205" i="8" s="1"/>
  <c r="I205" i="6"/>
  <c r="I205" i="8" s="1"/>
  <c r="J205" i="6"/>
  <c r="J205" i="8" s="1"/>
  <c r="K205" i="6"/>
  <c r="K205" i="8" s="1"/>
  <c r="L205" i="6"/>
  <c r="L205" i="8" s="1"/>
  <c r="M205" i="6"/>
  <c r="M205" i="8" s="1"/>
  <c r="N205" i="6"/>
  <c r="N205" i="8" s="1"/>
  <c r="O205" i="6"/>
  <c r="O205" i="8" s="1"/>
  <c r="P205" i="6"/>
  <c r="P205" i="8" s="1"/>
  <c r="Q205" i="6"/>
  <c r="Q205" i="8" s="1"/>
  <c r="R205" i="6"/>
  <c r="R205" i="8" s="1"/>
  <c r="S205" i="6"/>
  <c r="S205" i="8" s="1"/>
  <c r="T205" i="6"/>
  <c r="T205" i="8" s="1"/>
  <c r="U205" i="6"/>
  <c r="U205" i="8" s="1"/>
  <c r="V205" i="6"/>
  <c r="V205" i="8" s="1"/>
  <c r="W205" i="6"/>
  <c r="W205" i="8" s="1"/>
  <c r="X205" i="6"/>
  <c r="X205" i="8" s="1"/>
  <c r="Y205" i="6"/>
  <c r="Y205" i="8" s="1"/>
  <c r="Z205" i="6"/>
  <c r="Z205" i="8" s="1"/>
  <c r="AA205" i="6"/>
  <c r="AA205" i="8" s="1"/>
  <c r="AB205" i="6"/>
  <c r="AB205" i="8" s="1"/>
  <c r="AC205" i="6"/>
  <c r="AC205" i="8" s="1"/>
  <c r="AD205" i="6"/>
  <c r="AD205" i="8" s="1"/>
  <c r="AE205" i="6"/>
  <c r="AE205" i="8" s="1"/>
  <c r="AF205" i="6"/>
  <c r="AF205" i="8" s="1"/>
  <c r="E206" i="6"/>
  <c r="E206" i="8" s="1"/>
  <c r="F206" i="6"/>
  <c r="F206" i="8" s="1"/>
  <c r="G206" i="6"/>
  <c r="G206" i="8" s="1"/>
  <c r="H206" i="6"/>
  <c r="H206" i="8" s="1"/>
  <c r="I206" i="6"/>
  <c r="I206" i="8" s="1"/>
  <c r="J206" i="6"/>
  <c r="J206" i="8" s="1"/>
  <c r="K206" i="6"/>
  <c r="K206" i="8" s="1"/>
  <c r="L206" i="6"/>
  <c r="L206" i="8" s="1"/>
  <c r="M206" i="6"/>
  <c r="M206" i="8" s="1"/>
  <c r="N206" i="6"/>
  <c r="N206" i="8" s="1"/>
  <c r="O206" i="6"/>
  <c r="O206" i="8" s="1"/>
  <c r="P206" i="6"/>
  <c r="P206" i="8" s="1"/>
  <c r="Q206" i="6"/>
  <c r="Q206" i="8" s="1"/>
  <c r="R206" i="6"/>
  <c r="R206" i="8" s="1"/>
  <c r="S206" i="6"/>
  <c r="S206" i="8" s="1"/>
  <c r="T206" i="6"/>
  <c r="T206" i="8" s="1"/>
  <c r="U206" i="6"/>
  <c r="U206" i="8" s="1"/>
  <c r="V206" i="6"/>
  <c r="V206" i="8" s="1"/>
  <c r="W206" i="6"/>
  <c r="W206" i="8" s="1"/>
  <c r="X206" i="6"/>
  <c r="X206" i="8" s="1"/>
  <c r="Y206" i="6"/>
  <c r="Y206" i="8" s="1"/>
  <c r="Z206" i="6"/>
  <c r="Z206" i="8" s="1"/>
  <c r="AA206" i="6"/>
  <c r="AA206" i="8" s="1"/>
  <c r="AB206" i="6"/>
  <c r="AB206" i="8" s="1"/>
  <c r="AC206" i="6"/>
  <c r="AC206" i="8" s="1"/>
  <c r="AD206" i="6"/>
  <c r="AD206" i="8" s="1"/>
  <c r="AE206" i="6"/>
  <c r="AE206" i="8" s="1"/>
  <c r="AF206" i="6"/>
  <c r="AF206" i="8" s="1"/>
  <c r="E207" i="6"/>
  <c r="E207" i="8" s="1"/>
  <c r="F207" i="6"/>
  <c r="F207" i="8" s="1"/>
  <c r="G207" i="6"/>
  <c r="G207" i="8" s="1"/>
  <c r="H207" i="6"/>
  <c r="H207" i="8" s="1"/>
  <c r="I207" i="6"/>
  <c r="I207" i="8" s="1"/>
  <c r="J207" i="6"/>
  <c r="J207" i="8" s="1"/>
  <c r="K207" i="6"/>
  <c r="K207" i="8" s="1"/>
  <c r="L207" i="6"/>
  <c r="L207" i="8" s="1"/>
  <c r="M207" i="6"/>
  <c r="M207" i="8" s="1"/>
  <c r="N207" i="6"/>
  <c r="N207" i="8" s="1"/>
  <c r="O207" i="6"/>
  <c r="O207" i="8" s="1"/>
  <c r="P207" i="6"/>
  <c r="P207" i="8" s="1"/>
  <c r="Q207" i="6"/>
  <c r="Q207" i="8" s="1"/>
  <c r="R207" i="6"/>
  <c r="R207" i="8" s="1"/>
  <c r="S207" i="6"/>
  <c r="S207" i="8" s="1"/>
  <c r="T207" i="6"/>
  <c r="T207" i="8" s="1"/>
  <c r="U207" i="6"/>
  <c r="U207" i="8" s="1"/>
  <c r="V207" i="6"/>
  <c r="V207" i="8" s="1"/>
  <c r="W207" i="6"/>
  <c r="W207" i="8" s="1"/>
  <c r="X207" i="6"/>
  <c r="X207" i="8" s="1"/>
  <c r="Y207" i="6"/>
  <c r="Y207" i="8" s="1"/>
  <c r="Z207" i="6"/>
  <c r="Z207" i="8" s="1"/>
  <c r="AA207" i="6"/>
  <c r="AA207" i="8" s="1"/>
  <c r="AB207" i="6"/>
  <c r="AB207" i="8" s="1"/>
  <c r="AC207" i="6"/>
  <c r="AC207" i="8" s="1"/>
  <c r="AD207" i="6"/>
  <c r="AD207" i="8" s="1"/>
  <c r="AE207" i="6"/>
  <c r="AE207" i="8" s="1"/>
  <c r="AF207" i="6"/>
  <c r="AF207" i="8" s="1"/>
  <c r="E208" i="6"/>
  <c r="E208" i="8" s="1"/>
  <c r="F208" i="6"/>
  <c r="F208" i="8" s="1"/>
  <c r="G208" i="6"/>
  <c r="G208" i="8" s="1"/>
  <c r="H208" i="6"/>
  <c r="H208" i="8" s="1"/>
  <c r="I208" i="6"/>
  <c r="I208" i="8" s="1"/>
  <c r="J208" i="6"/>
  <c r="J208" i="8" s="1"/>
  <c r="K208" i="6"/>
  <c r="K208" i="8" s="1"/>
  <c r="L208" i="6"/>
  <c r="L208" i="8" s="1"/>
  <c r="M208" i="6"/>
  <c r="M208" i="8" s="1"/>
  <c r="N208" i="6"/>
  <c r="N208" i="8" s="1"/>
  <c r="O208" i="6"/>
  <c r="O208" i="8" s="1"/>
  <c r="P208" i="6"/>
  <c r="P208" i="8" s="1"/>
  <c r="Q208" i="6"/>
  <c r="Q208" i="8" s="1"/>
  <c r="R208" i="6"/>
  <c r="R208" i="8" s="1"/>
  <c r="S208" i="6"/>
  <c r="S208" i="8" s="1"/>
  <c r="T208" i="6"/>
  <c r="T208" i="8" s="1"/>
  <c r="U208" i="6"/>
  <c r="U208" i="8" s="1"/>
  <c r="V208" i="6"/>
  <c r="V208" i="8" s="1"/>
  <c r="W208" i="6"/>
  <c r="W208" i="8" s="1"/>
  <c r="X208" i="6"/>
  <c r="X208" i="8" s="1"/>
  <c r="Y208" i="6"/>
  <c r="Y208" i="8" s="1"/>
  <c r="Z208" i="6"/>
  <c r="Z208" i="8" s="1"/>
  <c r="AA208" i="6"/>
  <c r="AA208" i="8" s="1"/>
  <c r="AB208" i="6"/>
  <c r="AB208" i="8" s="1"/>
  <c r="AC208" i="6"/>
  <c r="AC208" i="8" s="1"/>
  <c r="AD208" i="6"/>
  <c r="AD208" i="8" s="1"/>
  <c r="AE208" i="6"/>
  <c r="AE208" i="8" s="1"/>
  <c r="AF208" i="6"/>
  <c r="AF208" i="8" s="1"/>
  <c r="E209" i="6"/>
  <c r="E209" i="8" s="1"/>
  <c r="F209" i="6"/>
  <c r="F209" i="8" s="1"/>
  <c r="G209" i="6"/>
  <c r="G209" i="8" s="1"/>
  <c r="H209" i="6"/>
  <c r="H209" i="8" s="1"/>
  <c r="I209" i="6"/>
  <c r="I209" i="8" s="1"/>
  <c r="J209" i="6"/>
  <c r="J209" i="8" s="1"/>
  <c r="K209" i="6"/>
  <c r="K209" i="8" s="1"/>
  <c r="L209" i="6"/>
  <c r="L209" i="8" s="1"/>
  <c r="M209" i="6"/>
  <c r="M209" i="8" s="1"/>
  <c r="N209" i="6"/>
  <c r="N209" i="8" s="1"/>
  <c r="O209" i="6"/>
  <c r="O209" i="8" s="1"/>
  <c r="P209" i="6"/>
  <c r="P209" i="8" s="1"/>
  <c r="Q209" i="6"/>
  <c r="Q209" i="8" s="1"/>
  <c r="R209" i="6"/>
  <c r="R209" i="8" s="1"/>
  <c r="S209" i="6"/>
  <c r="S209" i="8" s="1"/>
  <c r="T209" i="6"/>
  <c r="T209" i="8" s="1"/>
  <c r="U209" i="6"/>
  <c r="U209" i="8" s="1"/>
  <c r="V209" i="6"/>
  <c r="V209" i="8" s="1"/>
  <c r="W209" i="6"/>
  <c r="W209" i="8" s="1"/>
  <c r="X209" i="6"/>
  <c r="X209" i="8" s="1"/>
  <c r="Y209" i="6"/>
  <c r="Y209" i="8" s="1"/>
  <c r="Z209" i="6"/>
  <c r="Z209" i="8" s="1"/>
  <c r="AA209" i="6"/>
  <c r="AA209" i="8" s="1"/>
  <c r="AB209" i="6"/>
  <c r="AB209" i="8" s="1"/>
  <c r="AC209" i="6"/>
  <c r="AC209" i="8" s="1"/>
  <c r="AD209" i="6"/>
  <c r="AD209" i="8" s="1"/>
  <c r="AE209" i="6"/>
  <c r="AE209" i="8" s="1"/>
  <c r="AF209" i="6"/>
  <c r="AF209" i="8" s="1"/>
  <c r="E210" i="6"/>
  <c r="E210" i="8" s="1"/>
  <c r="F210" i="6"/>
  <c r="F210" i="8" s="1"/>
  <c r="G210" i="6"/>
  <c r="G210" i="8" s="1"/>
  <c r="H210" i="6"/>
  <c r="H210" i="8" s="1"/>
  <c r="I210" i="6"/>
  <c r="I210" i="8" s="1"/>
  <c r="J210" i="6"/>
  <c r="J210" i="8" s="1"/>
  <c r="K210" i="6"/>
  <c r="K210" i="8" s="1"/>
  <c r="L210" i="6"/>
  <c r="L210" i="8" s="1"/>
  <c r="M210" i="6"/>
  <c r="M210" i="8" s="1"/>
  <c r="N210" i="6"/>
  <c r="N210" i="8" s="1"/>
  <c r="O210" i="6"/>
  <c r="O210" i="8" s="1"/>
  <c r="P210" i="6"/>
  <c r="P210" i="8" s="1"/>
  <c r="Q210" i="6"/>
  <c r="Q210" i="8" s="1"/>
  <c r="R210" i="6"/>
  <c r="R210" i="8" s="1"/>
  <c r="S210" i="6"/>
  <c r="S210" i="8" s="1"/>
  <c r="T210" i="6"/>
  <c r="T210" i="8" s="1"/>
  <c r="U210" i="6"/>
  <c r="U210" i="8" s="1"/>
  <c r="V210" i="6"/>
  <c r="V210" i="8" s="1"/>
  <c r="W210" i="6"/>
  <c r="W210" i="8" s="1"/>
  <c r="X210" i="6"/>
  <c r="X210" i="8" s="1"/>
  <c r="Y210" i="6"/>
  <c r="Y210" i="8" s="1"/>
  <c r="Z210" i="6"/>
  <c r="Z210" i="8" s="1"/>
  <c r="AA210" i="6"/>
  <c r="AA210" i="8" s="1"/>
  <c r="AB210" i="6"/>
  <c r="AB210" i="8" s="1"/>
  <c r="AC210" i="6"/>
  <c r="AC210" i="8" s="1"/>
  <c r="AD210" i="6"/>
  <c r="AD210" i="8" s="1"/>
  <c r="AE210" i="6"/>
  <c r="AE210" i="8" s="1"/>
  <c r="AF210" i="6"/>
  <c r="AF210" i="8" s="1"/>
  <c r="E211" i="6"/>
  <c r="E211" i="8" s="1"/>
  <c r="F211" i="6"/>
  <c r="F211" i="8" s="1"/>
  <c r="G211" i="6"/>
  <c r="G211" i="8" s="1"/>
  <c r="H211" i="6"/>
  <c r="H211" i="8" s="1"/>
  <c r="I211" i="6"/>
  <c r="I211" i="8" s="1"/>
  <c r="J211" i="6"/>
  <c r="J211" i="8" s="1"/>
  <c r="K211" i="6"/>
  <c r="K211" i="8" s="1"/>
  <c r="L211" i="6"/>
  <c r="L211" i="8" s="1"/>
  <c r="M211" i="6"/>
  <c r="M211" i="8" s="1"/>
  <c r="N211" i="6"/>
  <c r="N211" i="8" s="1"/>
  <c r="O211" i="6"/>
  <c r="O211" i="8" s="1"/>
  <c r="P211" i="6"/>
  <c r="P211" i="8" s="1"/>
  <c r="Q211" i="6"/>
  <c r="Q211" i="8" s="1"/>
  <c r="R211" i="6"/>
  <c r="R211" i="8" s="1"/>
  <c r="S211" i="6"/>
  <c r="S211" i="8" s="1"/>
  <c r="T211" i="6"/>
  <c r="T211" i="8" s="1"/>
  <c r="U211" i="6"/>
  <c r="U211" i="8" s="1"/>
  <c r="V211" i="6"/>
  <c r="V211" i="8" s="1"/>
  <c r="W211" i="6"/>
  <c r="W211" i="8" s="1"/>
  <c r="X211" i="6"/>
  <c r="X211" i="8" s="1"/>
  <c r="Y211" i="6"/>
  <c r="Y211" i="8" s="1"/>
  <c r="Z211" i="6"/>
  <c r="Z211" i="8" s="1"/>
  <c r="AA211" i="6"/>
  <c r="AA211" i="8" s="1"/>
  <c r="AB211" i="6"/>
  <c r="AB211" i="8" s="1"/>
  <c r="AC211" i="6"/>
  <c r="AC211" i="8" s="1"/>
  <c r="AD211" i="6"/>
  <c r="AD211" i="8" s="1"/>
  <c r="AE211" i="6"/>
  <c r="AE211" i="8" s="1"/>
  <c r="AF211" i="6"/>
  <c r="AF211" i="8" s="1"/>
  <c r="E212" i="6"/>
  <c r="E212" i="8" s="1"/>
  <c r="F212" i="6"/>
  <c r="F212" i="8" s="1"/>
  <c r="G212" i="6"/>
  <c r="G212" i="8" s="1"/>
  <c r="H212" i="6"/>
  <c r="H212" i="8" s="1"/>
  <c r="I212" i="6"/>
  <c r="I212" i="8" s="1"/>
  <c r="J212" i="6"/>
  <c r="J212" i="8" s="1"/>
  <c r="K212" i="6"/>
  <c r="K212" i="8" s="1"/>
  <c r="L212" i="6"/>
  <c r="L212" i="8" s="1"/>
  <c r="M212" i="6"/>
  <c r="M212" i="8" s="1"/>
  <c r="N212" i="6"/>
  <c r="N212" i="8" s="1"/>
  <c r="O212" i="6"/>
  <c r="O212" i="8" s="1"/>
  <c r="P212" i="6"/>
  <c r="P212" i="8" s="1"/>
  <c r="Q212" i="6"/>
  <c r="Q212" i="8" s="1"/>
  <c r="R212" i="6"/>
  <c r="R212" i="8" s="1"/>
  <c r="S212" i="6"/>
  <c r="S212" i="8" s="1"/>
  <c r="T212" i="6"/>
  <c r="T212" i="8" s="1"/>
  <c r="U212" i="6"/>
  <c r="U212" i="8" s="1"/>
  <c r="V212" i="6"/>
  <c r="V212" i="8" s="1"/>
  <c r="W212" i="6"/>
  <c r="W212" i="8" s="1"/>
  <c r="X212" i="6"/>
  <c r="X212" i="8" s="1"/>
  <c r="Y212" i="6"/>
  <c r="Y212" i="8" s="1"/>
  <c r="Z212" i="6"/>
  <c r="Z212" i="8" s="1"/>
  <c r="AA212" i="6"/>
  <c r="AA212" i="8" s="1"/>
  <c r="AB212" i="6"/>
  <c r="AB212" i="8" s="1"/>
  <c r="AC212" i="6"/>
  <c r="AC212" i="8" s="1"/>
  <c r="AD212" i="6"/>
  <c r="AD212" i="8" s="1"/>
  <c r="AE212" i="6"/>
  <c r="AE212" i="8" s="1"/>
  <c r="AF212" i="6"/>
  <c r="AF212" i="8" s="1"/>
  <c r="E213" i="6"/>
  <c r="E213" i="8" s="1"/>
  <c r="F213" i="6"/>
  <c r="F213" i="8" s="1"/>
  <c r="G213" i="6"/>
  <c r="G213" i="8" s="1"/>
  <c r="H213" i="6"/>
  <c r="H213" i="8" s="1"/>
  <c r="I213" i="6"/>
  <c r="I213" i="8" s="1"/>
  <c r="J213" i="6"/>
  <c r="J213" i="8" s="1"/>
  <c r="K213" i="6"/>
  <c r="K213" i="8" s="1"/>
  <c r="L213" i="6"/>
  <c r="L213" i="8" s="1"/>
  <c r="M213" i="6"/>
  <c r="M213" i="8" s="1"/>
  <c r="N213" i="6"/>
  <c r="N213" i="8" s="1"/>
  <c r="O213" i="6"/>
  <c r="O213" i="8" s="1"/>
  <c r="P213" i="6"/>
  <c r="P213" i="8" s="1"/>
  <c r="Q213" i="6"/>
  <c r="Q213" i="8" s="1"/>
  <c r="R213" i="6"/>
  <c r="R213" i="8" s="1"/>
  <c r="S213" i="6"/>
  <c r="S213" i="8" s="1"/>
  <c r="T213" i="6"/>
  <c r="T213" i="8" s="1"/>
  <c r="U213" i="6"/>
  <c r="U213" i="8" s="1"/>
  <c r="V213" i="6"/>
  <c r="V213" i="8" s="1"/>
  <c r="W213" i="6"/>
  <c r="W213" i="8" s="1"/>
  <c r="X213" i="6"/>
  <c r="X213" i="8" s="1"/>
  <c r="Y213" i="6"/>
  <c r="Y213" i="8" s="1"/>
  <c r="Z213" i="6"/>
  <c r="Z213" i="8" s="1"/>
  <c r="AA213" i="6"/>
  <c r="AA213" i="8" s="1"/>
  <c r="AB213" i="6"/>
  <c r="AB213" i="8" s="1"/>
  <c r="AC213" i="6"/>
  <c r="AC213" i="8" s="1"/>
  <c r="AD213" i="6"/>
  <c r="AD213" i="8" s="1"/>
  <c r="AE213" i="6"/>
  <c r="AE213" i="8" s="1"/>
  <c r="AF213" i="6"/>
  <c r="AF213" i="8" s="1"/>
  <c r="E214" i="6"/>
  <c r="E214" i="8" s="1"/>
  <c r="F214" i="6"/>
  <c r="F214" i="8" s="1"/>
  <c r="G214" i="6"/>
  <c r="G214" i="8" s="1"/>
  <c r="H214" i="6"/>
  <c r="H214" i="8" s="1"/>
  <c r="I214" i="6"/>
  <c r="I214" i="8" s="1"/>
  <c r="J214" i="6"/>
  <c r="J214" i="8" s="1"/>
  <c r="K214" i="6"/>
  <c r="K214" i="8" s="1"/>
  <c r="L214" i="6"/>
  <c r="L214" i="8" s="1"/>
  <c r="M214" i="6"/>
  <c r="M214" i="8" s="1"/>
  <c r="N214" i="6"/>
  <c r="N214" i="8" s="1"/>
  <c r="O214" i="6"/>
  <c r="O214" i="8" s="1"/>
  <c r="P214" i="6"/>
  <c r="P214" i="8" s="1"/>
  <c r="Q214" i="6"/>
  <c r="Q214" i="8" s="1"/>
  <c r="R214" i="6"/>
  <c r="R214" i="8" s="1"/>
  <c r="S214" i="6"/>
  <c r="S214" i="8" s="1"/>
  <c r="T214" i="6"/>
  <c r="T214" i="8" s="1"/>
  <c r="U214" i="6"/>
  <c r="U214" i="8" s="1"/>
  <c r="V214" i="6"/>
  <c r="V214" i="8" s="1"/>
  <c r="W214" i="6"/>
  <c r="W214" i="8" s="1"/>
  <c r="X214" i="6"/>
  <c r="X214" i="8" s="1"/>
  <c r="Y214" i="6"/>
  <c r="Y214" i="8" s="1"/>
  <c r="Z214" i="6"/>
  <c r="Z214" i="8" s="1"/>
  <c r="AA214" i="6"/>
  <c r="AA214" i="8" s="1"/>
  <c r="AB214" i="6"/>
  <c r="AB214" i="8" s="1"/>
  <c r="AC214" i="6"/>
  <c r="AC214" i="8" s="1"/>
  <c r="AD214" i="6"/>
  <c r="AD214" i="8" s="1"/>
  <c r="AE214" i="6"/>
  <c r="AE214" i="8" s="1"/>
  <c r="AF214" i="6"/>
  <c r="AF214" i="8" s="1"/>
  <c r="E215" i="6"/>
  <c r="E215" i="8" s="1"/>
  <c r="F215" i="6"/>
  <c r="F215" i="8" s="1"/>
  <c r="G215" i="6"/>
  <c r="G215" i="8" s="1"/>
  <c r="H215" i="6"/>
  <c r="H215" i="8" s="1"/>
  <c r="I215" i="6"/>
  <c r="I215" i="8" s="1"/>
  <c r="J215" i="6"/>
  <c r="J215" i="8" s="1"/>
  <c r="K215" i="6"/>
  <c r="K215" i="8" s="1"/>
  <c r="L215" i="6"/>
  <c r="L215" i="8" s="1"/>
  <c r="M215" i="6"/>
  <c r="M215" i="8" s="1"/>
  <c r="N215" i="6"/>
  <c r="N215" i="8" s="1"/>
  <c r="O215" i="6"/>
  <c r="O215" i="8" s="1"/>
  <c r="P215" i="6"/>
  <c r="P215" i="8" s="1"/>
  <c r="Q215" i="6"/>
  <c r="Q215" i="8" s="1"/>
  <c r="R215" i="6"/>
  <c r="R215" i="8" s="1"/>
  <c r="S215" i="6"/>
  <c r="S215" i="8" s="1"/>
  <c r="T215" i="6"/>
  <c r="T215" i="8" s="1"/>
  <c r="U215" i="6"/>
  <c r="U215" i="8" s="1"/>
  <c r="V215" i="6"/>
  <c r="V215" i="8" s="1"/>
  <c r="W215" i="6"/>
  <c r="W215" i="8" s="1"/>
  <c r="X215" i="6"/>
  <c r="X215" i="8" s="1"/>
  <c r="Y215" i="6"/>
  <c r="Y215" i="8" s="1"/>
  <c r="Z215" i="6"/>
  <c r="Z215" i="8" s="1"/>
  <c r="AA215" i="6"/>
  <c r="AA215" i="8" s="1"/>
  <c r="AB215" i="6"/>
  <c r="AB215" i="8" s="1"/>
  <c r="AC215" i="6"/>
  <c r="AC215" i="8" s="1"/>
  <c r="AD215" i="6"/>
  <c r="AD215" i="8" s="1"/>
  <c r="AE215" i="6"/>
  <c r="AE215" i="8" s="1"/>
  <c r="AF215" i="6"/>
  <c r="AF215" i="8" s="1"/>
  <c r="E216" i="6"/>
  <c r="E216" i="8" s="1"/>
  <c r="F216" i="6"/>
  <c r="F216" i="8" s="1"/>
  <c r="G216" i="6"/>
  <c r="G216" i="8" s="1"/>
  <c r="H216" i="6"/>
  <c r="H216" i="8" s="1"/>
  <c r="I216" i="6"/>
  <c r="I216" i="8" s="1"/>
  <c r="J216" i="6"/>
  <c r="J216" i="8" s="1"/>
  <c r="K216" i="6"/>
  <c r="K216" i="8" s="1"/>
  <c r="L216" i="6"/>
  <c r="L216" i="8" s="1"/>
  <c r="M216" i="6"/>
  <c r="M216" i="8" s="1"/>
  <c r="N216" i="6"/>
  <c r="N216" i="8" s="1"/>
  <c r="O216" i="6"/>
  <c r="O216" i="8" s="1"/>
  <c r="P216" i="6"/>
  <c r="P216" i="8" s="1"/>
  <c r="Q216" i="6"/>
  <c r="Q216" i="8" s="1"/>
  <c r="R216" i="6"/>
  <c r="R216" i="8" s="1"/>
  <c r="S216" i="6"/>
  <c r="S216" i="8" s="1"/>
  <c r="T216" i="6"/>
  <c r="T216" i="8" s="1"/>
  <c r="U216" i="6"/>
  <c r="U216" i="8" s="1"/>
  <c r="V216" i="6"/>
  <c r="V216" i="8" s="1"/>
  <c r="W216" i="6"/>
  <c r="W216" i="8" s="1"/>
  <c r="X216" i="6"/>
  <c r="X216" i="8" s="1"/>
  <c r="Y216" i="6"/>
  <c r="Y216" i="8" s="1"/>
  <c r="Z216" i="6"/>
  <c r="Z216" i="8" s="1"/>
  <c r="AA216" i="6"/>
  <c r="AA216" i="8" s="1"/>
  <c r="AB216" i="6"/>
  <c r="AB216" i="8" s="1"/>
  <c r="AC216" i="6"/>
  <c r="AC216" i="8" s="1"/>
  <c r="AD216" i="6"/>
  <c r="AD216" i="8" s="1"/>
  <c r="AE216" i="6"/>
  <c r="AE216" i="8" s="1"/>
  <c r="AF216" i="6"/>
  <c r="AF216" i="8" s="1"/>
  <c r="E217" i="6"/>
  <c r="E217" i="8" s="1"/>
  <c r="F217" i="6"/>
  <c r="F217" i="8" s="1"/>
  <c r="G217" i="6"/>
  <c r="G217" i="8" s="1"/>
  <c r="H217" i="6"/>
  <c r="H217" i="8" s="1"/>
  <c r="I217" i="6"/>
  <c r="I217" i="8" s="1"/>
  <c r="J217" i="6"/>
  <c r="J217" i="8" s="1"/>
  <c r="K217" i="6"/>
  <c r="K217" i="8" s="1"/>
  <c r="L217" i="6"/>
  <c r="L217" i="8" s="1"/>
  <c r="M217" i="6"/>
  <c r="M217" i="8" s="1"/>
  <c r="N217" i="6"/>
  <c r="N217" i="8" s="1"/>
  <c r="O217" i="6"/>
  <c r="O217" i="8" s="1"/>
  <c r="P217" i="6"/>
  <c r="P217" i="8" s="1"/>
  <c r="Q217" i="6"/>
  <c r="Q217" i="8" s="1"/>
  <c r="R217" i="6"/>
  <c r="R217" i="8" s="1"/>
  <c r="S217" i="6"/>
  <c r="S217" i="8" s="1"/>
  <c r="T217" i="6"/>
  <c r="T217" i="8" s="1"/>
  <c r="U217" i="6"/>
  <c r="U217" i="8" s="1"/>
  <c r="V217" i="6"/>
  <c r="V217" i="8" s="1"/>
  <c r="W217" i="6"/>
  <c r="W217" i="8" s="1"/>
  <c r="X217" i="6"/>
  <c r="X217" i="8" s="1"/>
  <c r="Y217" i="6"/>
  <c r="Y217" i="8" s="1"/>
  <c r="Z217" i="6"/>
  <c r="Z217" i="8" s="1"/>
  <c r="AA217" i="6"/>
  <c r="AA217" i="8" s="1"/>
  <c r="AB217" i="6"/>
  <c r="AB217" i="8" s="1"/>
  <c r="AC217" i="6"/>
  <c r="AC217" i="8" s="1"/>
  <c r="AD217" i="6"/>
  <c r="AD217" i="8" s="1"/>
  <c r="AE217" i="6"/>
  <c r="AE217" i="8" s="1"/>
  <c r="AF217" i="6"/>
  <c r="AF217" i="8" s="1"/>
  <c r="E218" i="6"/>
  <c r="E218" i="8" s="1"/>
  <c r="F218" i="6"/>
  <c r="F218" i="8" s="1"/>
  <c r="G218" i="6"/>
  <c r="G218" i="8" s="1"/>
  <c r="H218" i="6"/>
  <c r="H218" i="8" s="1"/>
  <c r="I218" i="6"/>
  <c r="I218" i="8" s="1"/>
  <c r="J218" i="6"/>
  <c r="J218" i="8" s="1"/>
  <c r="K218" i="6"/>
  <c r="K218" i="8" s="1"/>
  <c r="L218" i="6"/>
  <c r="L218" i="8" s="1"/>
  <c r="M218" i="6"/>
  <c r="M218" i="8" s="1"/>
  <c r="N218" i="6"/>
  <c r="N218" i="8" s="1"/>
  <c r="O218" i="6"/>
  <c r="O218" i="8" s="1"/>
  <c r="P218" i="6"/>
  <c r="P218" i="8" s="1"/>
  <c r="Q218" i="6"/>
  <c r="Q218" i="8" s="1"/>
  <c r="R218" i="6"/>
  <c r="R218" i="8" s="1"/>
  <c r="S218" i="6"/>
  <c r="S218" i="8" s="1"/>
  <c r="T218" i="6"/>
  <c r="T218" i="8" s="1"/>
  <c r="U218" i="6"/>
  <c r="U218" i="8" s="1"/>
  <c r="V218" i="6"/>
  <c r="V218" i="8" s="1"/>
  <c r="W218" i="6"/>
  <c r="W218" i="8" s="1"/>
  <c r="X218" i="6"/>
  <c r="X218" i="8" s="1"/>
  <c r="Y218" i="6"/>
  <c r="Y218" i="8" s="1"/>
  <c r="Z218" i="6"/>
  <c r="Z218" i="8" s="1"/>
  <c r="AA218" i="6"/>
  <c r="AA218" i="8" s="1"/>
  <c r="AB218" i="6"/>
  <c r="AB218" i="8" s="1"/>
  <c r="AC218" i="6"/>
  <c r="AC218" i="8" s="1"/>
  <c r="AD218" i="6"/>
  <c r="AD218" i="8" s="1"/>
  <c r="AE218" i="6"/>
  <c r="AE218" i="8" s="1"/>
  <c r="AF218" i="6"/>
  <c r="AF218" i="8" s="1"/>
  <c r="E219" i="6"/>
  <c r="E219" i="8" s="1"/>
  <c r="F219" i="6"/>
  <c r="F219" i="8" s="1"/>
  <c r="G219" i="6"/>
  <c r="G219" i="8" s="1"/>
  <c r="H219" i="6"/>
  <c r="H219" i="8" s="1"/>
  <c r="I219" i="6"/>
  <c r="I219" i="8" s="1"/>
  <c r="J219" i="6"/>
  <c r="J219" i="8" s="1"/>
  <c r="K219" i="6"/>
  <c r="K219" i="8" s="1"/>
  <c r="L219" i="6"/>
  <c r="L219" i="8" s="1"/>
  <c r="M219" i="6"/>
  <c r="M219" i="8" s="1"/>
  <c r="N219" i="6"/>
  <c r="N219" i="8" s="1"/>
  <c r="O219" i="6"/>
  <c r="O219" i="8" s="1"/>
  <c r="P219" i="6"/>
  <c r="P219" i="8" s="1"/>
  <c r="Q219" i="6"/>
  <c r="Q219" i="8" s="1"/>
  <c r="R219" i="6"/>
  <c r="R219" i="8" s="1"/>
  <c r="S219" i="6"/>
  <c r="S219" i="8" s="1"/>
  <c r="T219" i="6"/>
  <c r="T219" i="8" s="1"/>
  <c r="U219" i="6"/>
  <c r="U219" i="8" s="1"/>
  <c r="V219" i="6"/>
  <c r="V219" i="8" s="1"/>
  <c r="W219" i="6"/>
  <c r="W219" i="8" s="1"/>
  <c r="X219" i="6"/>
  <c r="X219" i="8" s="1"/>
  <c r="Y219" i="6"/>
  <c r="Y219" i="8" s="1"/>
  <c r="Z219" i="6"/>
  <c r="Z219" i="8" s="1"/>
  <c r="AA219" i="6"/>
  <c r="AA219" i="8" s="1"/>
  <c r="AB219" i="6"/>
  <c r="AB219" i="8" s="1"/>
  <c r="AC219" i="6"/>
  <c r="AC219" i="8" s="1"/>
  <c r="AD219" i="6"/>
  <c r="AD219" i="8" s="1"/>
  <c r="AE219" i="6"/>
  <c r="AE219" i="8" s="1"/>
  <c r="AF219" i="6"/>
  <c r="AF219" i="8" s="1"/>
  <c r="E220" i="6"/>
  <c r="E220" i="8" s="1"/>
  <c r="F220" i="6"/>
  <c r="F220" i="8" s="1"/>
  <c r="G220" i="6"/>
  <c r="G220" i="8" s="1"/>
  <c r="H220" i="6"/>
  <c r="H220" i="8" s="1"/>
  <c r="I220" i="6"/>
  <c r="I220" i="8" s="1"/>
  <c r="J220" i="6"/>
  <c r="J220" i="8" s="1"/>
  <c r="K220" i="6"/>
  <c r="K220" i="8" s="1"/>
  <c r="L220" i="6"/>
  <c r="L220" i="8" s="1"/>
  <c r="M220" i="6"/>
  <c r="M220" i="8" s="1"/>
  <c r="N220" i="6"/>
  <c r="N220" i="8" s="1"/>
  <c r="O220" i="6"/>
  <c r="O220" i="8" s="1"/>
  <c r="P220" i="6"/>
  <c r="P220" i="8" s="1"/>
  <c r="Q220" i="6"/>
  <c r="Q220" i="8" s="1"/>
  <c r="R220" i="6"/>
  <c r="R220" i="8" s="1"/>
  <c r="S220" i="6"/>
  <c r="S220" i="8" s="1"/>
  <c r="T220" i="6"/>
  <c r="T220" i="8" s="1"/>
  <c r="U220" i="6"/>
  <c r="U220" i="8" s="1"/>
  <c r="V220" i="6"/>
  <c r="V220" i="8" s="1"/>
  <c r="W220" i="6"/>
  <c r="W220" i="8" s="1"/>
  <c r="X220" i="6"/>
  <c r="X220" i="8" s="1"/>
  <c r="Y220" i="6"/>
  <c r="Y220" i="8" s="1"/>
  <c r="Z220" i="6"/>
  <c r="Z220" i="8" s="1"/>
  <c r="AA220" i="6"/>
  <c r="AA220" i="8" s="1"/>
  <c r="AB220" i="6"/>
  <c r="AB220" i="8" s="1"/>
  <c r="AC220" i="6"/>
  <c r="AC220" i="8" s="1"/>
  <c r="AD220" i="6"/>
  <c r="AD220" i="8" s="1"/>
  <c r="AE220" i="6"/>
  <c r="AE220" i="8" s="1"/>
  <c r="AF220" i="6"/>
  <c r="AF220" i="8" s="1"/>
  <c r="E221" i="6"/>
  <c r="E221" i="8" s="1"/>
  <c r="F221" i="6"/>
  <c r="F221" i="8" s="1"/>
  <c r="G221" i="6"/>
  <c r="G221" i="8" s="1"/>
  <c r="H221" i="6"/>
  <c r="H221" i="8" s="1"/>
  <c r="I221" i="6"/>
  <c r="I221" i="8" s="1"/>
  <c r="J221" i="6"/>
  <c r="J221" i="8" s="1"/>
  <c r="K221" i="6"/>
  <c r="K221" i="8" s="1"/>
  <c r="L221" i="6"/>
  <c r="L221" i="8" s="1"/>
  <c r="M221" i="6"/>
  <c r="M221" i="8" s="1"/>
  <c r="N221" i="6"/>
  <c r="N221" i="8" s="1"/>
  <c r="O221" i="6"/>
  <c r="O221" i="8" s="1"/>
  <c r="P221" i="6"/>
  <c r="P221" i="8" s="1"/>
  <c r="Q221" i="6"/>
  <c r="Q221" i="8" s="1"/>
  <c r="R221" i="6"/>
  <c r="R221" i="8" s="1"/>
  <c r="S221" i="6"/>
  <c r="S221" i="8" s="1"/>
  <c r="T221" i="6"/>
  <c r="T221" i="8" s="1"/>
  <c r="U221" i="6"/>
  <c r="U221" i="8" s="1"/>
  <c r="V221" i="6"/>
  <c r="V221" i="8" s="1"/>
  <c r="W221" i="6"/>
  <c r="W221" i="8" s="1"/>
  <c r="X221" i="6"/>
  <c r="X221" i="8" s="1"/>
  <c r="Y221" i="6"/>
  <c r="Y221" i="8" s="1"/>
  <c r="Z221" i="6"/>
  <c r="Z221" i="8" s="1"/>
  <c r="AA221" i="6"/>
  <c r="AA221" i="8" s="1"/>
  <c r="AB221" i="6"/>
  <c r="AB221" i="8" s="1"/>
  <c r="AC221" i="6"/>
  <c r="AC221" i="8" s="1"/>
  <c r="AD221" i="6"/>
  <c r="AD221" i="8" s="1"/>
  <c r="AE221" i="6"/>
  <c r="AE221" i="8" s="1"/>
  <c r="AF221" i="6"/>
  <c r="AF221" i="8" s="1"/>
  <c r="E222" i="6"/>
  <c r="E222" i="8" s="1"/>
  <c r="F222" i="6"/>
  <c r="F222" i="8" s="1"/>
  <c r="G222" i="6"/>
  <c r="G222" i="8" s="1"/>
  <c r="H222" i="6"/>
  <c r="H222" i="8" s="1"/>
  <c r="I222" i="6"/>
  <c r="I222" i="8" s="1"/>
  <c r="J222" i="6"/>
  <c r="J222" i="8" s="1"/>
  <c r="K222" i="6"/>
  <c r="K222" i="8" s="1"/>
  <c r="L222" i="6"/>
  <c r="L222" i="8" s="1"/>
  <c r="M222" i="6"/>
  <c r="M222" i="8" s="1"/>
  <c r="N222" i="6"/>
  <c r="N222" i="8" s="1"/>
  <c r="O222" i="6"/>
  <c r="O222" i="8" s="1"/>
  <c r="P222" i="6"/>
  <c r="P222" i="8" s="1"/>
  <c r="Q222" i="6"/>
  <c r="Q222" i="8" s="1"/>
  <c r="R222" i="6"/>
  <c r="R222" i="8" s="1"/>
  <c r="S222" i="6"/>
  <c r="S222" i="8" s="1"/>
  <c r="T222" i="6"/>
  <c r="T222" i="8" s="1"/>
  <c r="U222" i="6"/>
  <c r="U222" i="8" s="1"/>
  <c r="V222" i="6"/>
  <c r="V222" i="8" s="1"/>
  <c r="W222" i="6"/>
  <c r="W222" i="8" s="1"/>
  <c r="X222" i="6"/>
  <c r="X222" i="8" s="1"/>
  <c r="Y222" i="6"/>
  <c r="Y222" i="8" s="1"/>
  <c r="Z222" i="6"/>
  <c r="Z222" i="8" s="1"/>
  <c r="AA222" i="6"/>
  <c r="AA222" i="8" s="1"/>
  <c r="AB222" i="6"/>
  <c r="AB222" i="8" s="1"/>
  <c r="AC222" i="6"/>
  <c r="AC222" i="8" s="1"/>
  <c r="AD222" i="6"/>
  <c r="AD222" i="8" s="1"/>
  <c r="AE222" i="6"/>
  <c r="AE222" i="8" s="1"/>
  <c r="AF222" i="6"/>
  <c r="AF222" i="8" s="1"/>
  <c r="E223" i="6"/>
  <c r="E223" i="8" s="1"/>
  <c r="F223" i="6"/>
  <c r="F223" i="8" s="1"/>
  <c r="G223" i="6"/>
  <c r="G223" i="8" s="1"/>
  <c r="H223" i="6"/>
  <c r="H223" i="8" s="1"/>
  <c r="I223" i="6"/>
  <c r="I223" i="8" s="1"/>
  <c r="J223" i="6"/>
  <c r="J223" i="8" s="1"/>
  <c r="K223" i="6"/>
  <c r="K223" i="8" s="1"/>
  <c r="L223" i="6"/>
  <c r="L223" i="8" s="1"/>
  <c r="M223" i="6"/>
  <c r="M223" i="8" s="1"/>
  <c r="N223" i="6"/>
  <c r="N223" i="8" s="1"/>
  <c r="O223" i="6"/>
  <c r="O223" i="8" s="1"/>
  <c r="P223" i="6"/>
  <c r="P223" i="8" s="1"/>
  <c r="Q223" i="6"/>
  <c r="Q223" i="8" s="1"/>
  <c r="R223" i="6"/>
  <c r="R223" i="8" s="1"/>
  <c r="S223" i="6"/>
  <c r="S223" i="8" s="1"/>
  <c r="T223" i="6"/>
  <c r="T223" i="8" s="1"/>
  <c r="U223" i="6"/>
  <c r="U223" i="8" s="1"/>
  <c r="V223" i="6"/>
  <c r="V223" i="8" s="1"/>
  <c r="W223" i="6"/>
  <c r="W223" i="8" s="1"/>
  <c r="X223" i="6"/>
  <c r="X223" i="8" s="1"/>
  <c r="Y223" i="6"/>
  <c r="Y223" i="8" s="1"/>
  <c r="Z223" i="6"/>
  <c r="Z223" i="8" s="1"/>
  <c r="AA223" i="6"/>
  <c r="AA223" i="8" s="1"/>
  <c r="AB223" i="6"/>
  <c r="AB223" i="8" s="1"/>
  <c r="AC223" i="6"/>
  <c r="AC223" i="8" s="1"/>
  <c r="AD223" i="6"/>
  <c r="AD223" i="8" s="1"/>
  <c r="AE223" i="6"/>
  <c r="AE223" i="8" s="1"/>
  <c r="AF223" i="6"/>
  <c r="AF223" i="8" s="1"/>
  <c r="E224" i="6"/>
  <c r="E224" i="8" s="1"/>
  <c r="F224" i="6"/>
  <c r="F224" i="8" s="1"/>
  <c r="G224" i="6"/>
  <c r="G224" i="8" s="1"/>
  <c r="H224" i="6"/>
  <c r="H224" i="8" s="1"/>
  <c r="I224" i="6"/>
  <c r="I224" i="8" s="1"/>
  <c r="J224" i="6"/>
  <c r="J224" i="8" s="1"/>
  <c r="K224" i="6"/>
  <c r="K224" i="8" s="1"/>
  <c r="L224" i="6"/>
  <c r="L224" i="8" s="1"/>
  <c r="M224" i="6"/>
  <c r="M224" i="8" s="1"/>
  <c r="N224" i="6"/>
  <c r="N224" i="8" s="1"/>
  <c r="O224" i="6"/>
  <c r="O224" i="8" s="1"/>
  <c r="P224" i="6"/>
  <c r="P224" i="8" s="1"/>
  <c r="Q224" i="6"/>
  <c r="Q224" i="8" s="1"/>
  <c r="R224" i="6"/>
  <c r="R224" i="8" s="1"/>
  <c r="S224" i="6"/>
  <c r="S224" i="8" s="1"/>
  <c r="T224" i="6"/>
  <c r="T224" i="8" s="1"/>
  <c r="U224" i="6"/>
  <c r="U224" i="8" s="1"/>
  <c r="V224" i="6"/>
  <c r="V224" i="8" s="1"/>
  <c r="W224" i="6"/>
  <c r="W224" i="8" s="1"/>
  <c r="X224" i="6"/>
  <c r="X224" i="8" s="1"/>
  <c r="Y224" i="6"/>
  <c r="Y224" i="8" s="1"/>
  <c r="Z224" i="6"/>
  <c r="Z224" i="8" s="1"/>
  <c r="AA224" i="6"/>
  <c r="AA224" i="8" s="1"/>
  <c r="AB224" i="6"/>
  <c r="AB224" i="8" s="1"/>
  <c r="AC224" i="6"/>
  <c r="AC224" i="8" s="1"/>
  <c r="AD224" i="6"/>
  <c r="AD224" i="8" s="1"/>
  <c r="AE224" i="6"/>
  <c r="AE224" i="8" s="1"/>
  <c r="AF224" i="6"/>
  <c r="AF224" i="8" s="1"/>
  <c r="E225" i="6"/>
  <c r="E225" i="8" s="1"/>
  <c r="F225" i="6"/>
  <c r="F225" i="8" s="1"/>
  <c r="G225" i="6"/>
  <c r="G225" i="8" s="1"/>
  <c r="H225" i="6"/>
  <c r="H225" i="8" s="1"/>
  <c r="I225" i="6"/>
  <c r="I225" i="8" s="1"/>
  <c r="J225" i="6"/>
  <c r="J225" i="8" s="1"/>
  <c r="K225" i="6"/>
  <c r="K225" i="8" s="1"/>
  <c r="L225" i="6"/>
  <c r="L225" i="8" s="1"/>
  <c r="M225" i="6"/>
  <c r="M225" i="8" s="1"/>
  <c r="N225" i="6"/>
  <c r="N225" i="8" s="1"/>
  <c r="O225" i="6"/>
  <c r="O225" i="8" s="1"/>
  <c r="P225" i="6"/>
  <c r="P225" i="8" s="1"/>
  <c r="Q225" i="6"/>
  <c r="Q225" i="8" s="1"/>
  <c r="R225" i="6"/>
  <c r="R225" i="8" s="1"/>
  <c r="S225" i="6"/>
  <c r="S225" i="8" s="1"/>
  <c r="T225" i="6"/>
  <c r="T225" i="8" s="1"/>
  <c r="U225" i="6"/>
  <c r="U225" i="8" s="1"/>
  <c r="V225" i="6"/>
  <c r="V225" i="8" s="1"/>
  <c r="W225" i="6"/>
  <c r="W225" i="8" s="1"/>
  <c r="X225" i="6"/>
  <c r="X225" i="8" s="1"/>
  <c r="Y225" i="6"/>
  <c r="Y225" i="8" s="1"/>
  <c r="Z225" i="6"/>
  <c r="Z225" i="8" s="1"/>
  <c r="AA225" i="6"/>
  <c r="AA225" i="8" s="1"/>
  <c r="AB225" i="6"/>
  <c r="AB225" i="8" s="1"/>
  <c r="AC225" i="6"/>
  <c r="AC225" i="8" s="1"/>
  <c r="AD225" i="6"/>
  <c r="AD225" i="8" s="1"/>
  <c r="AE225" i="6"/>
  <c r="AE225" i="8" s="1"/>
  <c r="AF225" i="6"/>
  <c r="AF225" i="8" s="1"/>
  <c r="E226" i="6"/>
  <c r="E226" i="8" s="1"/>
  <c r="F226" i="6"/>
  <c r="F226" i="8" s="1"/>
  <c r="G226" i="6"/>
  <c r="G226" i="8" s="1"/>
  <c r="H226" i="6"/>
  <c r="H226" i="8" s="1"/>
  <c r="I226" i="6"/>
  <c r="I226" i="8" s="1"/>
  <c r="J226" i="6"/>
  <c r="J226" i="8" s="1"/>
  <c r="K226" i="6"/>
  <c r="K226" i="8" s="1"/>
  <c r="L226" i="6"/>
  <c r="L226" i="8" s="1"/>
  <c r="M226" i="6"/>
  <c r="M226" i="8" s="1"/>
  <c r="N226" i="6"/>
  <c r="N226" i="8" s="1"/>
  <c r="O226" i="6"/>
  <c r="O226" i="8" s="1"/>
  <c r="P226" i="6"/>
  <c r="P226" i="8" s="1"/>
  <c r="Q226" i="6"/>
  <c r="Q226" i="8" s="1"/>
  <c r="R226" i="6"/>
  <c r="R226" i="8" s="1"/>
  <c r="S226" i="6"/>
  <c r="S226" i="8" s="1"/>
  <c r="T226" i="6"/>
  <c r="T226" i="8" s="1"/>
  <c r="U226" i="6"/>
  <c r="U226" i="8" s="1"/>
  <c r="V226" i="6"/>
  <c r="V226" i="8" s="1"/>
  <c r="W226" i="6"/>
  <c r="W226" i="8" s="1"/>
  <c r="X226" i="6"/>
  <c r="X226" i="8" s="1"/>
  <c r="Y226" i="6"/>
  <c r="Y226" i="8" s="1"/>
  <c r="Z226" i="6"/>
  <c r="Z226" i="8" s="1"/>
  <c r="AA226" i="6"/>
  <c r="AA226" i="8" s="1"/>
  <c r="AB226" i="6"/>
  <c r="AB226" i="8" s="1"/>
  <c r="AC226" i="6"/>
  <c r="AC226" i="8" s="1"/>
  <c r="AD226" i="6"/>
  <c r="AD226" i="8" s="1"/>
  <c r="AE226" i="6"/>
  <c r="AE226" i="8" s="1"/>
  <c r="AF226" i="6"/>
  <c r="AF226" i="8" s="1"/>
  <c r="E227" i="6"/>
  <c r="E227" i="8" s="1"/>
  <c r="F227" i="6"/>
  <c r="F227" i="8" s="1"/>
  <c r="G227" i="6"/>
  <c r="G227" i="8" s="1"/>
  <c r="H227" i="6"/>
  <c r="H227" i="8" s="1"/>
  <c r="I227" i="6"/>
  <c r="I227" i="8" s="1"/>
  <c r="J227" i="6"/>
  <c r="J227" i="8" s="1"/>
  <c r="K227" i="6"/>
  <c r="K227" i="8" s="1"/>
  <c r="L227" i="6"/>
  <c r="L227" i="8" s="1"/>
  <c r="M227" i="6"/>
  <c r="M227" i="8" s="1"/>
  <c r="N227" i="6"/>
  <c r="N227" i="8" s="1"/>
  <c r="O227" i="6"/>
  <c r="O227" i="8" s="1"/>
  <c r="P227" i="6"/>
  <c r="P227" i="8" s="1"/>
  <c r="Q227" i="6"/>
  <c r="Q227" i="8" s="1"/>
  <c r="R227" i="6"/>
  <c r="R227" i="8" s="1"/>
  <c r="S227" i="6"/>
  <c r="S227" i="8" s="1"/>
  <c r="T227" i="6"/>
  <c r="T227" i="8" s="1"/>
  <c r="U227" i="6"/>
  <c r="U227" i="8" s="1"/>
  <c r="V227" i="6"/>
  <c r="V227" i="8" s="1"/>
  <c r="W227" i="6"/>
  <c r="W227" i="8" s="1"/>
  <c r="X227" i="6"/>
  <c r="X227" i="8" s="1"/>
  <c r="Y227" i="6"/>
  <c r="Y227" i="8" s="1"/>
  <c r="Z227" i="6"/>
  <c r="Z227" i="8" s="1"/>
  <c r="AA227" i="6"/>
  <c r="AA227" i="8" s="1"/>
  <c r="AB227" i="6"/>
  <c r="AB227" i="8" s="1"/>
  <c r="AC227" i="6"/>
  <c r="AC227" i="8" s="1"/>
  <c r="AD227" i="6"/>
  <c r="AD227" i="8" s="1"/>
  <c r="AE227" i="6"/>
  <c r="AE227" i="8" s="1"/>
  <c r="AF227" i="6"/>
  <c r="AF227" i="8" s="1"/>
  <c r="E228" i="6"/>
  <c r="E228" i="8" s="1"/>
  <c r="F228" i="6"/>
  <c r="F228" i="8" s="1"/>
  <c r="G228" i="6"/>
  <c r="G228" i="8" s="1"/>
  <c r="H228" i="6"/>
  <c r="H228" i="8" s="1"/>
  <c r="I228" i="6"/>
  <c r="I228" i="8" s="1"/>
  <c r="J228" i="6"/>
  <c r="J228" i="8" s="1"/>
  <c r="K228" i="6"/>
  <c r="K228" i="8" s="1"/>
  <c r="L228" i="6"/>
  <c r="L228" i="8" s="1"/>
  <c r="M228" i="6"/>
  <c r="M228" i="8" s="1"/>
  <c r="N228" i="6"/>
  <c r="N228" i="8" s="1"/>
  <c r="O228" i="6"/>
  <c r="O228" i="8" s="1"/>
  <c r="P228" i="6"/>
  <c r="P228" i="8" s="1"/>
  <c r="Q228" i="6"/>
  <c r="Q228" i="8" s="1"/>
  <c r="R228" i="6"/>
  <c r="R228" i="8" s="1"/>
  <c r="S228" i="6"/>
  <c r="S228" i="8" s="1"/>
  <c r="T228" i="6"/>
  <c r="T228" i="8" s="1"/>
  <c r="U228" i="6"/>
  <c r="U228" i="8" s="1"/>
  <c r="V228" i="6"/>
  <c r="V228" i="8" s="1"/>
  <c r="W228" i="6"/>
  <c r="W228" i="8" s="1"/>
  <c r="X228" i="6"/>
  <c r="X228" i="8" s="1"/>
  <c r="Y228" i="6"/>
  <c r="Y228" i="8" s="1"/>
  <c r="Z228" i="6"/>
  <c r="Z228" i="8" s="1"/>
  <c r="AA228" i="6"/>
  <c r="AA228" i="8" s="1"/>
  <c r="AB228" i="6"/>
  <c r="AB228" i="8" s="1"/>
  <c r="AC228" i="6"/>
  <c r="AC228" i="8" s="1"/>
  <c r="AD228" i="6"/>
  <c r="AD228" i="8" s="1"/>
  <c r="AE228" i="6"/>
  <c r="AE228" i="8" s="1"/>
  <c r="AF228" i="6"/>
  <c r="AF228" i="8" s="1"/>
  <c r="E229" i="6"/>
  <c r="E229" i="8" s="1"/>
  <c r="F229" i="6"/>
  <c r="F229" i="8" s="1"/>
  <c r="G229" i="6"/>
  <c r="G229" i="8" s="1"/>
  <c r="H229" i="6"/>
  <c r="H229" i="8" s="1"/>
  <c r="I229" i="6"/>
  <c r="I229" i="8" s="1"/>
  <c r="J229" i="6"/>
  <c r="J229" i="8" s="1"/>
  <c r="K229" i="6"/>
  <c r="K229" i="8" s="1"/>
  <c r="L229" i="6"/>
  <c r="L229" i="8" s="1"/>
  <c r="M229" i="6"/>
  <c r="M229" i="8" s="1"/>
  <c r="N229" i="6"/>
  <c r="N229" i="8" s="1"/>
  <c r="O229" i="6"/>
  <c r="O229" i="8" s="1"/>
  <c r="P229" i="6"/>
  <c r="P229" i="8" s="1"/>
  <c r="Q229" i="6"/>
  <c r="Q229" i="8" s="1"/>
  <c r="R229" i="6"/>
  <c r="R229" i="8" s="1"/>
  <c r="S229" i="6"/>
  <c r="S229" i="8" s="1"/>
  <c r="T229" i="6"/>
  <c r="T229" i="8" s="1"/>
  <c r="U229" i="6"/>
  <c r="U229" i="8" s="1"/>
  <c r="V229" i="6"/>
  <c r="V229" i="8" s="1"/>
  <c r="W229" i="6"/>
  <c r="W229" i="8" s="1"/>
  <c r="X229" i="6"/>
  <c r="X229" i="8" s="1"/>
  <c r="Y229" i="6"/>
  <c r="Y229" i="8" s="1"/>
  <c r="Z229" i="6"/>
  <c r="Z229" i="8" s="1"/>
  <c r="AA229" i="6"/>
  <c r="AA229" i="8" s="1"/>
  <c r="AB229" i="6"/>
  <c r="AB229" i="8" s="1"/>
  <c r="AC229" i="6"/>
  <c r="AC229" i="8" s="1"/>
  <c r="AD229" i="6"/>
  <c r="AD229" i="8" s="1"/>
  <c r="AE229" i="6"/>
  <c r="AE229" i="8" s="1"/>
  <c r="AF229" i="6"/>
  <c r="AF229" i="8" s="1"/>
  <c r="E230" i="6"/>
  <c r="E230" i="8" s="1"/>
  <c r="F230" i="6"/>
  <c r="F230" i="8" s="1"/>
  <c r="G230" i="6"/>
  <c r="G230" i="8" s="1"/>
  <c r="H230" i="6"/>
  <c r="H230" i="8" s="1"/>
  <c r="I230" i="6"/>
  <c r="I230" i="8" s="1"/>
  <c r="J230" i="6"/>
  <c r="J230" i="8" s="1"/>
  <c r="K230" i="6"/>
  <c r="K230" i="8" s="1"/>
  <c r="L230" i="6"/>
  <c r="L230" i="8" s="1"/>
  <c r="M230" i="6"/>
  <c r="M230" i="8" s="1"/>
  <c r="N230" i="6"/>
  <c r="N230" i="8" s="1"/>
  <c r="O230" i="6"/>
  <c r="O230" i="8" s="1"/>
  <c r="P230" i="6"/>
  <c r="P230" i="8" s="1"/>
  <c r="Q230" i="6"/>
  <c r="Q230" i="8" s="1"/>
  <c r="R230" i="6"/>
  <c r="R230" i="8" s="1"/>
  <c r="S230" i="6"/>
  <c r="S230" i="8" s="1"/>
  <c r="T230" i="6"/>
  <c r="T230" i="8" s="1"/>
  <c r="U230" i="6"/>
  <c r="U230" i="8" s="1"/>
  <c r="V230" i="6"/>
  <c r="V230" i="8" s="1"/>
  <c r="W230" i="6"/>
  <c r="W230" i="8" s="1"/>
  <c r="X230" i="6"/>
  <c r="X230" i="8" s="1"/>
  <c r="Y230" i="6"/>
  <c r="Y230" i="8" s="1"/>
  <c r="Z230" i="6"/>
  <c r="Z230" i="8" s="1"/>
  <c r="AA230" i="6"/>
  <c r="AA230" i="8" s="1"/>
  <c r="AB230" i="6"/>
  <c r="AB230" i="8" s="1"/>
  <c r="AC230" i="6"/>
  <c r="AC230" i="8" s="1"/>
  <c r="AD230" i="6"/>
  <c r="AD230" i="8" s="1"/>
  <c r="AE230" i="6"/>
  <c r="AE230" i="8" s="1"/>
  <c r="AF230" i="6"/>
  <c r="AF230" i="8" s="1"/>
  <c r="E231" i="6"/>
  <c r="E231" i="8" s="1"/>
  <c r="F231" i="6"/>
  <c r="F231" i="8" s="1"/>
  <c r="G231" i="6"/>
  <c r="G231" i="8" s="1"/>
  <c r="H231" i="6"/>
  <c r="H231" i="8" s="1"/>
  <c r="I231" i="6"/>
  <c r="I231" i="8" s="1"/>
  <c r="J231" i="6"/>
  <c r="J231" i="8" s="1"/>
  <c r="K231" i="6"/>
  <c r="K231" i="8" s="1"/>
  <c r="L231" i="6"/>
  <c r="L231" i="8" s="1"/>
  <c r="M231" i="6"/>
  <c r="M231" i="8" s="1"/>
  <c r="N231" i="6"/>
  <c r="N231" i="8" s="1"/>
  <c r="O231" i="6"/>
  <c r="O231" i="8" s="1"/>
  <c r="P231" i="6"/>
  <c r="P231" i="8" s="1"/>
  <c r="Q231" i="6"/>
  <c r="Q231" i="8" s="1"/>
  <c r="R231" i="6"/>
  <c r="R231" i="8" s="1"/>
  <c r="S231" i="6"/>
  <c r="S231" i="8" s="1"/>
  <c r="T231" i="6"/>
  <c r="T231" i="8" s="1"/>
  <c r="U231" i="6"/>
  <c r="U231" i="8" s="1"/>
  <c r="V231" i="6"/>
  <c r="V231" i="8" s="1"/>
  <c r="W231" i="6"/>
  <c r="W231" i="8" s="1"/>
  <c r="X231" i="6"/>
  <c r="X231" i="8" s="1"/>
  <c r="Y231" i="6"/>
  <c r="Y231" i="8" s="1"/>
  <c r="Z231" i="6"/>
  <c r="Z231" i="8" s="1"/>
  <c r="AA231" i="6"/>
  <c r="AA231" i="8" s="1"/>
  <c r="AB231" i="6"/>
  <c r="AB231" i="8" s="1"/>
  <c r="AC231" i="6"/>
  <c r="AC231" i="8" s="1"/>
  <c r="AD231" i="6"/>
  <c r="AD231" i="8" s="1"/>
  <c r="AE231" i="6"/>
  <c r="AE231" i="8" s="1"/>
  <c r="AF231" i="6"/>
  <c r="AF231" i="8" s="1"/>
  <c r="E232" i="6"/>
  <c r="E232" i="8" s="1"/>
  <c r="F232" i="6"/>
  <c r="F232" i="8" s="1"/>
  <c r="G232" i="6"/>
  <c r="G232" i="8" s="1"/>
  <c r="H232" i="6"/>
  <c r="H232" i="8" s="1"/>
  <c r="I232" i="6"/>
  <c r="I232" i="8" s="1"/>
  <c r="J232" i="6"/>
  <c r="J232" i="8" s="1"/>
  <c r="K232" i="6"/>
  <c r="K232" i="8" s="1"/>
  <c r="L232" i="6"/>
  <c r="L232" i="8" s="1"/>
  <c r="M232" i="6"/>
  <c r="M232" i="8" s="1"/>
  <c r="N232" i="6"/>
  <c r="N232" i="8" s="1"/>
  <c r="O232" i="6"/>
  <c r="O232" i="8" s="1"/>
  <c r="P232" i="6"/>
  <c r="P232" i="8" s="1"/>
  <c r="Q232" i="6"/>
  <c r="Q232" i="8" s="1"/>
  <c r="R232" i="6"/>
  <c r="R232" i="8" s="1"/>
  <c r="S232" i="6"/>
  <c r="S232" i="8" s="1"/>
  <c r="T232" i="6"/>
  <c r="T232" i="8" s="1"/>
  <c r="U232" i="6"/>
  <c r="U232" i="8" s="1"/>
  <c r="V232" i="6"/>
  <c r="V232" i="8" s="1"/>
  <c r="W232" i="6"/>
  <c r="W232" i="8" s="1"/>
  <c r="X232" i="6"/>
  <c r="X232" i="8" s="1"/>
  <c r="Y232" i="6"/>
  <c r="Y232" i="8" s="1"/>
  <c r="Z232" i="6"/>
  <c r="Z232" i="8" s="1"/>
  <c r="AA232" i="6"/>
  <c r="AA232" i="8" s="1"/>
  <c r="AB232" i="6"/>
  <c r="AB232" i="8" s="1"/>
  <c r="AC232" i="6"/>
  <c r="AC232" i="8" s="1"/>
  <c r="AD232" i="6"/>
  <c r="AD232" i="8" s="1"/>
  <c r="AE232" i="6"/>
  <c r="AE232" i="8" s="1"/>
  <c r="AF232" i="6"/>
  <c r="AF232" i="8" s="1"/>
  <c r="E233" i="6"/>
  <c r="E233" i="8" s="1"/>
  <c r="F233" i="6"/>
  <c r="F233" i="8" s="1"/>
  <c r="G233" i="6"/>
  <c r="G233" i="8" s="1"/>
  <c r="H233" i="6"/>
  <c r="H233" i="8" s="1"/>
  <c r="I233" i="6"/>
  <c r="I233" i="8" s="1"/>
  <c r="J233" i="6"/>
  <c r="J233" i="8" s="1"/>
  <c r="K233" i="6"/>
  <c r="K233" i="8" s="1"/>
  <c r="L233" i="6"/>
  <c r="L233" i="8" s="1"/>
  <c r="M233" i="6"/>
  <c r="M233" i="8" s="1"/>
  <c r="N233" i="6"/>
  <c r="N233" i="8" s="1"/>
  <c r="O233" i="6"/>
  <c r="O233" i="8" s="1"/>
  <c r="P233" i="6"/>
  <c r="P233" i="8" s="1"/>
  <c r="Q233" i="6"/>
  <c r="Q233" i="8" s="1"/>
  <c r="R233" i="6"/>
  <c r="R233" i="8" s="1"/>
  <c r="S233" i="6"/>
  <c r="S233" i="8" s="1"/>
  <c r="T233" i="6"/>
  <c r="T233" i="8" s="1"/>
  <c r="U233" i="6"/>
  <c r="U233" i="8" s="1"/>
  <c r="V233" i="6"/>
  <c r="V233" i="8" s="1"/>
  <c r="W233" i="6"/>
  <c r="W233" i="8" s="1"/>
  <c r="X233" i="6"/>
  <c r="X233" i="8" s="1"/>
  <c r="Y233" i="6"/>
  <c r="Y233" i="8" s="1"/>
  <c r="Z233" i="6"/>
  <c r="Z233" i="8" s="1"/>
  <c r="AA233" i="6"/>
  <c r="AA233" i="8" s="1"/>
  <c r="AB233" i="6"/>
  <c r="AB233" i="8" s="1"/>
  <c r="AC233" i="6"/>
  <c r="AC233" i="8" s="1"/>
  <c r="AD233" i="6"/>
  <c r="AD233" i="8" s="1"/>
  <c r="AE233" i="6"/>
  <c r="AE233" i="8" s="1"/>
  <c r="AF233" i="6"/>
  <c r="AF233" i="8" s="1"/>
  <c r="E234" i="6"/>
  <c r="E234" i="8" s="1"/>
  <c r="F234" i="6"/>
  <c r="F234" i="8" s="1"/>
  <c r="G234" i="6"/>
  <c r="G234" i="8" s="1"/>
  <c r="H234" i="6"/>
  <c r="H234" i="8" s="1"/>
  <c r="I234" i="6"/>
  <c r="I234" i="8" s="1"/>
  <c r="J234" i="6"/>
  <c r="J234" i="8" s="1"/>
  <c r="K234" i="6"/>
  <c r="K234" i="8" s="1"/>
  <c r="L234" i="6"/>
  <c r="L234" i="8" s="1"/>
  <c r="M234" i="6"/>
  <c r="M234" i="8" s="1"/>
  <c r="N234" i="6"/>
  <c r="N234" i="8" s="1"/>
  <c r="O234" i="6"/>
  <c r="O234" i="8" s="1"/>
  <c r="P234" i="6"/>
  <c r="P234" i="8" s="1"/>
  <c r="Q234" i="6"/>
  <c r="Q234" i="8" s="1"/>
  <c r="R234" i="6"/>
  <c r="R234" i="8" s="1"/>
  <c r="S234" i="6"/>
  <c r="S234" i="8" s="1"/>
  <c r="T234" i="6"/>
  <c r="T234" i="8" s="1"/>
  <c r="U234" i="6"/>
  <c r="U234" i="8" s="1"/>
  <c r="V234" i="6"/>
  <c r="V234" i="8" s="1"/>
  <c r="W234" i="6"/>
  <c r="W234" i="8" s="1"/>
  <c r="X234" i="6"/>
  <c r="X234" i="8" s="1"/>
  <c r="Y234" i="6"/>
  <c r="Y234" i="8" s="1"/>
  <c r="Z234" i="6"/>
  <c r="Z234" i="8" s="1"/>
  <c r="AA234" i="6"/>
  <c r="AA234" i="8" s="1"/>
  <c r="AB234" i="6"/>
  <c r="AB234" i="8" s="1"/>
  <c r="AC234" i="6"/>
  <c r="AC234" i="8" s="1"/>
  <c r="AD234" i="6"/>
  <c r="AD234" i="8" s="1"/>
  <c r="AE234" i="6"/>
  <c r="AE234" i="8" s="1"/>
  <c r="AF234" i="6"/>
  <c r="AF234" i="8" s="1"/>
  <c r="E235" i="6"/>
  <c r="E235" i="8" s="1"/>
  <c r="F235" i="6"/>
  <c r="F235" i="8" s="1"/>
  <c r="G235" i="6"/>
  <c r="G235" i="8" s="1"/>
  <c r="H235" i="6"/>
  <c r="H235" i="8" s="1"/>
  <c r="I235" i="6"/>
  <c r="I235" i="8" s="1"/>
  <c r="J235" i="6"/>
  <c r="J235" i="8" s="1"/>
  <c r="K235" i="6"/>
  <c r="K235" i="8" s="1"/>
  <c r="L235" i="6"/>
  <c r="L235" i="8" s="1"/>
  <c r="M235" i="6"/>
  <c r="M235" i="8" s="1"/>
  <c r="N235" i="6"/>
  <c r="N235" i="8" s="1"/>
  <c r="O235" i="6"/>
  <c r="O235" i="8" s="1"/>
  <c r="P235" i="6"/>
  <c r="P235" i="8" s="1"/>
  <c r="Q235" i="6"/>
  <c r="Q235" i="8" s="1"/>
  <c r="R235" i="6"/>
  <c r="R235" i="8" s="1"/>
  <c r="S235" i="6"/>
  <c r="S235" i="8" s="1"/>
  <c r="T235" i="6"/>
  <c r="T235" i="8" s="1"/>
  <c r="U235" i="6"/>
  <c r="U235" i="8" s="1"/>
  <c r="V235" i="6"/>
  <c r="V235" i="8" s="1"/>
  <c r="W235" i="6"/>
  <c r="W235" i="8" s="1"/>
  <c r="X235" i="6"/>
  <c r="X235" i="8" s="1"/>
  <c r="Y235" i="6"/>
  <c r="Y235" i="8" s="1"/>
  <c r="Z235" i="6"/>
  <c r="Z235" i="8" s="1"/>
  <c r="AA235" i="6"/>
  <c r="AA235" i="8" s="1"/>
  <c r="AB235" i="6"/>
  <c r="AB235" i="8" s="1"/>
  <c r="AC235" i="6"/>
  <c r="AC235" i="8" s="1"/>
  <c r="AD235" i="6"/>
  <c r="AD235" i="8" s="1"/>
  <c r="AE235" i="6"/>
  <c r="AE235" i="8" s="1"/>
  <c r="AF235" i="6"/>
  <c r="AF235" i="8" s="1"/>
  <c r="E236" i="6"/>
  <c r="E236" i="8" s="1"/>
  <c r="F236" i="6"/>
  <c r="F236" i="8" s="1"/>
  <c r="G236" i="6"/>
  <c r="G236" i="8" s="1"/>
  <c r="H236" i="6"/>
  <c r="H236" i="8" s="1"/>
  <c r="I236" i="6"/>
  <c r="I236" i="8" s="1"/>
  <c r="J236" i="6"/>
  <c r="J236" i="8" s="1"/>
  <c r="K236" i="6"/>
  <c r="K236" i="8" s="1"/>
  <c r="L236" i="6"/>
  <c r="L236" i="8" s="1"/>
  <c r="M236" i="6"/>
  <c r="M236" i="8" s="1"/>
  <c r="N236" i="6"/>
  <c r="N236" i="8" s="1"/>
  <c r="O236" i="6"/>
  <c r="O236" i="8" s="1"/>
  <c r="P236" i="6"/>
  <c r="P236" i="8" s="1"/>
  <c r="Q236" i="6"/>
  <c r="Q236" i="8" s="1"/>
  <c r="R236" i="6"/>
  <c r="R236" i="8" s="1"/>
  <c r="S236" i="6"/>
  <c r="S236" i="8" s="1"/>
  <c r="T236" i="6"/>
  <c r="T236" i="8" s="1"/>
  <c r="U236" i="6"/>
  <c r="U236" i="8" s="1"/>
  <c r="V236" i="6"/>
  <c r="V236" i="8" s="1"/>
  <c r="W236" i="6"/>
  <c r="W236" i="8" s="1"/>
  <c r="X236" i="6"/>
  <c r="X236" i="8" s="1"/>
  <c r="Y236" i="6"/>
  <c r="Y236" i="8" s="1"/>
  <c r="Z236" i="6"/>
  <c r="Z236" i="8" s="1"/>
  <c r="AA236" i="6"/>
  <c r="AA236" i="8" s="1"/>
  <c r="AB236" i="6"/>
  <c r="AB236" i="8" s="1"/>
  <c r="AC236" i="6"/>
  <c r="AC236" i="8" s="1"/>
  <c r="AD236" i="6"/>
  <c r="AD236" i="8" s="1"/>
  <c r="AE236" i="6"/>
  <c r="AE236" i="8" s="1"/>
  <c r="AF236" i="6"/>
  <c r="AF236" i="8" s="1"/>
  <c r="E3" i="6"/>
  <c r="E3" i="8" s="1"/>
  <c r="F3" i="6"/>
  <c r="F3" i="8" s="1"/>
  <c r="G3" i="6"/>
  <c r="G3" i="8" s="1"/>
  <c r="H3" i="6"/>
  <c r="H3" i="8" s="1"/>
  <c r="I3" i="6"/>
  <c r="I3" i="8" s="1"/>
  <c r="J3" i="6"/>
  <c r="J3" i="8" s="1"/>
  <c r="K3" i="6"/>
  <c r="K3" i="8" s="1"/>
  <c r="L3" i="6"/>
  <c r="L3" i="8" s="1"/>
  <c r="M3" i="6"/>
  <c r="M3" i="8" s="1"/>
  <c r="N3" i="6"/>
  <c r="N3" i="8" s="1"/>
  <c r="O3" i="6"/>
  <c r="O3" i="8" s="1"/>
  <c r="P3" i="6"/>
  <c r="P3" i="8" s="1"/>
  <c r="Q3" i="6"/>
  <c r="Q3" i="8" s="1"/>
  <c r="R3" i="6"/>
  <c r="R3" i="8" s="1"/>
  <c r="S3" i="6"/>
  <c r="S3" i="8" s="1"/>
  <c r="T3" i="6"/>
  <c r="T3" i="8" s="1"/>
  <c r="U3" i="6"/>
  <c r="U3" i="8" s="1"/>
  <c r="V3" i="6"/>
  <c r="V3" i="8" s="1"/>
  <c r="W3" i="6"/>
  <c r="W3" i="8" s="1"/>
  <c r="W237" i="8" s="1"/>
  <c r="V5" i="5" s="1"/>
  <c r="X3" i="6"/>
  <c r="X3" i="8" s="1"/>
  <c r="Y3" i="6"/>
  <c r="Y3" i="8" s="1"/>
  <c r="Z3" i="6"/>
  <c r="Z3" i="8" s="1"/>
  <c r="AA3" i="6"/>
  <c r="AA3" i="8" s="1"/>
  <c r="AB3" i="6"/>
  <c r="AB3" i="8" s="1"/>
  <c r="AC3" i="6"/>
  <c r="AC3" i="8" s="1"/>
  <c r="AD3" i="6"/>
  <c r="AD3" i="8" s="1"/>
  <c r="AE3" i="6"/>
  <c r="AE3" i="8" s="1"/>
  <c r="AF3" i="6"/>
  <c r="AF3" i="8" s="1"/>
  <c r="D5" i="6"/>
  <c r="D5" i="8" s="1"/>
  <c r="D6" i="6"/>
  <c r="D6" i="8" s="1"/>
  <c r="D7" i="6"/>
  <c r="D7" i="8" s="1"/>
  <c r="D8" i="6"/>
  <c r="D8" i="8" s="1"/>
  <c r="D9" i="6"/>
  <c r="D9" i="8" s="1"/>
  <c r="D10" i="6"/>
  <c r="D10" i="8" s="1"/>
  <c r="D11" i="6"/>
  <c r="D11" i="8" s="1"/>
  <c r="D12" i="6"/>
  <c r="D12" i="8" s="1"/>
  <c r="D13" i="6"/>
  <c r="D13" i="8" s="1"/>
  <c r="D14" i="6"/>
  <c r="D14" i="8" s="1"/>
  <c r="D15" i="6"/>
  <c r="D15" i="8" s="1"/>
  <c r="D16" i="6"/>
  <c r="D16" i="8" s="1"/>
  <c r="D17" i="6"/>
  <c r="D17" i="8" s="1"/>
  <c r="D18" i="6"/>
  <c r="D18" i="8" s="1"/>
  <c r="D19" i="6"/>
  <c r="D19" i="8" s="1"/>
  <c r="D20" i="6"/>
  <c r="D20" i="8" s="1"/>
  <c r="D21" i="6"/>
  <c r="D21" i="8" s="1"/>
  <c r="D22" i="6"/>
  <c r="D22" i="8" s="1"/>
  <c r="D23" i="6"/>
  <c r="D23" i="8" s="1"/>
  <c r="D24" i="6"/>
  <c r="D24" i="8" s="1"/>
  <c r="D25" i="6"/>
  <c r="D25" i="8" s="1"/>
  <c r="D26" i="6"/>
  <c r="D26" i="8" s="1"/>
  <c r="D27" i="6"/>
  <c r="D27" i="8" s="1"/>
  <c r="D28" i="6"/>
  <c r="D28" i="8" s="1"/>
  <c r="D29" i="6"/>
  <c r="D29" i="8" s="1"/>
  <c r="D30" i="6"/>
  <c r="D30" i="8" s="1"/>
  <c r="D31" i="6"/>
  <c r="D31" i="8" s="1"/>
  <c r="D32" i="6"/>
  <c r="D32" i="8" s="1"/>
  <c r="D33" i="6"/>
  <c r="D33" i="8" s="1"/>
  <c r="D34" i="6"/>
  <c r="D34" i="8" s="1"/>
  <c r="D35" i="6"/>
  <c r="D35" i="8" s="1"/>
  <c r="D36" i="6"/>
  <c r="D36" i="8" s="1"/>
  <c r="D37" i="6"/>
  <c r="D37" i="8" s="1"/>
  <c r="D38" i="6"/>
  <c r="D38" i="8" s="1"/>
  <c r="D39" i="6"/>
  <c r="D39" i="8" s="1"/>
  <c r="D40" i="6"/>
  <c r="D40" i="8" s="1"/>
  <c r="D41" i="6"/>
  <c r="D41" i="8" s="1"/>
  <c r="D42" i="6"/>
  <c r="D42" i="8" s="1"/>
  <c r="D43" i="6"/>
  <c r="D43" i="8" s="1"/>
  <c r="D44" i="6"/>
  <c r="D44" i="8" s="1"/>
  <c r="D45" i="6"/>
  <c r="D45" i="8" s="1"/>
  <c r="D46" i="6"/>
  <c r="D46" i="8" s="1"/>
  <c r="D47" i="6"/>
  <c r="D47" i="8" s="1"/>
  <c r="D48" i="6"/>
  <c r="D48" i="8" s="1"/>
  <c r="D49" i="6"/>
  <c r="D49" i="8" s="1"/>
  <c r="D50" i="6"/>
  <c r="D50" i="8" s="1"/>
  <c r="D51" i="6"/>
  <c r="D51" i="8" s="1"/>
  <c r="D52" i="6"/>
  <c r="D52" i="8" s="1"/>
  <c r="D53" i="6"/>
  <c r="D53" i="8" s="1"/>
  <c r="D54" i="6"/>
  <c r="D54" i="8" s="1"/>
  <c r="D55" i="6"/>
  <c r="D55" i="8" s="1"/>
  <c r="D56" i="6"/>
  <c r="D56" i="8" s="1"/>
  <c r="D57" i="6"/>
  <c r="D57" i="8" s="1"/>
  <c r="D58" i="6"/>
  <c r="D58" i="8" s="1"/>
  <c r="D59" i="6"/>
  <c r="D59" i="8" s="1"/>
  <c r="D60" i="6"/>
  <c r="D60" i="8" s="1"/>
  <c r="D61" i="6"/>
  <c r="D61" i="8" s="1"/>
  <c r="D62" i="6"/>
  <c r="D62" i="8" s="1"/>
  <c r="D63" i="6"/>
  <c r="D63" i="8" s="1"/>
  <c r="D64" i="6"/>
  <c r="D64" i="8" s="1"/>
  <c r="D65" i="6"/>
  <c r="D65" i="8" s="1"/>
  <c r="D66" i="6"/>
  <c r="D66" i="8" s="1"/>
  <c r="D67" i="6"/>
  <c r="D67" i="8" s="1"/>
  <c r="D68" i="6"/>
  <c r="D68" i="8" s="1"/>
  <c r="D69" i="6"/>
  <c r="D69" i="8" s="1"/>
  <c r="D70" i="6"/>
  <c r="D70" i="8" s="1"/>
  <c r="D71" i="6"/>
  <c r="D71" i="8" s="1"/>
  <c r="D72" i="6"/>
  <c r="D72" i="8" s="1"/>
  <c r="D73" i="6"/>
  <c r="D73" i="8" s="1"/>
  <c r="D74" i="6"/>
  <c r="D74" i="8" s="1"/>
  <c r="D75" i="6"/>
  <c r="D75" i="8" s="1"/>
  <c r="D76" i="6"/>
  <c r="D76" i="8" s="1"/>
  <c r="D77" i="6"/>
  <c r="D77" i="8" s="1"/>
  <c r="D78" i="6"/>
  <c r="D78" i="8" s="1"/>
  <c r="D79" i="6"/>
  <c r="D79" i="8" s="1"/>
  <c r="D80" i="6"/>
  <c r="D80" i="8" s="1"/>
  <c r="D81" i="6"/>
  <c r="D81" i="8" s="1"/>
  <c r="D82" i="6"/>
  <c r="D82" i="8" s="1"/>
  <c r="D83" i="6"/>
  <c r="D83" i="8" s="1"/>
  <c r="D84" i="6"/>
  <c r="D84" i="8" s="1"/>
  <c r="D85" i="6"/>
  <c r="D85" i="8" s="1"/>
  <c r="D86" i="6"/>
  <c r="D86" i="8" s="1"/>
  <c r="D87" i="6"/>
  <c r="D87" i="8" s="1"/>
  <c r="D88" i="6"/>
  <c r="D88" i="8" s="1"/>
  <c r="D89" i="6"/>
  <c r="D89" i="8" s="1"/>
  <c r="D90" i="6"/>
  <c r="D90" i="8" s="1"/>
  <c r="D91" i="6"/>
  <c r="D91" i="8" s="1"/>
  <c r="D92" i="6"/>
  <c r="D92" i="8" s="1"/>
  <c r="D93" i="6"/>
  <c r="D93" i="8" s="1"/>
  <c r="D94" i="6"/>
  <c r="D94" i="8" s="1"/>
  <c r="D95" i="6"/>
  <c r="D95" i="8" s="1"/>
  <c r="D96" i="6"/>
  <c r="D96" i="8" s="1"/>
  <c r="D97" i="6"/>
  <c r="D97" i="8" s="1"/>
  <c r="D98" i="6"/>
  <c r="D98" i="8" s="1"/>
  <c r="D99" i="6"/>
  <c r="D99" i="8" s="1"/>
  <c r="D100" i="6"/>
  <c r="D100" i="8" s="1"/>
  <c r="D101" i="6"/>
  <c r="D101" i="8" s="1"/>
  <c r="D102" i="6"/>
  <c r="D102" i="8" s="1"/>
  <c r="D103" i="6"/>
  <c r="D103" i="8" s="1"/>
  <c r="D104" i="6"/>
  <c r="D104" i="8" s="1"/>
  <c r="D105" i="6"/>
  <c r="D105" i="8" s="1"/>
  <c r="D106" i="6"/>
  <c r="D106" i="8" s="1"/>
  <c r="D107" i="6"/>
  <c r="D107" i="8" s="1"/>
  <c r="D108" i="6"/>
  <c r="D108" i="8" s="1"/>
  <c r="D109" i="6"/>
  <c r="D109" i="8" s="1"/>
  <c r="D110" i="6"/>
  <c r="D110" i="8" s="1"/>
  <c r="D111" i="6"/>
  <c r="D111" i="8" s="1"/>
  <c r="D112" i="6"/>
  <c r="D112" i="8" s="1"/>
  <c r="D113" i="6"/>
  <c r="D113" i="8" s="1"/>
  <c r="D114" i="6"/>
  <c r="D114" i="8" s="1"/>
  <c r="D115" i="6"/>
  <c r="D115" i="8" s="1"/>
  <c r="D116" i="6"/>
  <c r="D116" i="8" s="1"/>
  <c r="D117" i="6"/>
  <c r="D117" i="8" s="1"/>
  <c r="D118" i="6"/>
  <c r="D118" i="8" s="1"/>
  <c r="D119" i="6"/>
  <c r="D119" i="8" s="1"/>
  <c r="D120" i="6"/>
  <c r="D120" i="8" s="1"/>
  <c r="D121" i="6"/>
  <c r="D121" i="8" s="1"/>
  <c r="D122" i="6"/>
  <c r="D122" i="8" s="1"/>
  <c r="D123" i="6"/>
  <c r="D123" i="8" s="1"/>
  <c r="D124" i="6"/>
  <c r="D124" i="8" s="1"/>
  <c r="D125" i="6"/>
  <c r="D125" i="8" s="1"/>
  <c r="D126" i="6"/>
  <c r="D126" i="8" s="1"/>
  <c r="D127" i="6"/>
  <c r="D127" i="8" s="1"/>
  <c r="D128" i="6"/>
  <c r="D128" i="8" s="1"/>
  <c r="D129" i="6"/>
  <c r="D129" i="8" s="1"/>
  <c r="D130" i="6"/>
  <c r="D130" i="8" s="1"/>
  <c r="D131" i="6"/>
  <c r="D131" i="8" s="1"/>
  <c r="D132" i="6"/>
  <c r="D132" i="8" s="1"/>
  <c r="D133" i="6"/>
  <c r="D133" i="8" s="1"/>
  <c r="D134" i="6"/>
  <c r="D134" i="8" s="1"/>
  <c r="D135" i="6"/>
  <c r="D135" i="8" s="1"/>
  <c r="D136" i="6"/>
  <c r="D136" i="8" s="1"/>
  <c r="D137" i="6"/>
  <c r="D137" i="8" s="1"/>
  <c r="D138" i="6"/>
  <c r="D138" i="8" s="1"/>
  <c r="D139" i="6"/>
  <c r="D139" i="8" s="1"/>
  <c r="D140" i="6"/>
  <c r="D140" i="8" s="1"/>
  <c r="D141" i="6"/>
  <c r="D141" i="8" s="1"/>
  <c r="D142" i="6"/>
  <c r="D142" i="8" s="1"/>
  <c r="D143" i="6"/>
  <c r="D143" i="8" s="1"/>
  <c r="D144" i="6"/>
  <c r="D144" i="8" s="1"/>
  <c r="D145" i="6"/>
  <c r="D145" i="8" s="1"/>
  <c r="D146" i="6"/>
  <c r="D146" i="8" s="1"/>
  <c r="D147" i="6"/>
  <c r="D147" i="8" s="1"/>
  <c r="D148" i="6"/>
  <c r="D148" i="8" s="1"/>
  <c r="D149" i="6"/>
  <c r="D149" i="8" s="1"/>
  <c r="D150" i="6"/>
  <c r="D150" i="8" s="1"/>
  <c r="D151" i="6"/>
  <c r="D151" i="8" s="1"/>
  <c r="D152" i="6"/>
  <c r="D152" i="8" s="1"/>
  <c r="D153" i="6"/>
  <c r="D153" i="8" s="1"/>
  <c r="D154" i="6"/>
  <c r="D154" i="8" s="1"/>
  <c r="D155" i="6"/>
  <c r="D155" i="8" s="1"/>
  <c r="D156" i="6"/>
  <c r="D156" i="8" s="1"/>
  <c r="D157" i="6"/>
  <c r="D157" i="8" s="1"/>
  <c r="D158" i="6"/>
  <c r="D158" i="8" s="1"/>
  <c r="D159" i="6"/>
  <c r="D159" i="8" s="1"/>
  <c r="D160" i="6"/>
  <c r="D160" i="8" s="1"/>
  <c r="D161" i="6"/>
  <c r="D161" i="8" s="1"/>
  <c r="D162" i="6"/>
  <c r="D162" i="8" s="1"/>
  <c r="D163" i="6"/>
  <c r="D163" i="8" s="1"/>
  <c r="D164" i="6"/>
  <c r="D164" i="8" s="1"/>
  <c r="D165" i="6"/>
  <c r="D165" i="8" s="1"/>
  <c r="D166" i="6"/>
  <c r="D166" i="8" s="1"/>
  <c r="D167" i="6"/>
  <c r="D167" i="8" s="1"/>
  <c r="D168" i="6"/>
  <c r="D168" i="8" s="1"/>
  <c r="D169" i="6"/>
  <c r="D169" i="8" s="1"/>
  <c r="D170" i="6"/>
  <c r="D170" i="8" s="1"/>
  <c r="D171" i="6"/>
  <c r="D171" i="8" s="1"/>
  <c r="D172" i="6"/>
  <c r="D172" i="8" s="1"/>
  <c r="D173" i="6"/>
  <c r="D173" i="8" s="1"/>
  <c r="D174" i="6"/>
  <c r="D174" i="8" s="1"/>
  <c r="D175" i="6"/>
  <c r="D175" i="8" s="1"/>
  <c r="D176" i="6"/>
  <c r="D176" i="8" s="1"/>
  <c r="D177" i="6"/>
  <c r="D177" i="8" s="1"/>
  <c r="D178" i="6"/>
  <c r="D178" i="8" s="1"/>
  <c r="D179" i="6"/>
  <c r="D179" i="8" s="1"/>
  <c r="D180" i="6"/>
  <c r="D180" i="8" s="1"/>
  <c r="D181" i="6"/>
  <c r="D181" i="8" s="1"/>
  <c r="D182" i="6"/>
  <c r="D182" i="8" s="1"/>
  <c r="D183" i="6"/>
  <c r="D183" i="8" s="1"/>
  <c r="D184" i="6"/>
  <c r="D184" i="8" s="1"/>
  <c r="D185" i="6"/>
  <c r="D185" i="8" s="1"/>
  <c r="D186" i="6"/>
  <c r="D186" i="8" s="1"/>
  <c r="D187" i="6"/>
  <c r="D187" i="8" s="1"/>
  <c r="D188" i="6"/>
  <c r="D188" i="8" s="1"/>
  <c r="D189" i="6"/>
  <c r="D189" i="8" s="1"/>
  <c r="D190" i="6"/>
  <c r="D190" i="8" s="1"/>
  <c r="D191" i="6"/>
  <c r="D191" i="8" s="1"/>
  <c r="D192" i="6"/>
  <c r="D192" i="8" s="1"/>
  <c r="D193" i="6"/>
  <c r="D193" i="8" s="1"/>
  <c r="D194" i="6"/>
  <c r="D194" i="8" s="1"/>
  <c r="D195" i="6"/>
  <c r="D195" i="8" s="1"/>
  <c r="D196" i="6"/>
  <c r="D196" i="8" s="1"/>
  <c r="D197" i="6"/>
  <c r="D197" i="8" s="1"/>
  <c r="D198" i="6"/>
  <c r="D198" i="8" s="1"/>
  <c r="D199" i="6"/>
  <c r="D199" i="8" s="1"/>
  <c r="D200" i="6"/>
  <c r="D200" i="8" s="1"/>
  <c r="D201" i="6"/>
  <c r="D201" i="8" s="1"/>
  <c r="D202" i="6"/>
  <c r="D202" i="8" s="1"/>
  <c r="D203" i="6"/>
  <c r="D203" i="8" s="1"/>
  <c r="D204" i="6"/>
  <c r="D204" i="8" s="1"/>
  <c r="D205" i="6"/>
  <c r="D205" i="8" s="1"/>
  <c r="D206" i="6"/>
  <c r="D206" i="8" s="1"/>
  <c r="D207" i="6"/>
  <c r="D207" i="8" s="1"/>
  <c r="D208" i="6"/>
  <c r="D208" i="8" s="1"/>
  <c r="D209" i="6"/>
  <c r="D209" i="8" s="1"/>
  <c r="D210" i="6"/>
  <c r="D210" i="8" s="1"/>
  <c r="D211" i="6"/>
  <c r="D211" i="8" s="1"/>
  <c r="D212" i="6"/>
  <c r="D212" i="8" s="1"/>
  <c r="D213" i="6"/>
  <c r="D213" i="8" s="1"/>
  <c r="D214" i="6"/>
  <c r="D214" i="8" s="1"/>
  <c r="D215" i="6"/>
  <c r="D215" i="8" s="1"/>
  <c r="D216" i="6"/>
  <c r="D216" i="8" s="1"/>
  <c r="D217" i="6"/>
  <c r="D217" i="8" s="1"/>
  <c r="D218" i="6"/>
  <c r="D218" i="8" s="1"/>
  <c r="D219" i="6"/>
  <c r="D219" i="8" s="1"/>
  <c r="D220" i="6"/>
  <c r="D220" i="8" s="1"/>
  <c r="D221" i="6"/>
  <c r="D221" i="8" s="1"/>
  <c r="D222" i="6"/>
  <c r="D222" i="8" s="1"/>
  <c r="D223" i="6"/>
  <c r="D223" i="8" s="1"/>
  <c r="D224" i="6"/>
  <c r="D224" i="8" s="1"/>
  <c r="D225" i="6"/>
  <c r="D225" i="8" s="1"/>
  <c r="D226" i="6"/>
  <c r="D226" i="8" s="1"/>
  <c r="D227" i="6"/>
  <c r="D227" i="8" s="1"/>
  <c r="D228" i="6"/>
  <c r="D228" i="8" s="1"/>
  <c r="D229" i="6"/>
  <c r="D229" i="8" s="1"/>
  <c r="D230" i="6"/>
  <c r="D230" i="8" s="1"/>
  <c r="D231" i="6"/>
  <c r="D231" i="8" s="1"/>
  <c r="D232" i="6"/>
  <c r="D232" i="8" s="1"/>
  <c r="D233" i="6"/>
  <c r="D233" i="8" s="1"/>
  <c r="D234" i="6"/>
  <c r="D234" i="8" s="1"/>
  <c r="D235" i="6"/>
  <c r="D235" i="8" s="1"/>
  <c r="D236" i="6"/>
  <c r="D236" i="8" s="1"/>
  <c r="D4" i="6"/>
  <c r="D4" i="8" s="1"/>
  <c r="D3" i="6"/>
  <c r="D3" i="8" s="1"/>
  <c r="C4" i="6"/>
  <c r="C4" i="8" s="1"/>
  <c r="C5" i="6"/>
  <c r="C5" i="8" s="1"/>
  <c r="C6" i="6"/>
  <c r="C6" i="8" s="1"/>
  <c r="C7" i="6"/>
  <c r="C7" i="8" s="1"/>
  <c r="C8" i="6"/>
  <c r="C8" i="8" s="1"/>
  <c r="C9" i="6"/>
  <c r="C9" i="8" s="1"/>
  <c r="C10" i="6"/>
  <c r="C10" i="8" s="1"/>
  <c r="C11" i="6"/>
  <c r="C11" i="8" s="1"/>
  <c r="C12" i="6"/>
  <c r="C12" i="8" s="1"/>
  <c r="C13" i="6"/>
  <c r="C13" i="8" s="1"/>
  <c r="C14" i="6"/>
  <c r="C14" i="8" s="1"/>
  <c r="C15" i="6"/>
  <c r="C15" i="8" s="1"/>
  <c r="C16" i="6"/>
  <c r="C16" i="8" s="1"/>
  <c r="C17" i="6"/>
  <c r="C17" i="8" s="1"/>
  <c r="C18" i="6"/>
  <c r="C18" i="8" s="1"/>
  <c r="C19" i="6"/>
  <c r="C19" i="8" s="1"/>
  <c r="C20" i="6"/>
  <c r="C20" i="8" s="1"/>
  <c r="C21" i="6"/>
  <c r="C21" i="8" s="1"/>
  <c r="C22" i="6"/>
  <c r="C22" i="8" s="1"/>
  <c r="C23" i="6"/>
  <c r="C23" i="8" s="1"/>
  <c r="C24" i="6"/>
  <c r="C24" i="8" s="1"/>
  <c r="C25" i="6"/>
  <c r="C25" i="8" s="1"/>
  <c r="C26" i="6"/>
  <c r="C26" i="8" s="1"/>
  <c r="C27" i="6"/>
  <c r="C27" i="8" s="1"/>
  <c r="C28" i="6"/>
  <c r="C28" i="8" s="1"/>
  <c r="C29" i="6"/>
  <c r="C29" i="8" s="1"/>
  <c r="C30" i="6"/>
  <c r="C30" i="8" s="1"/>
  <c r="C31" i="6"/>
  <c r="C31" i="8" s="1"/>
  <c r="C32" i="6"/>
  <c r="C32" i="8" s="1"/>
  <c r="C33" i="6"/>
  <c r="C33" i="8" s="1"/>
  <c r="C34" i="6"/>
  <c r="C34" i="8" s="1"/>
  <c r="C35" i="6"/>
  <c r="C35" i="8" s="1"/>
  <c r="C36" i="6"/>
  <c r="C36" i="8" s="1"/>
  <c r="C37" i="6"/>
  <c r="C37" i="8" s="1"/>
  <c r="C38" i="6"/>
  <c r="C38" i="8" s="1"/>
  <c r="C39" i="6"/>
  <c r="C39" i="8" s="1"/>
  <c r="C40" i="6"/>
  <c r="C40" i="8" s="1"/>
  <c r="C41" i="6"/>
  <c r="C41" i="8" s="1"/>
  <c r="C42" i="6"/>
  <c r="C42" i="8" s="1"/>
  <c r="C43" i="6"/>
  <c r="C43" i="8" s="1"/>
  <c r="C44" i="6"/>
  <c r="C44" i="8" s="1"/>
  <c r="C45" i="6"/>
  <c r="C45" i="8" s="1"/>
  <c r="C46" i="6"/>
  <c r="C46" i="8" s="1"/>
  <c r="C47" i="6"/>
  <c r="C47" i="8" s="1"/>
  <c r="C48" i="6"/>
  <c r="C48" i="8" s="1"/>
  <c r="C49" i="6"/>
  <c r="C49" i="8" s="1"/>
  <c r="C50" i="6"/>
  <c r="C50" i="8" s="1"/>
  <c r="C51" i="6"/>
  <c r="C51" i="8" s="1"/>
  <c r="C52" i="6"/>
  <c r="C52" i="8" s="1"/>
  <c r="C53" i="6"/>
  <c r="C53" i="8" s="1"/>
  <c r="C54" i="6"/>
  <c r="C54" i="8" s="1"/>
  <c r="C55" i="6"/>
  <c r="C55" i="8" s="1"/>
  <c r="C56" i="6"/>
  <c r="C56" i="8" s="1"/>
  <c r="C57" i="6"/>
  <c r="C57" i="8" s="1"/>
  <c r="C58" i="6"/>
  <c r="C58" i="8" s="1"/>
  <c r="C59" i="6"/>
  <c r="C59" i="8" s="1"/>
  <c r="C60" i="6"/>
  <c r="C60" i="8" s="1"/>
  <c r="C61" i="6"/>
  <c r="C61" i="8" s="1"/>
  <c r="C62" i="6"/>
  <c r="C62" i="8" s="1"/>
  <c r="C63" i="6"/>
  <c r="C63" i="8" s="1"/>
  <c r="C64" i="6"/>
  <c r="C64" i="8" s="1"/>
  <c r="C65" i="6"/>
  <c r="C65" i="8" s="1"/>
  <c r="C66" i="6"/>
  <c r="C66" i="8" s="1"/>
  <c r="C67" i="6"/>
  <c r="C67" i="8" s="1"/>
  <c r="C68" i="6"/>
  <c r="C68" i="8" s="1"/>
  <c r="C69" i="6"/>
  <c r="C69" i="8" s="1"/>
  <c r="C70" i="6"/>
  <c r="C70" i="8" s="1"/>
  <c r="C71" i="6"/>
  <c r="C71" i="8" s="1"/>
  <c r="C72" i="6"/>
  <c r="C72" i="8" s="1"/>
  <c r="C73" i="6"/>
  <c r="C73" i="8" s="1"/>
  <c r="C74" i="6"/>
  <c r="C74" i="8" s="1"/>
  <c r="C75" i="6"/>
  <c r="C75" i="8" s="1"/>
  <c r="C76" i="6"/>
  <c r="C76" i="8" s="1"/>
  <c r="C77" i="6"/>
  <c r="C77" i="8" s="1"/>
  <c r="C78" i="6"/>
  <c r="C78" i="8" s="1"/>
  <c r="C79" i="6"/>
  <c r="C79" i="8" s="1"/>
  <c r="C80" i="6"/>
  <c r="C80" i="8" s="1"/>
  <c r="C81" i="6"/>
  <c r="C81" i="8" s="1"/>
  <c r="C82" i="6"/>
  <c r="C82" i="8" s="1"/>
  <c r="C83" i="6"/>
  <c r="C83" i="8" s="1"/>
  <c r="C84" i="6"/>
  <c r="C84" i="8" s="1"/>
  <c r="C85" i="6"/>
  <c r="C85" i="8" s="1"/>
  <c r="C86" i="6"/>
  <c r="C86" i="8" s="1"/>
  <c r="C87" i="6"/>
  <c r="C87" i="8" s="1"/>
  <c r="C88" i="6"/>
  <c r="C88" i="8" s="1"/>
  <c r="C89" i="6"/>
  <c r="C89" i="8" s="1"/>
  <c r="C90" i="6"/>
  <c r="C90" i="8" s="1"/>
  <c r="C91" i="6"/>
  <c r="C91" i="8" s="1"/>
  <c r="C92" i="6"/>
  <c r="C92" i="8" s="1"/>
  <c r="C93" i="6"/>
  <c r="C93" i="8" s="1"/>
  <c r="C94" i="6"/>
  <c r="C94" i="8" s="1"/>
  <c r="C95" i="6"/>
  <c r="C95" i="8" s="1"/>
  <c r="C96" i="6"/>
  <c r="C96" i="8" s="1"/>
  <c r="C97" i="6"/>
  <c r="C97" i="8" s="1"/>
  <c r="C98" i="6"/>
  <c r="C98" i="8" s="1"/>
  <c r="C99" i="6"/>
  <c r="C99" i="8" s="1"/>
  <c r="C100" i="6"/>
  <c r="C100" i="8" s="1"/>
  <c r="C101" i="6"/>
  <c r="C101" i="8" s="1"/>
  <c r="C102" i="6"/>
  <c r="C102" i="8" s="1"/>
  <c r="C103" i="6"/>
  <c r="C103" i="8" s="1"/>
  <c r="C104" i="6"/>
  <c r="C104" i="8" s="1"/>
  <c r="C105" i="6"/>
  <c r="C105" i="8" s="1"/>
  <c r="C106" i="6"/>
  <c r="C106" i="8" s="1"/>
  <c r="C107" i="6"/>
  <c r="C107" i="8" s="1"/>
  <c r="C108" i="6"/>
  <c r="C108" i="8" s="1"/>
  <c r="C109" i="6"/>
  <c r="C109" i="8" s="1"/>
  <c r="C110" i="6"/>
  <c r="C110" i="8" s="1"/>
  <c r="C111" i="6"/>
  <c r="C111" i="8" s="1"/>
  <c r="C112" i="6"/>
  <c r="C112" i="8" s="1"/>
  <c r="C113" i="6"/>
  <c r="C113" i="8" s="1"/>
  <c r="C114" i="6"/>
  <c r="C114" i="8" s="1"/>
  <c r="C115" i="6"/>
  <c r="C115" i="8" s="1"/>
  <c r="C116" i="6"/>
  <c r="C116" i="8" s="1"/>
  <c r="C117" i="6"/>
  <c r="C117" i="8" s="1"/>
  <c r="C118" i="6"/>
  <c r="C118" i="8" s="1"/>
  <c r="C119" i="6"/>
  <c r="C119" i="8" s="1"/>
  <c r="C120" i="6"/>
  <c r="C120" i="8" s="1"/>
  <c r="C121" i="6"/>
  <c r="C121" i="8" s="1"/>
  <c r="C122" i="6"/>
  <c r="C122" i="8" s="1"/>
  <c r="C123" i="6"/>
  <c r="C123" i="8" s="1"/>
  <c r="C124" i="6"/>
  <c r="C124" i="8" s="1"/>
  <c r="C125" i="6"/>
  <c r="C125" i="8" s="1"/>
  <c r="C126" i="6"/>
  <c r="C126" i="8" s="1"/>
  <c r="C127" i="6"/>
  <c r="C127" i="8" s="1"/>
  <c r="C128" i="6"/>
  <c r="C128" i="8" s="1"/>
  <c r="C129" i="6"/>
  <c r="C129" i="8" s="1"/>
  <c r="C130" i="6"/>
  <c r="C130" i="8" s="1"/>
  <c r="C131" i="6"/>
  <c r="C131" i="8" s="1"/>
  <c r="C132" i="6"/>
  <c r="C132" i="8" s="1"/>
  <c r="C133" i="6"/>
  <c r="C133" i="8" s="1"/>
  <c r="C134" i="6"/>
  <c r="C134" i="8" s="1"/>
  <c r="C135" i="6"/>
  <c r="C135" i="8" s="1"/>
  <c r="C136" i="6"/>
  <c r="C136" i="8" s="1"/>
  <c r="C137" i="6"/>
  <c r="C137" i="8" s="1"/>
  <c r="C138" i="6"/>
  <c r="C138" i="8" s="1"/>
  <c r="C139" i="6"/>
  <c r="C139" i="8" s="1"/>
  <c r="C140" i="6"/>
  <c r="C140" i="8" s="1"/>
  <c r="C141" i="6"/>
  <c r="C141" i="8" s="1"/>
  <c r="C142" i="6"/>
  <c r="C142" i="8" s="1"/>
  <c r="C143" i="6"/>
  <c r="C143" i="8" s="1"/>
  <c r="C144" i="6"/>
  <c r="C144" i="8" s="1"/>
  <c r="C145" i="6"/>
  <c r="C145" i="8" s="1"/>
  <c r="C146" i="6"/>
  <c r="C146" i="8" s="1"/>
  <c r="C147" i="6"/>
  <c r="C147" i="8" s="1"/>
  <c r="C148" i="6"/>
  <c r="C148" i="8" s="1"/>
  <c r="C149" i="6"/>
  <c r="C149" i="8" s="1"/>
  <c r="C150" i="6"/>
  <c r="C150" i="8" s="1"/>
  <c r="C151" i="6"/>
  <c r="C151" i="8" s="1"/>
  <c r="C152" i="6"/>
  <c r="C152" i="8" s="1"/>
  <c r="C153" i="6"/>
  <c r="C153" i="8" s="1"/>
  <c r="C154" i="6"/>
  <c r="C154" i="8" s="1"/>
  <c r="C155" i="6"/>
  <c r="C155" i="8" s="1"/>
  <c r="C156" i="6"/>
  <c r="C156" i="8" s="1"/>
  <c r="C157" i="6"/>
  <c r="C157" i="8" s="1"/>
  <c r="C158" i="6"/>
  <c r="C158" i="8" s="1"/>
  <c r="C159" i="6"/>
  <c r="C159" i="8" s="1"/>
  <c r="C160" i="6"/>
  <c r="C160" i="8" s="1"/>
  <c r="C161" i="6"/>
  <c r="C161" i="8" s="1"/>
  <c r="C162" i="6"/>
  <c r="C162" i="8" s="1"/>
  <c r="C163" i="6"/>
  <c r="C163" i="8" s="1"/>
  <c r="C164" i="6"/>
  <c r="C164" i="8" s="1"/>
  <c r="C165" i="6"/>
  <c r="C165" i="8" s="1"/>
  <c r="C166" i="6"/>
  <c r="C166" i="8" s="1"/>
  <c r="C167" i="6"/>
  <c r="C167" i="8" s="1"/>
  <c r="C168" i="6"/>
  <c r="C168" i="8" s="1"/>
  <c r="C169" i="6"/>
  <c r="C169" i="8" s="1"/>
  <c r="C170" i="6"/>
  <c r="C170" i="8" s="1"/>
  <c r="C171" i="6"/>
  <c r="C171" i="8" s="1"/>
  <c r="C172" i="6"/>
  <c r="C172" i="8" s="1"/>
  <c r="C173" i="6"/>
  <c r="C173" i="8" s="1"/>
  <c r="C174" i="6"/>
  <c r="C174" i="8" s="1"/>
  <c r="C175" i="6"/>
  <c r="C175" i="8" s="1"/>
  <c r="C176" i="6"/>
  <c r="C176" i="8" s="1"/>
  <c r="C177" i="6"/>
  <c r="C177" i="8" s="1"/>
  <c r="C178" i="6"/>
  <c r="C178" i="8" s="1"/>
  <c r="C179" i="6"/>
  <c r="C179" i="8" s="1"/>
  <c r="C180" i="6"/>
  <c r="C180" i="8" s="1"/>
  <c r="C181" i="6"/>
  <c r="C181" i="8" s="1"/>
  <c r="C182" i="6"/>
  <c r="C182" i="8" s="1"/>
  <c r="C183" i="6"/>
  <c r="C183" i="8" s="1"/>
  <c r="C184" i="6"/>
  <c r="C184" i="8" s="1"/>
  <c r="C185" i="6"/>
  <c r="C185" i="8" s="1"/>
  <c r="C186" i="6"/>
  <c r="C186" i="8" s="1"/>
  <c r="C187" i="6"/>
  <c r="C187" i="8" s="1"/>
  <c r="C188" i="6"/>
  <c r="C188" i="8" s="1"/>
  <c r="C189" i="6"/>
  <c r="C189" i="8" s="1"/>
  <c r="C190" i="6"/>
  <c r="C190" i="8" s="1"/>
  <c r="C191" i="6"/>
  <c r="C191" i="8" s="1"/>
  <c r="C192" i="6"/>
  <c r="C192" i="8" s="1"/>
  <c r="C193" i="6"/>
  <c r="C193" i="8" s="1"/>
  <c r="C194" i="6"/>
  <c r="C194" i="8" s="1"/>
  <c r="C195" i="6"/>
  <c r="C195" i="8" s="1"/>
  <c r="C196" i="6"/>
  <c r="C196" i="8" s="1"/>
  <c r="C197" i="6"/>
  <c r="C197" i="8" s="1"/>
  <c r="C198" i="6"/>
  <c r="C198" i="8" s="1"/>
  <c r="C199" i="6"/>
  <c r="C199" i="8" s="1"/>
  <c r="C200" i="6"/>
  <c r="C200" i="8" s="1"/>
  <c r="C201" i="6"/>
  <c r="C201" i="8" s="1"/>
  <c r="C202" i="6"/>
  <c r="C202" i="8" s="1"/>
  <c r="C203" i="6"/>
  <c r="C203" i="8" s="1"/>
  <c r="C204" i="6"/>
  <c r="C204" i="8" s="1"/>
  <c r="C205" i="6"/>
  <c r="C205" i="8" s="1"/>
  <c r="C206" i="6"/>
  <c r="C206" i="8" s="1"/>
  <c r="C207" i="6"/>
  <c r="C207" i="8" s="1"/>
  <c r="C208" i="6"/>
  <c r="C208" i="8" s="1"/>
  <c r="C209" i="6"/>
  <c r="C209" i="8" s="1"/>
  <c r="C210" i="6"/>
  <c r="C210" i="8" s="1"/>
  <c r="C211" i="6"/>
  <c r="C211" i="8" s="1"/>
  <c r="C212" i="6"/>
  <c r="C212" i="8" s="1"/>
  <c r="C213" i="6"/>
  <c r="C213" i="8" s="1"/>
  <c r="C214" i="6"/>
  <c r="C214" i="8" s="1"/>
  <c r="C215" i="6"/>
  <c r="C215" i="8" s="1"/>
  <c r="C216" i="6"/>
  <c r="C216" i="8" s="1"/>
  <c r="C217" i="6"/>
  <c r="C217" i="8" s="1"/>
  <c r="C218" i="6"/>
  <c r="C218" i="8" s="1"/>
  <c r="C219" i="6"/>
  <c r="C219" i="8" s="1"/>
  <c r="C220" i="6"/>
  <c r="C220" i="8" s="1"/>
  <c r="C221" i="6"/>
  <c r="C221" i="8" s="1"/>
  <c r="C222" i="6"/>
  <c r="C222" i="8" s="1"/>
  <c r="C223" i="6"/>
  <c r="C223" i="8" s="1"/>
  <c r="C224" i="6"/>
  <c r="C224" i="8" s="1"/>
  <c r="C225" i="6"/>
  <c r="C225" i="8" s="1"/>
  <c r="C226" i="6"/>
  <c r="C226" i="8" s="1"/>
  <c r="C227" i="6"/>
  <c r="C227" i="8" s="1"/>
  <c r="C228" i="6"/>
  <c r="C228" i="8" s="1"/>
  <c r="C229" i="6"/>
  <c r="C229" i="8" s="1"/>
  <c r="C230" i="6"/>
  <c r="C230" i="8" s="1"/>
  <c r="C231" i="6"/>
  <c r="C231" i="8" s="1"/>
  <c r="C232" i="6"/>
  <c r="C232" i="8" s="1"/>
  <c r="C233" i="6"/>
  <c r="C233" i="8" s="1"/>
  <c r="C234" i="6"/>
  <c r="C234" i="8" s="1"/>
  <c r="C235" i="6"/>
  <c r="C235" i="8" s="1"/>
  <c r="C236" i="6"/>
  <c r="C236" i="8" s="1"/>
  <c r="C3" i="6"/>
  <c r="C3" i="8" s="1"/>
  <c r="D3" i="5"/>
  <c r="E3" i="5"/>
  <c r="F3" i="5"/>
  <c r="F4" i="5" s="1"/>
  <c r="G3" i="5"/>
  <c r="H3" i="5"/>
  <c r="I3" i="5"/>
  <c r="J3" i="5"/>
  <c r="K3" i="5"/>
  <c r="K4" i="5" s="1"/>
  <c r="L3" i="5"/>
  <c r="M3" i="5"/>
  <c r="N3" i="5"/>
  <c r="N4" i="5" s="1"/>
  <c r="O3" i="5"/>
  <c r="P3" i="5"/>
  <c r="P4" i="5" s="1"/>
  <c r="Q3" i="5"/>
  <c r="R3" i="5"/>
  <c r="R4" i="5" s="1"/>
  <c r="S3" i="5"/>
  <c r="S4" i="5" s="1"/>
  <c r="T3" i="5"/>
  <c r="U3" i="5"/>
  <c r="V3" i="5"/>
  <c r="V4" i="5" s="1"/>
  <c r="W3" i="5"/>
  <c r="X3" i="5"/>
  <c r="X4" i="5" s="1"/>
  <c r="Y3" i="5"/>
  <c r="Z3" i="5"/>
  <c r="Z4" i="5" s="1"/>
  <c r="AA3" i="5"/>
  <c r="AA4" i="5" s="1"/>
  <c r="AB3" i="5"/>
  <c r="AC3" i="5"/>
  <c r="AC4" i="5" s="1"/>
  <c r="AD3" i="5"/>
  <c r="AD4" i="5" s="1"/>
  <c r="AE3" i="5"/>
  <c r="C3" i="5"/>
  <c r="B3" i="5"/>
  <c r="C4" i="5"/>
  <c r="D4" i="5"/>
  <c r="E4" i="5"/>
  <c r="G4" i="5"/>
  <c r="H4" i="5"/>
  <c r="I4" i="5"/>
  <c r="J4" i="5"/>
  <c r="L4" i="5"/>
  <c r="M4" i="5"/>
  <c r="O4" i="5"/>
  <c r="Q4" i="5"/>
  <c r="T4" i="5"/>
  <c r="U4" i="5"/>
  <c r="W4" i="5"/>
  <c r="Y4" i="5"/>
  <c r="AB4" i="5"/>
  <c r="AE4" i="5"/>
  <c r="B4" i="5"/>
  <c r="C2" i="5"/>
  <c r="D2" i="5"/>
  <c r="E2" i="5"/>
  <c r="F2" i="5"/>
  <c r="G2" i="5"/>
  <c r="H2" i="5"/>
  <c r="I2" i="5"/>
  <c r="J2" i="5"/>
  <c r="K2" i="5"/>
  <c r="L2" i="5"/>
  <c r="M2" i="5"/>
  <c r="N2" i="5"/>
  <c r="O2" i="5"/>
  <c r="P2" i="5"/>
  <c r="Q2" i="5"/>
  <c r="R2" i="5"/>
  <c r="S2" i="5"/>
  <c r="T2" i="5"/>
  <c r="U2" i="5"/>
  <c r="V2" i="5"/>
  <c r="W2" i="5"/>
  <c r="X2" i="5"/>
  <c r="Y2" i="5"/>
  <c r="Z2" i="5"/>
  <c r="AA2" i="5"/>
  <c r="AB2" i="5"/>
  <c r="AC2" i="5"/>
  <c r="AD2" i="5"/>
  <c r="AE2" i="5"/>
  <c r="B2" i="5"/>
  <c r="C37" i="3"/>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C10" i="2"/>
  <c r="D10" i="2"/>
  <c r="E10" i="2"/>
  <c r="F10" i="2"/>
  <c r="G10" i="2"/>
  <c r="H10" i="2"/>
  <c r="I10" i="2"/>
  <c r="J10" i="2"/>
  <c r="K10" i="2"/>
  <c r="L10" i="2"/>
  <c r="M10" i="2"/>
  <c r="N10" i="2"/>
  <c r="O10" i="2"/>
  <c r="P10" i="2"/>
  <c r="Q10" i="2"/>
  <c r="R10" i="2"/>
  <c r="S10" i="2"/>
  <c r="T10" i="2"/>
  <c r="U10" i="2"/>
  <c r="V10" i="2"/>
  <c r="W10" i="2"/>
  <c r="X10" i="2"/>
  <c r="Y10" i="2"/>
  <c r="Z10" i="2"/>
  <c r="AA10" i="2"/>
  <c r="AB10" i="2"/>
  <c r="AC10" i="2"/>
  <c r="AD10" i="2"/>
  <c r="AE10" i="2"/>
  <c r="AF10" i="2"/>
  <c r="C11" i="2"/>
  <c r="D11" i="2"/>
  <c r="E11" i="2"/>
  <c r="F11" i="2"/>
  <c r="G11" i="2"/>
  <c r="H11" i="2"/>
  <c r="I11" i="2"/>
  <c r="J11" i="2"/>
  <c r="K11" i="2"/>
  <c r="L11" i="2"/>
  <c r="M11" i="2"/>
  <c r="N11" i="2"/>
  <c r="O11" i="2"/>
  <c r="P11" i="2"/>
  <c r="Q11" i="2"/>
  <c r="R11" i="2"/>
  <c r="S11" i="2"/>
  <c r="T11" i="2"/>
  <c r="U11" i="2"/>
  <c r="V11" i="2"/>
  <c r="W11" i="2"/>
  <c r="X11" i="2"/>
  <c r="Y11" i="2"/>
  <c r="Z11" i="2"/>
  <c r="AA11" i="2"/>
  <c r="AB11" i="2"/>
  <c r="AC11" i="2"/>
  <c r="AD11" i="2"/>
  <c r="AE11" i="2"/>
  <c r="AF11" i="2"/>
  <c r="C12" i="2"/>
  <c r="D12"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C13" i="2"/>
  <c r="D13"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AF13" i="2"/>
  <c r="C14" i="2"/>
  <c r="D14"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AF14"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C16" i="2"/>
  <c r="D16"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AF16" i="2"/>
  <c r="C17"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C18" i="2"/>
  <c r="D18"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C19" i="2"/>
  <c r="D19"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AF19" i="2"/>
  <c r="C20" i="2"/>
  <c r="D20"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C21" i="2"/>
  <c r="D21" i="2"/>
  <c r="E21" i="2"/>
  <c r="F21" i="2"/>
  <c r="G21" i="2"/>
  <c r="H21" i="2"/>
  <c r="I21" i="2"/>
  <c r="J21" i="2"/>
  <c r="K21" i="2"/>
  <c r="L21" i="2"/>
  <c r="M21" i="2"/>
  <c r="N21" i="2"/>
  <c r="O21" i="2"/>
  <c r="P21" i="2"/>
  <c r="Q21" i="2"/>
  <c r="R21" i="2"/>
  <c r="S21" i="2"/>
  <c r="T21" i="2"/>
  <c r="U21" i="2"/>
  <c r="V21" i="2"/>
  <c r="W21" i="2"/>
  <c r="X21" i="2"/>
  <c r="Y21" i="2"/>
  <c r="Z21" i="2"/>
  <c r="AA21" i="2"/>
  <c r="AB21" i="2"/>
  <c r="AC21" i="2"/>
  <c r="AD21" i="2"/>
  <c r="AE21" i="2"/>
  <c r="AF21" i="2"/>
  <c r="C22" i="2"/>
  <c r="D22" i="2"/>
  <c r="E22" i="2"/>
  <c r="F22" i="2"/>
  <c r="G22" i="2"/>
  <c r="H22" i="2"/>
  <c r="I22" i="2"/>
  <c r="J22" i="2"/>
  <c r="K22" i="2"/>
  <c r="L22" i="2"/>
  <c r="M22" i="2"/>
  <c r="N22" i="2"/>
  <c r="O22" i="2"/>
  <c r="P22" i="2"/>
  <c r="Q22" i="2"/>
  <c r="R22" i="2"/>
  <c r="S22" i="2"/>
  <c r="T22" i="2"/>
  <c r="U22" i="2"/>
  <c r="V22" i="2"/>
  <c r="W22" i="2"/>
  <c r="X22" i="2"/>
  <c r="Y22" i="2"/>
  <c r="Z22" i="2"/>
  <c r="AA22" i="2"/>
  <c r="AB22" i="2"/>
  <c r="AC22" i="2"/>
  <c r="AD22" i="2"/>
  <c r="AE22" i="2"/>
  <c r="AF22" i="2"/>
  <c r="C23" i="2"/>
  <c r="D23"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C24" i="2"/>
  <c r="D24" i="2"/>
  <c r="E24" i="2"/>
  <c r="F24" i="2"/>
  <c r="G24" i="2"/>
  <c r="H24" i="2"/>
  <c r="I24" i="2"/>
  <c r="J24" i="2"/>
  <c r="K24" i="2"/>
  <c r="L24" i="2"/>
  <c r="M24" i="2"/>
  <c r="N24" i="2"/>
  <c r="O24" i="2"/>
  <c r="P24" i="2"/>
  <c r="Q24" i="2"/>
  <c r="R24" i="2"/>
  <c r="S24" i="2"/>
  <c r="T24" i="2"/>
  <c r="U24" i="2"/>
  <c r="V24" i="2"/>
  <c r="W24" i="2"/>
  <c r="X24" i="2"/>
  <c r="Y24" i="2"/>
  <c r="Z24" i="2"/>
  <c r="AA24" i="2"/>
  <c r="AB24" i="2"/>
  <c r="AC24" i="2"/>
  <c r="AD24" i="2"/>
  <c r="AE24" i="2"/>
  <c r="AF24" i="2"/>
  <c r="C25"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C26"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C27"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C28" i="2"/>
  <c r="D28" i="2"/>
  <c r="E28" i="2"/>
  <c r="F28" i="2"/>
  <c r="G28" i="2"/>
  <c r="H28" i="2"/>
  <c r="I28" i="2"/>
  <c r="J28" i="2"/>
  <c r="K28" i="2"/>
  <c r="L28" i="2"/>
  <c r="M28" i="2"/>
  <c r="N28" i="2"/>
  <c r="O28" i="2"/>
  <c r="P28" i="2"/>
  <c r="Q28" i="2"/>
  <c r="R28" i="2"/>
  <c r="S28" i="2"/>
  <c r="T28" i="2"/>
  <c r="U28" i="2"/>
  <c r="V28" i="2"/>
  <c r="W28" i="2"/>
  <c r="X28" i="2"/>
  <c r="Y28" i="2"/>
  <c r="Z28" i="2"/>
  <c r="AA28" i="2"/>
  <c r="AB28" i="2"/>
  <c r="AC28" i="2"/>
  <c r="AD28" i="2"/>
  <c r="AE28" i="2"/>
  <c r="AF28" i="2"/>
  <c r="C29" i="2"/>
  <c r="D29" i="2"/>
  <c r="E29" i="2"/>
  <c r="F29" i="2"/>
  <c r="G29" i="2"/>
  <c r="H29" i="2"/>
  <c r="I29" i="2"/>
  <c r="J29" i="2"/>
  <c r="K29" i="2"/>
  <c r="L29" i="2"/>
  <c r="M29" i="2"/>
  <c r="N29" i="2"/>
  <c r="O29" i="2"/>
  <c r="P29" i="2"/>
  <c r="Q29" i="2"/>
  <c r="R29" i="2"/>
  <c r="S29" i="2"/>
  <c r="T29" i="2"/>
  <c r="U29" i="2"/>
  <c r="V29" i="2"/>
  <c r="W29" i="2"/>
  <c r="X29" i="2"/>
  <c r="Y29" i="2"/>
  <c r="Z29" i="2"/>
  <c r="AA29" i="2"/>
  <c r="AB29" i="2"/>
  <c r="AC29" i="2"/>
  <c r="AD29" i="2"/>
  <c r="AE29" i="2"/>
  <c r="AF29" i="2"/>
  <c r="C30" i="2"/>
  <c r="D30" i="2"/>
  <c r="E30" i="2"/>
  <c r="F30" i="2"/>
  <c r="G30" i="2"/>
  <c r="H30" i="2"/>
  <c r="I30" i="2"/>
  <c r="J30" i="2"/>
  <c r="K30" i="2"/>
  <c r="L30" i="2"/>
  <c r="M30" i="2"/>
  <c r="N30" i="2"/>
  <c r="O30" i="2"/>
  <c r="P30" i="2"/>
  <c r="Q30" i="2"/>
  <c r="R30" i="2"/>
  <c r="S30" i="2"/>
  <c r="T30" i="2"/>
  <c r="U30" i="2"/>
  <c r="V30" i="2"/>
  <c r="W30" i="2"/>
  <c r="X30" i="2"/>
  <c r="Y30" i="2"/>
  <c r="Z30" i="2"/>
  <c r="AA30" i="2"/>
  <c r="AB30" i="2"/>
  <c r="AC30" i="2"/>
  <c r="AD30" i="2"/>
  <c r="AE30" i="2"/>
  <c r="AF30" i="2"/>
  <c r="C31" i="2"/>
  <c r="D31"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C32" i="2"/>
  <c r="D32" i="2"/>
  <c r="E32" i="2"/>
  <c r="F32" i="2"/>
  <c r="G32" i="2"/>
  <c r="H32" i="2"/>
  <c r="I32" i="2"/>
  <c r="J32" i="2"/>
  <c r="K32" i="2"/>
  <c r="L32" i="2"/>
  <c r="M32" i="2"/>
  <c r="N32" i="2"/>
  <c r="O32" i="2"/>
  <c r="P32" i="2"/>
  <c r="Q32" i="2"/>
  <c r="R32" i="2"/>
  <c r="S32" i="2"/>
  <c r="T32" i="2"/>
  <c r="U32" i="2"/>
  <c r="V32" i="2"/>
  <c r="W32" i="2"/>
  <c r="X32" i="2"/>
  <c r="Y32" i="2"/>
  <c r="Z32" i="2"/>
  <c r="AA32" i="2"/>
  <c r="AB32" i="2"/>
  <c r="AC32" i="2"/>
  <c r="AD32" i="2"/>
  <c r="AE32" i="2"/>
  <c r="AF32" i="2"/>
  <c r="C33" i="2"/>
  <c r="D33" i="2"/>
  <c r="E33" i="2"/>
  <c r="F33" i="2"/>
  <c r="G33" i="2"/>
  <c r="H33" i="2"/>
  <c r="I33" i="2"/>
  <c r="J33" i="2"/>
  <c r="K33" i="2"/>
  <c r="L33" i="2"/>
  <c r="M33" i="2"/>
  <c r="N33" i="2"/>
  <c r="O33" i="2"/>
  <c r="P33" i="2"/>
  <c r="Q33" i="2"/>
  <c r="R33" i="2"/>
  <c r="S33" i="2"/>
  <c r="T33" i="2"/>
  <c r="U33" i="2"/>
  <c r="V33" i="2"/>
  <c r="W33" i="2"/>
  <c r="X33" i="2"/>
  <c r="Y33" i="2"/>
  <c r="Z33" i="2"/>
  <c r="AA33" i="2"/>
  <c r="AB33" i="2"/>
  <c r="AC33" i="2"/>
  <c r="AD33" i="2"/>
  <c r="AE33" i="2"/>
  <c r="AF33" i="2"/>
  <c r="C34" i="2"/>
  <c r="D34" i="2"/>
  <c r="E34" i="2"/>
  <c r="F34" i="2"/>
  <c r="G34" i="2"/>
  <c r="H34" i="2"/>
  <c r="I34" i="2"/>
  <c r="J34" i="2"/>
  <c r="K34" i="2"/>
  <c r="L34" i="2"/>
  <c r="M34" i="2"/>
  <c r="N34" i="2"/>
  <c r="O34" i="2"/>
  <c r="P34" i="2"/>
  <c r="Q34" i="2"/>
  <c r="R34" i="2"/>
  <c r="S34" i="2"/>
  <c r="T34" i="2"/>
  <c r="U34" i="2"/>
  <c r="V34" i="2"/>
  <c r="W34" i="2"/>
  <c r="X34" i="2"/>
  <c r="Y34" i="2"/>
  <c r="Z34" i="2"/>
  <c r="AA34" i="2"/>
  <c r="AB34" i="2"/>
  <c r="AC34" i="2"/>
  <c r="AD34" i="2"/>
  <c r="AE34" i="2"/>
  <c r="AF34" i="2"/>
  <c r="C35" i="2"/>
  <c r="D35" i="2"/>
  <c r="E35" i="2"/>
  <c r="F35" i="2"/>
  <c r="G35" i="2"/>
  <c r="H35" i="2"/>
  <c r="I35" i="2"/>
  <c r="J35" i="2"/>
  <c r="K35" i="2"/>
  <c r="L35" i="2"/>
  <c r="M35" i="2"/>
  <c r="N35" i="2"/>
  <c r="O35" i="2"/>
  <c r="P35" i="2"/>
  <c r="Q35" i="2"/>
  <c r="R35" i="2"/>
  <c r="S35" i="2"/>
  <c r="T35" i="2"/>
  <c r="U35" i="2"/>
  <c r="V35" i="2"/>
  <c r="W35" i="2"/>
  <c r="X35" i="2"/>
  <c r="Y35" i="2"/>
  <c r="Z35" i="2"/>
  <c r="AA35" i="2"/>
  <c r="AB35" i="2"/>
  <c r="AC35" i="2"/>
  <c r="AD35" i="2"/>
  <c r="AE35" i="2"/>
  <c r="AF35" i="2"/>
  <c r="C36" i="2"/>
  <c r="D36" i="2"/>
  <c r="E36" i="2"/>
  <c r="F36" i="2"/>
  <c r="G36" i="2"/>
  <c r="H36" i="2"/>
  <c r="I36" i="2"/>
  <c r="J36" i="2"/>
  <c r="K36" i="2"/>
  <c r="L36" i="2"/>
  <c r="M36" i="2"/>
  <c r="N36" i="2"/>
  <c r="O36" i="2"/>
  <c r="P36" i="2"/>
  <c r="Q36" i="2"/>
  <c r="R36" i="2"/>
  <c r="S36" i="2"/>
  <c r="T36" i="2"/>
  <c r="U36" i="2"/>
  <c r="V36" i="2"/>
  <c r="W36" i="2"/>
  <c r="X36" i="2"/>
  <c r="Y36" i="2"/>
  <c r="Z36" i="2"/>
  <c r="AA36" i="2"/>
  <c r="AB36" i="2"/>
  <c r="AC36" i="2"/>
  <c r="AD36" i="2"/>
  <c r="AE36" i="2"/>
  <c r="AF36" i="2"/>
  <c r="C37" i="2"/>
  <c r="D37" i="2"/>
  <c r="E37" i="2"/>
  <c r="F37" i="2"/>
  <c r="G37" i="2"/>
  <c r="H37" i="2"/>
  <c r="I37" i="2"/>
  <c r="J37" i="2"/>
  <c r="K37" i="2"/>
  <c r="L37" i="2"/>
  <c r="M37" i="2"/>
  <c r="N37" i="2"/>
  <c r="O37" i="2"/>
  <c r="P37" i="2"/>
  <c r="Q37" i="2"/>
  <c r="R37" i="2"/>
  <c r="S37" i="2"/>
  <c r="T37" i="2"/>
  <c r="U37" i="2"/>
  <c r="V37" i="2"/>
  <c r="W37" i="2"/>
  <c r="X37" i="2"/>
  <c r="Y37" i="2"/>
  <c r="Z37" i="2"/>
  <c r="AA37" i="2"/>
  <c r="AB37" i="2"/>
  <c r="AC37" i="2"/>
  <c r="AD37" i="2"/>
  <c r="AE37" i="2"/>
  <c r="AF37" i="2"/>
  <c r="C38" i="2"/>
  <c r="D38" i="2"/>
  <c r="E38" i="2"/>
  <c r="F38" i="2"/>
  <c r="G38" i="2"/>
  <c r="H38" i="2"/>
  <c r="I38" i="2"/>
  <c r="J38" i="2"/>
  <c r="K38" i="2"/>
  <c r="L38" i="2"/>
  <c r="M38" i="2"/>
  <c r="N38" i="2"/>
  <c r="O38" i="2"/>
  <c r="P38" i="2"/>
  <c r="Q38" i="2"/>
  <c r="R38" i="2"/>
  <c r="S38" i="2"/>
  <c r="T38" i="2"/>
  <c r="U38" i="2"/>
  <c r="V38" i="2"/>
  <c r="W38" i="2"/>
  <c r="X38" i="2"/>
  <c r="Y38" i="2"/>
  <c r="Z38" i="2"/>
  <c r="AA38" i="2"/>
  <c r="AB38" i="2"/>
  <c r="AC38" i="2"/>
  <c r="AD38" i="2"/>
  <c r="AE38" i="2"/>
  <c r="AF38" i="2"/>
  <c r="C39" i="2"/>
  <c r="D39" i="2"/>
  <c r="E39" i="2"/>
  <c r="F39" i="2"/>
  <c r="G39" i="2"/>
  <c r="H39" i="2"/>
  <c r="I39" i="2"/>
  <c r="J39" i="2"/>
  <c r="K39" i="2"/>
  <c r="L39" i="2"/>
  <c r="M39" i="2"/>
  <c r="N39" i="2"/>
  <c r="O39" i="2"/>
  <c r="P39" i="2"/>
  <c r="Q39" i="2"/>
  <c r="R39" i="2"/>
  <c r="S39" i="2"/>
  <c r="T39" i="2"/>
  <c r="U39" i="2"/>
  <c r="V39" i="2"/>
  <c r="W39" i="2"/>
  <c r="X39" i="2"/>
  <c r="Y39" i="2"/>
  <c r="Z39" i="2"/>
  <c r="AA39" i="2"/>
  <c r="AB39" i="2"/>
  <c r="AC39" i="2"/>
  <c r="AD39" i="2"/>
  <c r="AE39" i="2"/>
  <c r="AF39" i="2"/>
  <c r="C40" i="2"/>
  <c r="D40" i="2"/>
  <c r="E40" i="2"/>
  <c r="F40" i="2"/>
  <c r="G40" i="2"/>
  <c r="H40" i="2"/>
  <c r="I40" i="2"/>
  <c r="J40" i="2"/>
  <c r="K40" i="2"/>
  <c r="L40" i="2"/>
  <c r="M40" i="2"/>
  <c r="N40" i="2"/>
  <c r="O40" i="2"/>
  <c r="P40" i="2"/>
  <c r="Q40" i="2"/>
  <c r="R40" i="2"/>
  <c r="S40" i="2"/>
  <c r="T40" i="2"/>
  <c r="U40" i="2"/>
  <c r="V40" i="2"/>
  <c r="W40" i="2"/>
  <c r="X40" i="2"/>
  <c r="Y40" i="2"/>
  <c r="Z40" i="2"/>
  <c r="AA40" i="2"/>
  <c r="AB40" i="2"/>
  <c r="AC40" i="2"/>
  <c r="AD40" i="2"/>
  <c r="AE40" i="2"/>
  <c r="AF40" i="2"/>
  <c r="C41" i="2"/>
  <c r="D41"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C42" i="2"/>
  <c r="D42"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C43" i="2"/>
  <c r="D43" i="2"/>
  <c r="E43" i="2"/>
  <c r="F43" i="2"/>
  <c r="G43" i="2"/>
  <c r="H43" i="2"/>
  <c r="I43" i="2"/>
  <c r="J43" i="2"/>
  <c r="K43" i="2"/>
  <c r="L43" i="2"/>
  <c r="M43" i="2"/>
  <c r="N43" i="2"/>
  <c r="O43" i="2"/>
  <c r="P43" i="2"/>
  <c r="Q43" i="2"/>
  <c r="R43" i="2"/>
  <c r="S43" i="2"/>
  <c r="T43" i="2"/>
  <c r="U43" i="2"/>
  <c r="V43" i="2"/>
  <c r="W43" i="2"/>
  <c r="X43" i="2"/>
  <c r="Y43" i="2"/>
  <c r="Z43" i="2"/>
  <c r="AA43" i="2"/>
  <c r="AB43" i="2"/>
  <c r="AC43" i="2"/>
  <c r="AD43" i="2"/>
  <c r="AE43" i="2"/>
  <c r="AF43" i="2"/>
  <c r="C44" i="2"/>
  <c r="D44" i="2"/>
  <c r="E44" i="2"/>
  <c r="F44" i="2"/>
  <c r="G44" i="2"/>
  <c r="H44" i="2"/>
  <c r="I44" i="2"/>
  <c r="J44" i="2"/>
  <c r="K44" i="2"/>
  <c r="L44" i="2"/>
  <c r="M44" i="2"/>
  <c r="N44" i="2"/>
  <c r="O44" i="2"/>
  <c r="P44" i="2"/>
  <c r="Q44" i="2"/>
  <c r="R44" i="2"/>
  <c r="S44" i="2"/>
  <c r="T44" i="2"/>
  <c r="U44" i="2"/>
  <c r="V44" i="2"/>
  <c r="W44" i="2"/>
  <c r="X44" i="2"/>
  <c r="Y44" i="2"/>
  <c r="Z44" i="2"/>
  <c r="AA44" i="2"/>
  <c r="AB44" i="2"/>
  <c r="AC44" i="2"/>
  <c r="AD44" i="2"/>
  <c r="AE44" i="2"/>
  <c r="AF44" i="2"/>
  <c r="C45" i="2"/>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AF45" i="2"/>
  <c r="C46" i="2"/>
  <c r="D46" i="2"/>
  <c r="E46" i="2"/>
  <c r="F46" i="2"/>
  <c r="G46" i="2"/>
  <c r="H46" i="2"/>
  <c r="I46" i="2"/>
  <c r="J46" i="2"/>
  <c r="K46" i="2"/>
  <c r="L46" i="2"/>
  <c r="M46" i="2"/>
  <c r="N46" i="2"/>
  <c r="O46" i="2"/>
  <c r="P46" i="2"/>
  <c r="Q46" i="2"/>
  <c r="R46" i="2"/>
  <c r="S46" i="2"/>
  <c r="T46" i="2"/>
  <c r="U46" i="2"/>
  <c r="V46" i="2"/>
  <c r="W46" i="2"/>
  <c r="X46" i="2"/>
  <c r="Y46" i="2"/>
  <c r="Z46" i="2"/>
  <c r="AA46" i="2"/>
  <c r="AB46" i="2"/>
  <c r="AC46" i="2"/>
  <c r="AD46" i="2"/>
  <c r="AE46" i="2"/>
  <c r="AF46" i="2"/>
  <c r="C47" i="2"/>
  <c r="D47" i="2"/>
  <c r="E47" i="2"/>
  <c r="F47" i="2"/>
  <c r="G47" i="2"/>
  <c r="H47" i="2"/>
  <c r="I47" i="2"/>
  <c r="J47" i="2"/>
  <c r="K47" i="2"/>
  <c r="L47" i="2"/>
  <c r="M47" i="2"/>
  <c r="N47" i="2"/>
  <c r="O47" i="2"/>
  <c r="P47" i="2"/>
  <c r="Q47" i="2"/>
  <c r="R47" i="2"/>
  <c r="S47" i="2"/>
  <c r="T47" i="2"/>
  <c r="U47" i="2"/>
  <c r="V47" i="2"/>
  <c r="W47" i="2"/>
  <c r="X47" i="2"/>
  <c r="Y47" i="2"/>
  <c r="Z47" i="2"/>
  <c r="AA47" i="2"/>
  <c r="AB47" i="2"/>
  <c r="AC47" i="2"/>
  <c r="AD47" i="2"/>
  <c r="AE47" i="2"/>
  <c r="AF47" i="2"/>
  <c r="C48" i="2"/>
  <c r="D48"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C49" i="2"/>
  <c r="D49" i="2"/>
  <c r="E49" i="2"/>
  <c r="F49" i="2"/>
  <c r="G49" i="2"/>
  <c r="H49" i="2"/>
  <c r="I49" i="2"/>
  <c r="J49" i="2"/>
  <c r="K49" i="2"/>
  <c r="L49" i="2"/>
  <c r="M49" i="2"/>
  <c r="N49" i="2"/>
  <c r="O49" i="2"/>
  <c r="P49" i="2"/>
  <c r="Q49" i="2"/>
  <c r="R49" i="2"/>
  <c r="S49" i="2"/>
  <c r="T49" i="2"/>
  <c r="U49" i="2"/>
  <c r="V49" i="2"/>
  <c r="W49" i="2"/>
  <c r="X49" i="2"/>
  <c r="Y49" i="2"/>
  <c r="Z49" i="2"/>
  <c r="AA49" i="2"/>
  <c r="AB49" i="2"/>
  <c r="AC49" i="2"/>
  <c r="AD49" i="2"/>
  <c r="AE49" i="2"/>
  <c r="AF49" i="2"/>
  <c r="C50" i="2"/>
  <c r="D50" i="2"/>
  <c r="E50" i="2"/>
  <c r="F50" i="2"/>
  <c r="G50" i="2"/>
  <c r="H50" i="2"/>
  <c r="I50" i="2"/>
  <c r="J50" i="2"/>
  <c r="K50" i="2"/>
  <c r="L50" i="2"/>
  <c r="M50" i="2"/>
  <c r="N50" i="2"/>
  <c r="O50" i="2"/>
  <c r="P50" i="2"/>
  <c r="Q50" i="2"/>
  <c r="R50" i="2"/>
  <c r="S50" i="2"/>
  <c r="T50" i="2"/>
  <c r="U50" i="2"/>
  <c r="V50" i="2"/>
  <c r="W50" i="2"/>
  <c r="X50" i="2"/>
  <c r="Y50" i="2"/>
  <c r="Z50" i="2"/>
  <c r="AA50" i="2"/>
  <c r="AB50" i="2"/>
  <c r="AC50" i="2"/>
  <c r="AD50" i="2"/>
  <c r="AE50" i="2"/>
  <c r="AF50" i="2"/>
  <c r="C51" i="2"/>
  <c r="D51" i="2"/>
  <c r="E51" i="2"/>
  <c r="F51" i="2"/>
  <c r="G51" i="2"/>
  <c r="H51" i="2"/>
  <c r="I51" i="2"/>
  <c r="J51" i="2"/>
  <c r="K51" i="2"/>
  <c r="L51" i="2"/>
  <c r="M51" i="2"/>
  <c r="N51" i="2"/>
  <c r="O51" i="2"/>
  <c r="P51" i="2"/>
  <c r="Q51" i="2"/>
  <c r="R51" i="2"/>
  <c r="S51" i="2"/>
  <c r="T51" i="2"/>
  <c r="U51" i="2"/>
  <c r="V51" i="2"/>
  <c r="W51" i="2"/>
  <c r="X51" i="2"/>
  <c r="Y51" i="2"/>
  <c r="Z51" i="2"/>
  <c r="AA51" i="2"/>
  <c r="AB51" i="2"/>
  <c r="AC51" i="2"/>
  <c r="AD51" i="2"/>
  <c r="AE51" i="2"/>
  <c r="AF51" i="2"/>
  <c r="C52" i="2"/>
  <c r="D52" i="2"/>
  <c r="E52" i="2"/>
  <c r="F52" i="2"/>
  <c r="G52" i="2"/>
  <c r="H52" i="2"/>
  <c r="I52" i="2"/>
  <c r="J52" i="2"/>
  <c r="K52" i="2"/>
  <c r="L52" i="2"/>
  <c r="M52" i="2"/>
  <c r="N52" i="2"/>
  <c r="O52" i="2"/>
  <c r="P52" i="2"/>
  <c r="Q52" i="2"/>
  <c r="R52" i="2"/>
  <c r="S52" i="2"/>
  <c r="T52" i="2"/>
  <c r="U52" i="2"/>
  <c r="V52" i="2"/>
  <c r="W52" i="2"/>
  <c r="X52" i="2"/>
  <c r="Y52" i="2"/>
  <c r="Z52" i="2"/>
  <c r="AA52" i="2"/>
  <c r="AB52" i="2"/>
  <c r="AC52" i="2"/>
  <c r="AD52" i="2"/>
  <c r="AE52" i="2"/>
  <c r="AF52" i="2"/>
  <c r="C53" i="2"/>
  <c r="D53" i="2"/>
  <c r="E53" i="2"/>
  <c r="F53" i="2"/>
  <c r="G53" i="2"/>
  <c r="H53" i="2"/>
  <c r="I53" i="2"/>
  <c r="J53" i="2"/>
  <c r="K53" i="2"/>
  <c r="L53" i="2"/>
  <c r="M53" i="2"/>
  <c r="N53" i="2"/>
  <c r="O53" i="2"/>
  <c r="P53" i="2"/>
  <c r="Q53" i="2"/>
  <c r="R53" i="2"/>
  <c r="S53" i="2"/>
  <c r="T53" i="2"/>
  <c r="U53" i="2"/>
  <c r="V53" i="2"/>
  <c r="W53" i="2"/>
  <c r="X53" i="2"/>
  <c r="Y53" i="2"/>
  <c r="Z53" i="2"/>
  <c r="AA53" i="2"/>
  <c r="AB53" i="2"/>
  <c r="AC53" i="2"/>
  <c r="AD53" i="2"/>
  <c r="AE53" i="2"/>
  <c r="AF53" i="2"/>
  <c r="C54" i="2"/>
  <c r="D54" i="2"/>
  <c r="E54" i="2"/>
  <c r="F54" i="2"/>
  <c r="G54" i="2"/>
  <c r="H54" i="2"/>
  <c r="I54" i="2"/>
  <c r="J54" i="2"/>
  <c r="K54" i="2"/>
  <c r="L54" i="2"/>
  <c r="M54" i="2"/>
  <c r="N54" i="2"/>
  <c r="O54" i="2"/>
  <c r="P54" i="2"/>
  <c r="Q54" i="2"/>
  <c r="R54" i="2"/>
  <c r="S54" i="2"/>
  <c r="T54" i="2"/>
  <c r="U54" i="2"/>
  <c r="V54" i="2"/>
  <c r="W54" i="2"/>
  <c r="X54" i="2"/>
  <c r="Y54" i="2"/>
  <c r="Z54" i="2"/>
  <c r="AA54" i="2"/>
  <c r="AB54" i="2"/>
  <c r="AC54" i="2"/>
  <c r="AD54" i="2"/>
  <c r="AE54" i="2"/>
  <c r="AF54" i="2"/>
  <c r="C55" i="2"/>
  <c r="D55" i="2"/>
  <c r="E55" i="2"/>
  <c r="F55" i="2"/>
  <c r="G55" i="2"/>
  <c r="H55" i="2"/>
  <c r="I55" i="2"/>
  <c r="J55" i="2"/>
  <c r="K55" i="2"/>
  <c r="L55" i="2"/>
  <c r="M55" i="2"/>
  <c r="N55" i="2"/>
  <c r="O55" i="2"/>
  <c r="P55" i="2"/>
  <c r="Q55" i="2"/>
  <c r="R55" i="2"/>
  <c r="S55" i="2"/>
  <c r="T55" i="2"/>
  <c r="U55" i="2"/>
  <c r="V55" i="2"/>
  <c r="W55" i="2"/>
  <c r="X55" i="2"/>
  <c r="Y55" i="2"/>
  <c r="Z55" i="2"/>
  <c r="AA55" i="2"/>
  <c r="AB55" i="2"/>
  <c r="AC55" i="2"/>
  <c r="AD55" i="2"/>
  <c r="AE55" i="2"/>
  <c r="AF55" i="2"/>
  <c r="C56" i="2"/>
  <c r="D56" i="2"/>
  <c r="E56" i="2"/>
  <c r="F56" i="2"/>
  <c r="G56" i="2"/>
  <c r="H56" i="2"/>
  <c r="I56" i="2"/>
  <c r="J56" i="2"/>
  <c r="K56" i="2"/>
  <c r="L56" i="2"/>
  <c r="M56" i="2"/>
  <c r="N56" i="2"/>
  <c r="O56" i="2"/>
  <c r="P56" i="2"/>
  <c r="Q56" i="2"/>
  <c r="R56" i="2"/>
  <c r="S56" i="2"/>
  <c r="T56" i="2"/>
  <c r="U56" i="2"/>
  <c r="V56" i="2"/>
  <c r="W56" i="2"/>
  <c r="X56" i="2"/>
  <c r="Y56" i="2"/>
  <c r="Z56" i="2"/>
  <c r="AA56" i="2"/>
  <c r="AB56" i="2"/>
  <c r="AC56" i="2"/>
  <c r="AD56" i="2"/>
  <c r="AE56" i="2"/>
  <c r="AF56" i="2"/>
  <c r="C57" i="2"/>
  <c r="D57" i="2"/>
  <c r="E57" i="2"/>
  <c r="F57" i="2"/>
  <c r="G57" i="2"/>
  <c r="H57" i="2"/>
  <c r="I57" i="2"/>
  <c r="J57" i="2"/>
  <c r="K57" i="2"/>
  <c r="L57" i="2"/>
  <c r="M57" i="2"/>
  <c r="N57" i="2"/>
  <c r="O57" i="2"/>
  <c r="P57" i="2"/>
  <c r="Q57" i="2"/>
  <c r="R57" i="2"/>
  <c r="S57" i="2"/>
  <c r="T57" i="2"/>
  <c r="U57" i="2"/>
  <c r="V57" i="2"/>
  <c r="W57" i="2"/>
  <c r="X57" i="2"/>
  <c r="Y57" i="2"/>
  <c r="Z57" i="2"/>
  <c r="AA57" i="2"/>
  <c r="AB57" i="2"/>
  <c r="AC57" i="2"/>
  <c r="AD57" i="2"/>
  <c r="AE57" i="2"/>
  <c r="AF57" i="2"/>
  <c r="C58" i="2"/>
  <c r="D58" i="2"/>
  <c r="E58" i="2"/>
  <c r="F58" i="2"/>
  <c r="G58" i="2"/>
  <c r="H58" i="2"/>
  <c r="I58" i="2"/>
  <c r="J58" i="2"/>
  <c r="K58" i="2"/>
  <c r="L58" i="2"/>
  <c r="M58" i="2"/>
  <c r="N58" i="2"/>
  <c r="O58" i="2"/>
  <c r="P58" i="2"/>
  <c r="Q58" i="2"/>
  <c r="R58" i="2"/>
  <c r="S58" i="2"/>
  <c r="T58" i="2"/>
  <c r="U58" i="2"/>
  <c r="V58" i="2"/>
  <c r="W58" i="2"/>
  <c r="X58" i="2"/>
  <c r="Y58" i="2"/>
  <c r="Z58" i="2"/>
  <c r="AA58" i="2"/>
  <c r="AB58" i="2"/>
  <c r="AC58" i="2"/>
  <c r="AD58" i="2"/>
  <c r="AE58" i="2"/>
  <c r="AF58" i="2"/>
  <c r="C59" i="2"/>
  <c r="D59" i="2"/>
  <c r="E59" i="2"/>
  <c r="F59" i="2"/>
  <c r="G59" i="2"/>
  <c r="H59" i="2"/>
  <c r="I59" i="2"/>
  <c r="J59" i="2"/>
  <c r="K59" i="2"/>
  <c r="L59" i="2"/>
  <c r="M59" i="2"/>
  <c r="N59" i="2"/>
  <c r="O59" i="2"/>
  <c r="P59" i="2"/>
  <c r="Q59" i="2"/>
  <c r="R59" i="2"/>
  <c r="S59" i="2"/>
  <c r="T59" i="2"/>
  <c r="U59" i="2"/>
  <c r="V59" i="2"/>
  <c r="W59" i="2"/>
  <c r="X59" i="2"/>
  <c r="Y59" i="2"/>
  <c r="Z59" i="2"/>
  <c r="AA59" i="2"/>
  <c r="AB59" i="2"/>
  <c r="AC59" i="2"/>
  <c r="AD59" i="2"/>
  <c r="AE59" i="2"/>
  <c r="AF59" i="2"/>
  <c r="C60" i="2"/>
  <c r="D60" i="2"/>
  <c r="E60" i="2"/>
  <c r="F60" i="2"/>
  <c r="G60" i="2"/>
  <c r="H60" i="2"/>
  <c r="I60" i="2"/>
  <c r="J60" i="2"/>
  <c r="K60" i="2"/>
  <c r="L60" i="2"/>
  <c r="M60" i="2"/>
  <c r="N60" i="2"/>
  <c r="O60" i="2"/>
  <c r="P60" i="2"/>
  <c r="Q60" i="2"/>
  <c r="R60" i="2"/>
  <c r="S60" i="2"/>
  <c r="T60" i="2"/>
  <c r="U60" i="2"/>
  <c r="V60" i="2"/>
  <c r="W60" i="2"/>
  <c r="X60" i="2"/>
  <c r="Y60" i="2"/>
  <c r="Z60" i="2"/>
  <c r="AA60" i="2"/>
  <c r="AB60" i="2"/>
  <c r="AC60" i="2"/>
  <c r="AD60" i="2"/>
  <c r="AE60" i="2"/>
  <c r="AF60" i="2"/>
  <c r="C61" i="2"/>
  <c r="D61" i="2"/>
  <c r="E61" i="2"/>
  <c r="F61" i="2"/>
  <c r="G61" i="2"/>
  <c r="H61" i="2"/>
  <c r="I61" i="2"/>
  <c r="J61" i="2"/>
  <c r="K61" i="2"/>
  <c r="L61" i="2"/>
  <c r="M61" i="2"/>
  <c r="N61" i="2"/>
  <c r="O61" i="2"/>
  <c r="P61" i="2"/>
  <c r="Q61" i="2"/>
  <c r="R61" i="2"/>
  <c r="S61" i="2"/>
  <c r="T61" i="2"/>
  <c r="U61" i="2"/>
  <c r="V61" i="2"/>
  <c r="W61" i="2"/>
  <c r="X61" i="2"/>
  <c r="Y61" i="2"/>
  <c r="Z61" i="2"/>
  <c r="AA61" i="2"/>
  <c r="AB61" i="2"/>
  <c r="AC61" i="2"/>
  <c r="AD61" i="2"/>
  <c r="AE61" i="2"/>
  <c r="AF61" i="2"/>
  <c r="C62" i="2"/>
  <c r="D62" i="2"/>
  <c r="E62" i="2"/>
  <c r="F62" i="2"/>
  <c r="G62" i="2"/>
  <c r="H62" i="2"/>
  <c r="I62" i="2"/>
  <c r="J62" i="2"/>
  <c r="K62" i="2"/>
  <c r="L62" i="2"/>
  <c r="M62" i="2"/>
  <c r="N62" i="2"/>
  <c r="O62" i="2"/>
  <c r="P62" i="2"/>
  <c r="Q62" i="2"/>
  <c r="R62" i="2"/>
  <c r="S62" i="2"/>
  <c r="T62" i="2"/>
  <c r="U62" i="2"/>
  <c r="V62" i="2"/>
  <c r="W62" i="2"/>
  <c r="X62" i="2"/>
  <c r="Y62" i="2"/>
  <c r="Z62" i="2"/>
  <c r="AA62" i="2"/>
  <c r="AB62" i="2"/>
  <c r="AC62" i="2"/>
  <c r="AD62" i="2"/>
  <c r="AE62" i="2"/>
  <c r="AF62" i="2"/>
  <c r="C63" i="2"/>
  <c r="D63" i="2"/>
  <c r="E63" i="2"/>
  <c r="F63" i="2"/>
  <c r="G63" i="2"/>
  <c r="H63" i="2"/>
  <c r="I63" i="2"/>
  <c r="J63" i="2"/>
  <c r="K63" i="2"/>
  <c r="L63" i="2"/>
  <c r="M63" i="2"/>
  <c r="N63" i="2"/>
  <c r="O63" i="2"/>
  <c r="P63" i="2"/>
  <c r="Q63" i="2"/>
  <c r="R63" i="2"/>
  <c r="S63" i="2"/>
  <c r="T63" i="2"/>
  <c r="U63" i="2"/>
  <c r="V63" i="2"/>
  <c r="W63" i="2"/>
  <c r="X63" i="2"/>
  <c r="Y63" i="2"/>
  <c r="Z63" i="2"/>
  <c r="AA63" i="2"/>
  <c r="AB63" i="2"/>
  <c r="AC63" i="2"/>
  <c r="AD63" i="2"/>
  <c r="AE63" i="2"/>
  <c r="AF63" i="2"/>
  <c r="C64" i="2"/>
  <c r="D64" i="2"/>
  <c r="E64" i="2"/>
  <c r="F64" i="2"/>
  <c r="G64" i="2"/>
  <c r="H64" i="2"/>
  <c r="I64" i="2"/>
  <c r="J64" i="2"/>
  <c r="K64" i="2"/>
  <c r="L64" i="2"/>
  <c r="M64" i="2"/>
  <c r="N64" i="2"/>
  <c r="O64" i="2"/>
  <c r="P64" i="2"/>
  <c r="Q64" i="2"/>
  <c r="R64" i="2"/>
  <c r="S64" i="2"/>
  <c r="T64" i="2"/>
  <c r="U64" i="2"/>
  <c r="V64" i="2"/>
  <c r="W64" i="2"/>
  <c r="X64" i="2"/>
  <c r="Y64" i="2"/>
  <c r="Z64" i="2"/>
  <c r="AA64" i="2"/>
  <c r="AB64" i="2"/>
  <c r="AC64" i="2"/>
  <c r="AD64" i="2"/>
  <c r="AE64" i="2"/>
  <c r="AF64" i="2"/>
  <c r="C65" i="2"/>
  <c r="D65" i="2"/>
  <c r="E65" i="2"/>
  <c r="F65" i="2"/>
  <c r="G65" i="2"/>
  <c r="H65" i="2"/>
  <c r="I65" i="2"/>
  <c r="J65" i="2"/>
  <c r="K65" i="2"/>
  <c r="L65" i="2"/>
  <c r="M65" i="2"/>
  <c r="N65" i="2"/>
  <c r="O65" i="2"/>
  <c r="P65" i="2"/>
  <c r="Q65" i="2"/>
  <c r="R65" i="2"/>
  <c r="S65" i="2"/>
  <c r="T65" i="2"/>
  <c r="U65" i="2"/>
  <c r="V65" i="2"/>
  <c r="W65" i="2"/>
  <c r="X65" i="2"/>
  <c r="Y65" i="2"/>
  <c r="Z65" i="2"/>
  <c r="AA65" i="2"/>
  <c r="AB65" i="2"/>
  <c r="AC65" i="2"/>
  <c r="AD65" i="2"/>
  <c r="AE65" i="2"/>
  <c r="AF65" i="2"/>
  <c r="C66" i="2"/>
  <c r="D66" i="2"/>
  <c r="E66" i="2"/>
  <c r="F66" i="2"/>
  <c r="G66" i="2"/>
  <c r="H66" i="2"/>
  <c r="I66" i="2"/>
  <c r="J66" i="2"/>
  <c r="K66" i="2"/>
  <c r="L66" i="2"/>
  <c r="M66" i="2"/>
  <c r="N66" i="2"/>
  <c r="O66" i="2"/>
  <c r="P66" i="2"/>
  <c r="Q66" i="2"/>
  <c r="R66" i="2"/>
  <c r="S66" i="2"/>
  <c r="T66" i="2"/>
  <c r="U66" i="2"/>
  <c r="V66" i="2"/>
  <c r="W66" i="2"/>
  <c r="X66" i="2"/>
  <c r="Y66" i="2"/>
  <c r="Z66" i="2"/>
  <c r="AA66" i="2"/>
  <c r="AB66" i="2"/>
  <c r="AC66" i="2"/>
  <c r="AD66" i="2"/>
  <c r="AE66" i="2"/>
  <c r="AF66" i="2"/>
  <c r="C67" i="2"/>
  <c r="D67" i="2"/>
  <c r="E67" i="2"/>
  <c r="F67" i="2"/>
  <c r="G67" i="2"/>
  <c r="H67" i="2"/>
  <c r="I67" i="2"/>
  <c r="J67" i="2"/>
  <c r="K67" i="2"/>
  <c r="L67" i="2"/>
  <c r="M67" i="2"/>
  <c r="N67" i="2"/>
  <c r="O67" i="2"/>
  <c r="P67" i="2"/>
  <c r="Q67" i="2"/>
  <c r="R67" i="2"/>
  <c r="S67" i="2"/>
  <c r="T67" i="2"/>
  <c r="U67" i="2"/>
  <c r="V67" i="2"/>
  <c r="W67" i="2"/>
  <c r="X67" i="2"/>
  <c r="Y67" i="2"/>
  <c r="Z67" i="2"/>
  <c r="AA67" i="2"/>
  <c r="AB67" i="2"/>
  <c r="AC67" i="2"/>
  <c r="AD67" i="2"/>
  <c r="AE67" i="2"/>
  <c r="AF67" i="2"/>
  <c r="C68" i="2"/>
  <c r="D68" i="2"/>
  <c r="E68" i="2"/>
  <c r="F68" i="2"/>
  <c r="G68" i="2"/>
  <c r="H68" i="2"/>
  <c r="I68" i="2"/>
  <c r="J68" i="2"/>
  <c r="K68" i="2"/>
  <c r="L68" i="2"/>
  <c r="M68" i="2"/>
  <c r="N68" i="2"/>
  <c r="O68" i="2"/>
  <c r="P68" i="2"/>
  <c r="Q68" i="2"/>
  <c r="R68" i="2"/>
  <c r="S68" i="2"/>
  <c r="T68" i="2"/>
  <c r="U68" i="2"/>
  <c r="V68" i="2"/>
  <c r="W68" i="2"/>
  <c r="X68" i="2"/>
  <c r="Y68" i="2"/>
  <c r="Z68" i="2"/>
  <c r="AA68" i="2"/>
  <c r="AB68" i="2"/>
  <c r="AC68" i="2"/>
  <c r="AD68" i="2"/>
  <c r="AE68" i="2"/>
  <c r="AF68" i="2"/>
  <c r="C69" i="2"/>
  <c r="D69" i="2"/>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C70" i="2"/>
  <c r="D70" i="2"/>
  <c r="E70" i="2"/>
  <c r="F70" i="2"/>
  <c r="G70" i="2"/>
  <c r="H70" i="2"/>
  <c r="I70" i="2"/>
  <c r="J70" i="2"/>
  <c r="K70" i="2"/>
  <c r="L70" i="2"/>
  <c r="M70" i="2"/>
  <c r="N70" i="2"/>
  <c r="O70" i="2"/>
  <c r="P70" i="2"/>
  <c r="Q70" i="2"/>
  <c r="R70" i="2"/>
  <c r="S70" i="2"/>
  <c r="T70" i="2"/>
  <c r="U70" i="2"/>
  <c r="V70" i="2"/>
  <c r="W70" i="2"/>
  <c r="X70" i="2"/>
  <c r="Y70" i="2"/>
  <c r="Z70" i="2"/>
  <c r="AA70" i="2"/>
  <c r="AB70" i="2"/>
  <c r="AC70" i="2"/>
  <c r="AD70" i="2"/>
  <c r="AE70" i="2"/>
  <c r="AF70" i="2"/>
  <c r="C71" i="2"/>
  <c r="D71" i="2"/>
  <c r="E71" i="2"/>
  <c r="F71" i="2"/>
  <c r="G71" i="2"/>
  <c r="H71" i="2"/>
  <c r="I71" i="2"/>
  <c r="J71" i="2"/>
  <c r="K71" i="2"/>
  <c r="L71" i="2"/>
  <c r="M71" i="2"/>
  <c r="N71" i="2"/>
  <c r="O71" i="2"/>
  <c r="P71" i="2"/>
  <c r="Q71" i="2"/>
  <c r="R71" i="2"/>
  <c r="S71" i="2"/>
  <c r="T71" i="2"/>
  <c r="U71" i="2"/>
  <c r="V71" i="2"/>
  <c r="W71" i="2"/>
  <c r="X71" i="2"/>
  <c r="Y71" i="2"/>
  <c r="Z71" i="2"/>
  <c r="AA71" i="2"/>
  <c r="AB71" i="2"/>
  <c r="AC71" i="2"/>
  <c r="AD71" i="2"/>
  <c r="AE71" i="2"/>
  <c r="AF71" i="2"/>
  <c r="C72" i="2"/>
  <c r="D72" i="2"/>
  <c r="E72" i="2"/>
  <c r="F72" i="2"/>
  <c r="G72" i="2"/>
  <c r="H72" i="2"/>
  <c r="I72" i="2"/>
  <c r="J72" i="2"/>
  <c r="K72" i="2"/>
  <c r="L72" i="2"/>
  <c r="M72" i="2"/>
  <c r="N72" i="2"/>
  <c r="O72" i="2"/>
  <c r="P72" i="2"/>
  <c r="Q72" i="2"/>
  <c r="R72" i="2"/>
  <c r="S72" i="2"/>
  <c r="T72" i="2"/>
  <c r="U72" i="2"/>
  <c r="V72" i="2"/>
  <c r="W72" i="2"/>
  <c r="X72" i="2"/>
  <c r="Y72" i="2"/>
  <c r="Z72" i="2"/>
  <c r="AA72" i="2"/>
  <c r="AB72" i="2"/>
  <c r="AC72" i="2"/>
  <c r="AD72" i="2"/>
  <c r="AE72" i="2"/>
  <c r="AF72" i="2"/>
  <c r="C73" i="2"/>
  <c r="D73" i="2"/>
  <c r="E73" i="2"/>
  <c r="F73" i="2"/>
  <c r="G73" i="2"/>
  <c r="H73" i="2"/>
  <c r="I73" i="2"/>
  <c r="J73" i="2"/>
  <c r="K73" i="2"/>
  <c r="L73" i="2"/>
  <c r="M73" i="2"/>
  <c r="N73" i="2"/>
  <c r="O73" i="2"/>
  <c r="P73" i="2"/>
  <c r="Q73" i="2"/>
  <c r="R73" i="2"/>
  <c r="S73" i="2"/>
  <c r="T73" i="2"/>
  <c r="U73" i="2"/>
  <c r="V73" i="2"/>
  <c r="W73" i="2"/>
  <c r="X73" i="2"/>
  <c r="Y73" i="2"/>
  <c r="Z73" i="2"/>
  <c r="AA73" i="2"/>
  <c r="AB73" i="2"/>
  <c r="AC73" i="2"/>
  <c r="AD73" i="2"/>
  <c r="AE73" i="2"/>
  <c r="AF73"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C75" i="2"/>
  <c r="D75" i="2"/>
  <c r="E75" i="2"/>
  <c r="F75" i="2"/>
  <c r="G75" i="2"/>
  <c r="H75" i="2"/>
  <c r="I75" i="2"/>
  <c r="J75" i="2"/>
  <c r="K75" i="2"/>
  <c r="L75" i="2"/>
  <c r="M75" i="2"/>
  <c r="N75" i="2"/>
  <c r="O75" i="2"/>
  <c r="P75" i="2"/>
  <c r="Q75" i="2"/>
  <c r="R75" i="2"/>
  <c r="S75" i="2"/>
  <c r="T75" i="2"/>
  <c r="U75" i="2"/>
  <c r="V75" i="2"/>
  <c r="W75" i="2"/>
  <c r="X75" i="2"/>
  <c r="Y75" i="2"/>
  <c r="Z75" i="2"/>
  <c r="AA75" i="2"/>
  <c r="AB75" i="2"/>
  <c r="AC75" i="2"/>
  <c r="AD75" i="2"/>
  <c r="AE75" i="2"/>
  <c r="AF75" i="2"/>
  <c r="C76" i="2"/>
  <c r="D76" i="2"/>
  <c r="E76" i="2"/>
  <c r="F76" i="2"/>
  <c r="G76" i="2"/>
  <c r="H76" i="2"/>
  <c r="I76" i="2"/>
  <c r="J76" i="2"/>
  <c r="K76" i="2"/>
  <c r="L76" i="2"/>
  <c r="M76" i="2"/>
  <c r="N76" i="2"/>
  <c r="O76" i="2"/>
  <c r="P76" i="2"/>
  <c r="Q76" i="2"/>
  <c r="R76" i="2"/>
  <c r="S76" i="2"/>
  <c r="T76" i="2"/>
  <c r="U76" i="2"/>
  <c r="V76" i="2"/>
  <c r="W76" i="2"/>
  <c r="X76" i="2"/>
  <c r="Y76" i="2"/>
  <c r="Z76" i="2"/>
  <c r="AA76" i="2"/>
  <c r="AB76" i="2"/>
  <c r="AC76" i="2"/>
  <c r="AD76" i="2"/>
  <c r="AE76" i="2"/>
  <c r="AF76" i="2"/>
  <c r="C77" i="2"/>
  <c r="D77" i="2"/>
  <c r="E77" i="2"/>
  <c r="F77" i="2"/>
  <c r="G77" i="2"/>
  <c r="H77" i="2"/>
  <c r="I77" i="2"/>
  <c r="J77" i="2"/>
  <c r="K77" i="2"/>
  <c r="L77" i="2"/>
  <c r="M77" i="2"/>
  <c r="N77" i="2"/>
  <c r="O77" i="2"/>
  <c r="P77" i="2"/>
  <c r="Q77" i="2"/>
  <c r="R77" i="2"/>
  <c r="S77" i="2"/>
  <c r="T77" i="2"/>
  <c r="U77" i="2"/>
  <c r="V77" i="2"/>
  <c r="W77" i="2"/>
  <c r="X77" i="2"/>
  <c r="Y77" i="2"/>
  <c r="Z77" i="2"/>
  <c r="AA77" i="2"/>
  <c r="AB77" i="2"/>
  <c r="AC77" i="2"/>
  <c r="AD77" i="2"/>
  <c r="AE77" i="2"/>
  <c r="AF77" i="2"/>
  <c r="C78" i="2"/>
  <c r="D78" i="2"/>
  <c r="E78" i="2"/>
  <c r="F78" i="2"/>
  <c r="G78" i="2"/>
  <c r="H78" i="2"/>
  <c r="I78" i="2"/>
  <c r="J78" i="2"/>
  <c r="K78" i="2"/>
  <c r="L78" i="2"/>
  <c r="M78" i="2"/>
  <c r="N78" i="2"/>
  <c r="O78" i="2"/>
  <c r="P78" i="2"/>
  <c r="Q78" i="2"/>
  <c r="R78" i="2"/>
  <c r="S78" i="2"/>
  <c r="T78" i="2"/>
  <c r="U78" i="2"/>
  <c r="V78" i="2"/>
  <c r="W78" i="2"/>
  <c r="X78" i="2"/>
  <c r="Y78" i="2"/>
  <c r="Z78" i="2"/>
  <c r="AA78" i="2"/>
  <c r="AB78" i="2"/>
  <c r="AC78" i="2"/>
  <c r="AD78" i="2"/>
  <c r="AE78" i="2"/>
  <c r="AF78" i="2"/>
  <c r="C79" i="2"/>
  <c r="D79" i="2"/>
  <c r="E79" i="2"/>
  <c r="F79" i="2"/>
  <c r="G79" i="2"/>
  <c r="H79" i="2"/>
  <c r="I79" i="2"/>
  <c r="J79" i="2"/>
  <c r="K79" i="2"/>
  <c r="L79" i="2"/>
  <c r="M79" i="2"/>
  <c r="N79" i="2"/>
  <c r="O79" i="2"/>
  <c r="P79" i="2"/>
  <c r="Q79" i="2"/>
  <c r="R79" i="2"/>
  <c r="S79" i="2"/>
  <c r="T79" i="2"/>
  <c r="U79" i="2"/>
  <c r="V79" i="2"/>
  <c r="W79" i="2"/>
  <c r="X79" i="2"/>
  <c r="Y79" i="2"/>
  <c r="Z79" i="2"/>
  <c r="AA79" i="2"/>
  <c r="AB79" i="2"/>
  <c r="AC79" i="2"/>
  <c r="AD79" i="2"/>
  <c r="AE79" i="2"/>
  <c r="AF79" i="2"/>
  <c r="C80" i="2"/>
  <c r="D80" i="2"/>
  <c r="E80" i="2"/>
  <c r="F80" i="2"/>
  <c r="G80" i="2"/>
  <c r="H80" i="2"/>
  <c r="I80" i="2"/>
  <c r="J80" i="2"/>
  <c r="K80" i="2"/>
  <c r="L80" i="2"/>
  <c r="M80" i="2"/>
  <c r="N80" i="2"/>
  <c r="O80" i="2"/>
  <c r="P80" i="2"/>
  <c r="Q80" i="2"/>
  <c r="R80" i="2"/>
  <c r="S80" i="2"/>
  <c r="T80" i="2"/>
  <c r="U80" i="2"/>
  <c r="V80" i="2"/>
  <c r="W80" i="2"/>
  <c r="X80" i="2"/>
  <c r="Y80" i="2"/>
  <c r="Z80" i="2"/>
  <c r="AA80" i="2"/>
  <c r="AB80" i="2"/>
  <c r="AC80" i="2"/>
  <c r="AD80" i="2"/>
  <c r="AE80" i="2"/>
  <c r="AF80" i="2"/>
  <c r="C81" i="2"/>
  <c r="D81" i="2"/>
  <c r="E81" i="2"/>
  <c r="F81" i="2"/>
  <c r="G81" i="2"/>
  <c r="H81" i="2"/>
  <c r="I81" i="2"/>
  <c r="J81" i="2"/>
  <c r="K81" i="2"/>
  <c r="L81" i="2"/>
  <c r="M81" i="2"/>
  <c r="N81" i="2"/>
  <c r="O81" i="2"/>
  <c r="P81" i="2"/>
  <c r="Q81" i="2"/>
  <c r="R81" i="2"/>
  <c r="S81" i="2"/>
  <c r="T81" i="2"/>
  <c r="U81" i="2"/>
  <c r="V81" i="2"/>
  <c r="W81" i="2"/>
  <c r="X81" i="2"/>
  <c r="Y81" i="2"/>
  <c r="Z81" i="2"/>
  <c r="AA81" i="2"/>
  <c r="AB81" i="2"/>
  <c r="AC81" i="2"/>
  <c r="AD81" i="2"/>
  <c r="AE81" i="2"/>
  <c r="AF81" i="2"/>
  <c r="C82" i="2"/>
  <c r="D82" i="2"/>
  <c r="E82" i="2"/>
  <c r="F82" i="2"/>
  <c r="G82" i="2"/>
  <c r="H82" i="2"/>
  <c r="I82" i="2"/>
  <c r="J82" i="2"/>
  <c r="K82" i="2"/>
  <c r="L82" i="2"/>
  <c r="M82" i="2"/>
  <c r="N82" i="2"/>
  <c r="O82" i="2"/>
  <c r="P82" i="2"/>
  <c r="Q82" i="2"/>
  <c r="R82" i="2"/>
  <c r="S82" i="2"/>
  <c r="T82" i="2"/>
  <c r="U82" i="2"/>
  <c r="V82" i="2"/>
  <c r="W82" i="2"/>
  <c r="X82" i="2"/>
  <c r="Y82" i="2"/>
  <c r="Z82" i="2"/>
  <c r="AA82" i="2"/>
  <c r="AB82" i="2"/>
  <c r="AC82" i="2"/>
  <c r="AD82" i="2"/>
  <c r="AE82" i="2"/>
  <c r="AF82" i="2"/>
  <c r="C83" i="2"/>
  <c r="D83" i="2"/>
  <c r="E83" i="2"/>
  <c r="F83" i="2"/>
  <c r="G83" i="2"/>
  <c r="H83" i="2"/>
  <c r="I83" i="2"/>
  <c r="J83" i="2"/>
  <c r="K83" i="2"/>
  <c r="L83" i="2"/>
  <c r="M83" i="2"/>
  <c r="N83" i="2"/>
  <c r="O83" i="2"/>
  <c r="P83" i="2"/>
  <c r="Q83" i="2"/>
  <c r="R83" i="2"/>
  <c r="S83" i="2"/>
  <c r="T83" i="2"/>
  <c r="U83" i="2"/>
  <c r="V83" i="2"/>
  <c r="W83" i="2"/>
  <c r="X83" i="2"/>
  <c r="Y83" i="2"/>
  <c r="Z83" i="2"/>
  <c r="AA83" i="2"/>
  <c r="AB83" i="2"/>
  <c r="AC83" i="2"/>
  <c r="AD83" i="2"/>
  <c r="AE83" i="2"/>
  <c r="AF83" i="2"/>
  <c r="C84" i="2"/>
  <c r="D84" i="2"/>
  <c r="E84" i="2"/>
  <c r="F84" i="2"/>
  <c r="G84" i="2"/>
  <c r="H84" i="2"/>
  <c r="I84" i="2"/>
  <c r="J84" i="2"/>
  <c r="K84" i="2"/>
  <c r="L84" i="2"/>
  <c r="M84" i="2"/>
  <c r="N84" i="2"/>
  <c r="O84" i="2"/>
  <c r="P84" i="2"/>
  <c r="Q84" i="2"/>
  <c r="R84" i="2"/>
  <c r="S84" i="2"/>
  <c r="T84" i="2"/>
  <c r="U84" i="2"/>
  <c r="V84" i="2"/>
  <c r="W84" i="2"/>
  <c r="X84" i="2"/>
  <c r="Y84" i="2"/>
  <c r="Z84" i="2"/>
  <c r="AA84" i="2"/>
  <c r="AB84" i="2"/>
  <c r="AC84" i="2"/>
  <c r="AD84" i="2"/>
  <c r="AE84" i="2"/>
  <c r="AF84" i="2"/>
  <c r="C85" i="2"/>
  <c r="D85" i="2"/>
  <c r="E85" i="2"/>
  <c r="F85" i="2"/>
  <c r="G85" i="2"/>
  <c r="H85" i="2"/>
  <c r="I85" i="2"/>
  <c r="J85" i="2"/>
  <c r="K85" i="2"/>
  <c r="L85" i="2"/>
  <c r="M85" i="2"/>
  <c r="N85" i="2"/>
  <c r="O85" i="2"/>
  <c r="P85" i="2"/>
  <c r="Q85" i="2"/>
  <c r="R85" i="2"/>
  <c r="S85" i="2"/>
  <c r="T85" i="2"/>
  <c r="U85" i="2"/>
  <c r="V85" i="2"/>
  <c r="W85" i="2"/>
  <c r="X85" i="2"/>
  <c r="Y85" i="2"/>
  <c r="Z85" i="2"/>
  <c r="AA85" i="2"/>
  <c r="AB85" i="2"/>
  <c r="AC85" i="2"/>
  <c r="AD85" i="2"/>
  <c r="AE85" i="2"/>
  <c r="AF85" i="2"/>
  <c r="C86" i="2"/>
  <c r="D86" i="2"/>
  <c r="E86" i="2"/>
  <c r="F86" i="2"/>
  <c r="G86" i="2"/>
  <c r="H86" i="2"/>
  <c r="I86" i="2"/>
  <c r="J86" i="2"/>
  <c r="K86" i="2"/>
  <c r="L86" i="2"/>
  <c r="M86" i="2"/>
  <c r="N86" i="2"/>
  <c r="O86" i="2"/>
  <c r="P86" i="2"/>
  <c r="Q86" i="2"/>
  <c r="R86" i="2"/>
  <c r="S86" i="2"/>
  <c r="T86" i="2"/>
  <c r="U86" i="2"/>
  <c r="V86" i="2"/>
  <c r="W86" i="2"/>
  <c r="X86" i="2"/>
  <c r="Y86" i="2"/>
  <c r="Z86" i="2"/>
  <c r="AA86" i="2"/>
  <c r="AB86" i="2"/>
  <c r="AC86" i="2"/>
  <c r="AD86" i="2"/>
  <c r="AE86" i="2"/>
  <c r="AF86" i="2"/>
  <c r="C87" i="2"/>
  <c r="D87" i="2"/>
  <c r="E87" i="2"/>
  <c r="F87" i="2"/>
  <c r="G87" i="2"/>
  <c r="H87" i="2"/>
  <c r="I87" i="2"/>
  <c r="J87" i="2"/>
  <c r="K87" i="2"/>
  <c r="L87" i="2"/>
  <c r="M87" i="2"/>
  <c r="N87" i="2"/>
  <c r="O87" i="2"/>
  <c r="P87" i="2"/>
  <c r="Q87" i="2"/>
  <c r="R87" i="2"/>
  <c r="S87" i="2"/>
  <c r="T87" i="2"/>
  <c r="U87" i="2"/>
  <c r="V87" i="2"/>
  <c r="W87" i="2"/>
  <c r="X87" i="2"/>
  <c r="Y87" i="2"/>
  <c r="Z87" i="2"/>
  <c r="AA87" i="2"/>
  <c r="AB87" i="2"/>
  <c r="AC87" i="2"/>
  <c r="AD87" i="2"/>
  <c r="AE87" i="2"/>
  <c r="AF87" i="2"/>
  <c r="C88" i="2"/>
  <c r="D88" i="2"/>
  <c r="E88" i="2"/>
  <c r="F88" i="2"/>
  <c r="G88" i="2"/>
  <c r="H88" i="2"/>
  <c r="I88" i="2"/>
  <c r="J88" i="2"/>
  <c r="K88" i="2"/>
  <c r="L88" i="2"/>
  <c r="M88" i="2"/>
  <c r="N88" i="2"/>
  <c r="O88" i="2"/>
  <c r="P88" i="2"/>
  <c r="Q88" i="2"/>
  <c r="R88" i="2"/>
  <c r="S88" i="2"/>
  <c r="T88" i="2"/>
  <c r="U88" i="2"/>
  <c r="V88" i="2"/>
  <c r="W88" i="2"/>
  <c r="X88" i="2"/>
  <c r="Y88" i="2"/>
  <c r="Z88" i="2"/>
  <c r="AA88" i="2"/>
  <c r="AB88" i="2"/>
  <c r="AC88" i="2"/>
  <c r="AD88" i="2"/>
  <c r="AE88" i="2"/>
  <c r="AF88" i="2"/>
  <c r="C89" i="2"/>
  <c r="D89" i="2"/>
  <c r="E89" i="2"/>
  <c r="F89" i="2"/>
  <c r="G89" i="2"/>
  <c r="H89" i="2"/>
  <c r="I89" i="2"/>
  <c r="J89" i="2"/>
  <c r="K89" i="2"/>
  <c r="L89" i="2"/>
  <c r="M89" i="2"/>
  <c r="N89" i="2"/>
  <c r="O89" i="2"/>
  <c r="P89" i="2"/>
  <c r="Q89" i="2"/>
  <c r="R89" i="2"/>
  <c r="S89" i="2"/>
  <c r="T89" i="2"/>
  <c r="U89" i="2"/>
  <c r="V89" i="2"/>
  <c r="W89" i="2"/>
  <c r="X89" i="2"/>
  <c r="Y89" i="2"/>
  <c r="Z89" i="2"/>
  <c r="AA89" i="2"/>
  <c r="AB89" i="2"/>
  <c r="AC89" i="2"/>
  <c r="AD89" i="2"/>
  <c r="AE89" i="2"/>
  <c r="AF89" i="2"/>
  <c r="C90" i="2"/>
  <c r="D90" i="2"/>
  <c r="E90" i="2"/>
  <c r="F90" i="2"/>
  <c r="G90" i="2"/>
  <c r="H90" i="2"/>
  <c r="I90" i="2"/>
  <c r="J90" i="2"/>
  <c r="K90" i="2"/>
  <c r="L90" i="2"/>
  <c r="M90" i="2"/>
  <c r="N90" i="2"/>
  <c r="O90" i="2"/>
  <c r="P90" i="2"/>
  <c r="Q90" i="2"/>
  <c r="R90" i="2"/>
  <c r="S90" i="2"/>
  <c r="T90" i="2"/>
  <c r="U90" i="2"/>
  <c r="V90" i="2"/>
  <c r="W90" i="2"/>
  <c r="X90" i="2"/>
  <c r="Y90" i="2"/>
  <c r="Z90" i="2"/>
  <c r="AA90" i="2"/>
  <c r="AB90" i="2"/>
  <c r="AC90" i="2"/>
  <c r="AD90" i="2"/>
  <c r="AE90" i="2"/>
  <c r="AF90" i="2"/>
  <c r="C91" i="2"/>
  <c r="D91" i="2"/>
  <c r="E91" i="2"/>
  <c r="F91" i="2"/>
  <c r="G91" i="2"/>
  <c r="H91" i="2"/>
  <c r="I91" i="2"/>
  <c r="J91" i="2"/>
  <c r="K91" i="2"/>
  <c r="L91" i="2"/>
  <c r="M91" i="2"/>
  <c r="N91" i="2"/>
  <c r="O91" i="2"/>
  <c r="P91" i="2"/>
  <c r="Q91" i="2"/>
  <c r="R91" i="2"/>
  <c r="S91" i="2"/>
  <c r="T91" i="2"/>
  <c r="U91" i="2"/>
  <c r="V91" i="2"/>
  <c r="W91" i="2"/>
  <c r="X91" i="2"/>
  <c r="Y91" i="2"/>
  <c r="Z91" i="2"/>
  <c r="AA91" i="2"/>
  <c r="AB91" i="2"/>
  <c r="AC91" i="2"/>
  <c r="AD91" i="2"/>
  <c r="AE91" i="2"/>
  <c r="AF91" i="2"/>
  <c r="C92" i="2"/>
  <c r="D92" i="2"/>
  <c r="E92" i="2"/>
  <c r="F92" i="2"/>
  <c r="G92" i="2"/>
  <c r="H92" i="2"/>
  <c r="I92" i="2"/>
  <c r="J92" i="2"/>
  <c r="K92" i="2"/>
  <c r="L92" i="2"/>
  <c r="M92" i="2"/>
  <c r="N92" i="2"/>
  <c r="O92" i="2"/>
  <c r="P92" i="2"/>
  <c r="Q92" i="2"/>
  <c r="R92" i="2"/>
  <c r="S92" i="2"/>
  <c r="T92" i="2"/>
  <c r="U92" i="2"/>
  <c r="V92" i="2"/>
  <c r="W92" i="2"/>
  <c r="X92" i="2"/>
  <c r="Y92" i="2"/>
  <c r="Z92" i="2"/>
  <c r="AA92" i="2"/>
  <c r="AB92" i="2"/>
  <c r="AC92" i="2"/>
  <c r="AD92" i="2"/>
  <c r="AE92" i="2"/>
  <c r="AF92" i="2"/>
  <c r="C93" i="2"/>
  <c r="D93" i="2"/>
  <c r="E93" i="2"/>
  <c r="F93" i="2"/>
  <c r="G93" i="2"/>
  <c r="H93" i="2"/>
  <c r="I93" i="2"/>
  <c r="J93" i="2"/>
  <c r="K93" i="2"/>
  <c r="L93" i="2"/>
  <c r="M93" i="2"/>
  <c r="N93" i="2"/>
  <c r="O93" i="2"/>
  <c r="P93" i="2"/>
  <c r="Q93" i="2"/>
  <c r="R93" i="2"/>
  <c r="S93" i="2"/>
  <c r="T93" i="2"/>
  <c r="U93" i="2"/>
  <c r="V93" i="2"/>
  <c r="W93" i="2"/>
  <c r="X93" i="2"/>
  <c r="Y93" i="2"/>
  <c r="Z93" i="2"/>
  <c r="AA93" i="2"/>
  <c r="AB93" i="2"/>
  <c r="AC93" i="2"/>
  <c r="AD93" i="2"/>
  <c r="AE93" i="2"/>
  <c r="AF93" i="2"/>
  <c r="C94" i="2"/>
  <c r="D94" i="2"/>
  <c r="E94" i="2"/>
  <c r="F94" i="2"/>
  <c r="G94" i="2"/>
  <c r="H94" i="2"/>
  <c r="I94" i="2"/>
  <c r="J94" i="2"/>
  <c r="K94" i="2"/>
  <c r="L94" i="2"/>
  <c r="M94" i="2"/>
  <c r="N94" i="2"/>
  <c r="O94" i="2"/>
  <c r="P94" i="2"/>
  <c r="Q94" i="2"/>
  <c r="R94" i="2"/>
  <c r="S94" i="2"/>
  <c r="T94" i="2"/>
  <c r="U94" i="2"/>
  <c r="V94" i="2"/>
  <c r="W94" i="2"/>
  <c r="X94" i="2"/>
  <c r="Y94" i="2"/>
  <c r="Z94" i="2"/>
  <c r="AA94" i="2"/>
  <c r="AB94" i="2"/>
  <c r="AC94" i="2"/>
  <c r="AD94" i="2"/>
  <c r="AE94" i="2"/>
  <c r="AF94" i="2"/>
  <c r="C95" i="2"/>
  <c r="D95" i="2"/>
  <c r="E95" i="2"/>
  <c r="F95" i="2"/>
  <c r="G95" i="2"/>
  <c r="H95" i="2"/>
  <c r="I95" i="2"/>
  <c r="J95" i="2"/>
  <c r="K95" i="2"/>
  <c r="L95" i="2"/>
  <c r="M95" i="2"/>
  <c r="N95" i="2"/>
  <c r="O95" i="2"/>
  <c r="P95" i="2"/>
  <c r="Q95" i="2"/>
  <c r="R95" i="2"/>
  <c r="S95" i="2"/>
  <c r="T95" i="2"/>
  <c r="U95" i="2"/>
  <c r="V95" i="2"/>
  <c r="W95" i="2"/>
  <c r="X95" i="2"/>
  <c r="Y95" i="2"/>
  <c r="Z95" i="2"/>
  <c r="AA95" i="2"/>
  <c r="AB95" i="2"/>
  <c r="AC95" i="2"/>
  <c r="AD95" i="2"/>
  <c r="AE95" i="2"/>
  <c r="AF95" i="2"/>
  <c r="C96" i="2"/>
  <c r="D96" i="2"/>
  <c r="E96" i="2"/>
  <c r="F96" i="2"/>
  <c r="G96" i="2"/>
  <c r="H96" i="2"/>
  <c r="I96" i="2"/>
  <c r="J96" i="2"/>
  <c r="K96" i="2"/>
  <c r="L96" i="2"/>
  <c r="M96" i="2"/>
  <c r="N96" i="2"/>
  <c r="O96" i="2"/>
  <c r="P96" i="2"/>
  <c r="Q96" i="2"/>
  <c r="R96" i="2"/>
  <c r="S96" i="2"/>
  <c r="T96" i="2"/>
  <c r="U96" i="2"/>
  <c r="V96" i="2"/>
  <c r="W96" i="2"/>
  <c r="X96" i="2"/>
  <c r="Y96" i="2"/>
  <c r="Z96" i="2"/>
  <c r="AA96" i="2"/>
  <c r="AB96" i="2"/>
  <c r="AC96" i="2"/>
  <c r="AD96" i="2"/>
  <c r="AE96" i="2"/>
  <c r="AF96" i="2"/>
  <c r="C97" i="2"/>
  <c r="D97" i="2"/>
  <c r="E97" i="2"/>
  <c r="F97" i="2"/>
  <c r="G97" i="2"/>
  <c r="H97" i="2"/>
  <c r="I97" i="2"/>
  <c r="J97" i="2"/>
  <c r="K97" i="2"/>
  <c r="L97" i="2"/>
  <c r="M97" i="2"/>
  <c r="N97" i="2"/>
  <c r="O97" i="2"/>
  <c r="P97" i="2"/>
  <c r="Q97" i="2"/>
  <c r="R97" i="2"/>
  <c r="S97" i="2"/>
  <c r="T97" i="2"/>
  <c r="U97" i="2"/>
  <c r="V97" i="2"/>
  <c r="W97" i="2"/>
  <c r="X97" i="2"/>
  <c r="Y97" i="2"/>
  <c r="Z97" i="2"/>
  <c r="AA97" i="2"/>
  <c r="AB97" i="2"/>
  <c r="AC97" i="2"/>
  <c r="AD97" i="2"/>
  <c r="AE97" i="2"/>
  <c r="AF97" i="2"/>
  <c r="C98" i="2"/>
  <c r="D98" i="2"/>
  <c r="E98" i="2"/>
  <c r="F98" i="2"/>
  <c r="G98" i="2"/>
  <c r="H98" i="2"/>
  <c r="I98" i="2"/>
  <c r="J98" i="2"/>
  <c r="K98" i="2"/>
  <c r="L98" i="2"/>
  <c r="M98" i="2"/>
  <c r="N98" i="2"/>
  <c r="O98" i="2"/>
  <c r="P98" i="2"/>
  <c r="Q98" i="2"/>
  <c r="R98" i="2"/>
  <c r="S98" i="2"/>
  <c r="T98" i="2"/>
  <c r="U98" i="2"/>
  <c r="V98" i="2"/>
  <c r="W98" i="2"/>
  <c r="X98" i="2"/>
  <c r="Y98" i="2"/>
  <c r="Z98" i="2"/>
  <c r="AA98" i="2"/>
  <c r="AB98" i="2"/>
  <c r="AC98" i="2"/>
  <c r="AD98" i="2"/>
  <c r="AE98" i="2"/>
  <c r="AF98" i="2"/>
  <c r="C99" i="2"/>
  <c r="D99" i="2"/>
  <c r="E99" i="2"/>
  <c r="F99" i="2"/>
  <c r="G99" i="2"/>
  <c r="H99" i="2"/>
  <c r="I99" i="2"/>
  <c r="J99" i="2"/>
  <c r="K99" i="2"/>
  <c r="L99" i="2"/>
  <c r="M99" i="2"/>
  <c r="N99" i="2"/>
  <c r="O99" i="2"/>
  <c r="P99" i="2"/>
  <c r="Q99" i="2"/>
  <c r="R99" i="2"/>
  <c r="S99" i="2"/>
  <c r="T99" i="2"/>
  <c r="U99" i="2"/>
  <c r="V99" i="2"/>
  <c r="W99" i="2"/>
  <c r="X99" i="2"/>
  <c r="Y99" i="2"/>
  <c r="Z99" i="2"/>
  <c r="AA99" i="2"/>
  <c r="AB99" i="2"/>
  <c r="AC99" i="2"/>
  <c r="AD99" i="2"/>
  <c r="AE99" i="2"/>
  <c r="AF99" i="2"/>
  <c r="C100" i="2"/>
  <c r="D100" i="2"/>
  <c r="E100" i="2"/>
  <c r="F100" i="2"/>
  <c r="G100" i="2"/>
  <c r="H100" i="2"/>
  <c r="I100" i="2"/>
  <c r="J100" i="2"/>
  <c r="K100" i="2"/>
  <c r="L100" i="2"/>
  <c r="M100" i="2"/>
  <c r="N100" i="2"/>
  <c r="O100" i="2"/>
  <c r="P100" i="2"/>
  <c r="Q100" i="2"/>
  <c r="R100" i="2"/>
  <c r="S100" i="2"/>
  <c r="T100" i="2"/>
  <c r="U100" i="2"/>
  <c r="V100" i="2"/>
  <c r="W100" i="2"/>
  <c r="X100" i="2"/>
  <c r="Y100" i="2"/>
  <c r="Z100" i="2"/>
  <c r="AA100" i="2"/>
  <c r="AB100" i="2"/>
  <c r="AC100" i="2"/>
  <c r="AD100" i="2"/>
  <c r="AE100" i="2"/>
  <c r="AF100" i="2"/>
  <c r="C101" i="2"/>
  <c r="D101" i="2"/>
  <c r="E101" i="2"/>
  <c r="F101" i="2"/>
  <c r="G101" i="2"/>
  <c r="H101" i="2"/>
  <c r="I101" i="2"/>
  <c r="J101" i="2"/>
  <c r="K101" i="2"/>
  <c r="L101" i="2"/>
  <c r="M101" i="2"/>
  <c r="N101" i="2"/>
  <c r="O101" i="2"/>
  <c r="P101" i="2"/>
  <c r="Q101" i="2"/>
  <c r="R101" i="2"/>
  <c r="S101" i="2"/>
  <c r="T101" i="2"/>
  <c r="U101" i="2"/>
  <c r="V101" i="2"/>
  <c r="W101" i="2"/>
  <c r="X101" i="2"/>
  <c r="Y101" i="2"/>
  <c r="Z101" i="2"/>
  <c r="AA101" i="2"/>
  <c r="AB101" i="2"/>
  <c r="AC101" i="2"/>
  <c r="AD101" i="2"/>
  <c r="AE101" i="2"/>
  <c r="AF101" i="2"/>
  <c r="C102" i="2"/>
  <c r="D102" i="2"/>
  <c r="E102" i="2"/>
  <c r="F102" i="2"/>
  <c r="G102" i="2"/>
  <c r="H102" i="2"/>
  <c r="I102" i="2"/>
  <c r="J102" i="2"/>
  <c r="K102" i="2"/>
  <c r="L102" i="2"/>
  <c r="M102" i="2"/>
  <c r="N102" i="2"/>
  <c r="O102" i="2"/>
  <c r="P102" i="2"/>
  <c r="Q102" i="2"/>
  <c r="R102" i="2"/>
  <c r="S102" i="2"/>
  <c r="T102" i="2"/>
  <c r="U102" i="2"/>
  <c r="V102" i="2"/>
  <c r="W102" i="2"/>
  <c r="X102" i="2"/>
  <c r="Y102" i="2"/>
  <c r="Z102" i="2"/>
  <c r="AA102" i="2"/>
  <c r="AB102" i="2"/>
  <c r="AC102" i="2"/>
  <c r="AD102" i="2"/>
  <c r="AE102" i="2"/>
  <c r="AF102" i="2"/>
  <c r="C103" i="2"/>
  <c r="D103" i="2"/>
  <c r="E103" i="2"/>
  <c r="F103" i="2"/>
  <c r="G103" i="2"/>
  <c r="H103" i="2"/>
  <c r="I103" i="2"/>
  <c r="J103" i="2"/>
  <c r="K103" i="2"/>
  <c r="L103" i="2"/>
  <c r="M103" i="2"/>
  <c r="N103" i="2"/>
  <c r="O103" i="2"/>
  <c r="P103" i="2"/>
  <c r="Q103" i="2"/>
  <c r="R103" i="2"/>
  <c r="S103" i="2"/>
  <c r="T103" i="2"/>
  <c r="U103" i="2"/>
  <c r="V103" i="2"/>
  <c r="W103" i="2"/>
  <c r="X103" i="2"/>
  <c r="Y103" i="2"/>
  <c r="Z103" i="2"/>
  <c r="AA103" i="2"/>
  <c r="AB103" i="2"/>
  <c r="AC103" i="2"/>
  <c r="AD103" i="2"/>
  <c r="AE103" i="2"/>
  <c r="AF103" i="2"/>
  <c r="C104" i="2"/>
  <c r="D104" i="2"/>
  <c r="E104" i="2"/>
  <c r="F104" i="2"/>
  <c r="G104" i="2"/>
  <c r="H104" i="2"/>
  <c r="I104" i="2"/>
  <c r="J104" i="2"/>
  <c r="K104" i="2"/>
  <c r="L104" i="2"/>
  <c r="M104" i="2"/>
  <c r="N104" i="2"/>
  <c r="O104" i="2"/>
  <c r="P104" i="2"/>
  <c r="Q104" i="2"/>
  <c r="R104" i="2"/>
  <c r="S104" i="2"/>
  <c r="T104" i="2"/>
  <c r="U104" i="2"/>
  <c r="V104" i="2"/>
  <c r="W104" i="2"/>
  <c r="X104" i="2"/>
  <c r="Y104" i="2"/>
  <c r="Z104" i="2"/>
  <c r="AA104" i="2"/>
  <c r="AB104" i="2"/>
  <c r="AC104" i="2"/>
  <c r="AD104" i="2"/>
  <c r="AE104" i="2"/>
  <c r="AF104" i="2"/>
  <c r="C105" i="2"/>
  <c r="D105" i="2"/>
  <c r="E105" i="2"/>
  <c r="F105" i="2"/>
  <c r="G105" i="2"/>
  <c r="H105" i="2"/>
  <c r="I105" i="2"/>
  <c r="J105" i="2"/>
  <c r="K105" i="2"/>
  <c r="L105" i="2"/>
  <c r="M105" i="2"/>
  <c r="N105" i="2"/>
  <c r="O105" i="2"/>
  <c r="P105" i="2"/>
  <c r="Q105" i="2"/>
  <c r="R105" i="2"/>
  <c r="S105" i="2"/>
  <c r="T105" i="2"/>
  <c r="U105" i="2"/>
  <c r="V105" i="2"/>
  <c r="W105" i="2"/>
  <c r="X105" i="2"/>
  <c r="Y105" i="2"/>
  <c r="Z105" i="2"/>
  <c r="AA105" i="2"/>
  <c r="AB105" i="2"/>
  <c r="AC105" i="2"/>
  <c r="AD105" i="2"/>
  <c r="AE105" i="2"/>
  <c r="AF105" i="2"/>
  <c r="C106" i="2"/>
  <c r="D106"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AD106" i="2"/>
  <c r="AE106" i="2"/>
  <c r="AF106" i="2"/>
  <c r="C107" i="2"/>
  <c r="D107"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AD107" i="2"/>
  <c r="AE107" i="2"/>
  <c r="AF107" i="2"/>
  <c r="C108" i="2"/>
  <c r="D108" i="2"/>
  <c r="E108" i="2"/>
  <c r="F108" i="2"/>
  <c r="G108" i="2"/>
  <c r="H108" i="2"/>
  <c r="I108" i="2"/>
  <c r="J108" i="2"/>
  <c r="K108" i="2"/>
  <c r="L108" i="2"/>
  <c r="M108" i="2"/>
  <c r="N108" i="2"/>
  <c r="O108" i="2"/>
  <c r="P108" i="2"/>
  <c r="Q108" i="2"/>
  <c r="R108" i="2"/>
  <c r="S108" i="2"/>
  <c r="T108" i="2"/>
  <c r="U108" i="2"/>
  <c r="V108" i="2"/>
  <c r="W108" i="2"/>
  <c r="X108" i="2"/>
  <c r="Y108" i="2"/>
  <c r="Z108" i="2"/>
  <c r="AA108" i="2"/>
  <c r="AB108" i="2"/>
  <c r="AC108" i="2"/>
  <c r="AD108" i="2"/>
  <c r="AE108" i="2"/>
  <c r="AF108" i="2"/>
  <c r="C109" i="2"/>
  <c r="D109" i="2"/>
  <c r="E109" i="2"/>
  <c r="F109" i="2"/>
  <c r="G109" i="2"/>
  <c r="H109" i="2"/>
  <c r="I109" i="2"/>
  <c r="J109" i="2"/>
  <c r="K109" i="2"/>
  <c r="L109" i="2"/>
  <c r="M109" i="2"/>
  <c r="N109" i="2"/>
  <c r="O109" i="2"/>
  <c r="P109" i="2"/>
  <c r="Q109" i="2"/>
  <c r="R109" i="2"/>
  <c r="S109" i="2"/>
  <c r="T109" i="2"/>
  <c r="U109" i="2"/>
  <c r="V109" i="2"/>
  <c r="W109" i="2"/>
  <c r="X109" i="2"/>
  <c r="Y109" i="2"/>
  <c r="Z109" i="2"/>
  <c r="AA109" i="2"/>
  <c r="AB109" i="2"/>
  <c r="AC109" i="2"/>
  <c r="AD109" i="2"/>
  <c r="AE109" i="2"/>
  <c r="AF109" i="2"/>
  <c r="C110" i="2"/>
  <c r="D110" i="2"/>
  <c r="E110" i="2"/>
  <c r="F110" i="2"/>
  <c r="G110" i="2"/>
  <c r="H110" i="2"/>
  <c r="I110" i="2"/>
  <c r="J110" i="2"/>
  <c r="K110" i="2"/>
  <c r="L110" i="2"/>
  <c r="M110" i="2"/>
  <c r="N110" i="2"/>
  <c r="O110" i="2"/>
  <c r="P110" i="2"/>
  <c r="Q110" i="2"/>
  <c r="R110" i="2"/>
  <c r="S110" i="2"/>
  <c r="T110" i="2"/>
  <c r="U110" i="2"/>
  <c r="V110" i="2"/>
  <c r="W110" i="2"/>
  <c r="X110" i="2"/>
  <c r="Y110" i="2"/>
  <c r="Z110" i="2"/>
  <c r="AA110" i="2"/>
  <c r="AB110" i="2"/>
  <c r="AC110" i="2"/>
  <c r="AD110" i="2"/>
  <c r="AE110" i="2"/>
  <c r="AF110" i="2"/>
  <c r="C111" i="2"/>
  <c r="D111" i="2"/>
  <c r="E111" i="2"/>
  <c r="F111" i="2"/>
  <c r="G111" i="2"/>
  <c r="H111" i="2"/>
  <c r="I111" i="2"/>
  <c r="J111" i="2"/>
  <c r="K111" i="2"/>
  <c r="L111" i="2"/>
  <c r="M111" i="2"/>
  <c r="N111" i="2"/>
  <c r="O111" i="2"/>
  <c r="P111" i="2"/>
  <c r="Q111" i="2"/>
  <c r="R111" i="2"/>
  <c r="S111" i="2"/>
  <c r="T111" i="2"/>
  <c r="U111" i="2"/>
  <c r="V111" i="2"/>
  <c r="W111" i="2"/>
  <c r="X111" i="2"/>
  <c r="Y111" i="2"/>
  <c r="Z111" i="2"/>
  <c r="AA111" i="2"/>
  <c r="AB111" i="2"/>
  <c r="AC111" i="2"/>
  <c r="AD111" i="2"/>
  <c r="AE111" i="2"/>
  <c r="AF111" i="2"/>
  <c r="C112" i="2"/>
  <c r="D112" i="2"/>
  <c r="E112" i="2"/>
  <c r="F112" i="2"/>
  <c r="G112" i="2"/>
  <c r="H112" i="2"/>
  <c r="I112" i="2"/>
  <c r="J112" i="2"/>
  <c r="K112" i="2"/>
  <c r="L112" i="2"/>
  <c r="M112" i="2"/>
  <c r="N112" i="2"/>
  <c r="O112" i="2"/>
  <c r="P112" i="2"/>
  <c r="Q112" i="2"/>
  <c r="R112" i="2"/>
  <c r="S112" i="2"/>
  <c r="T112" i="2"/>
  <c r="U112" i="2"/>
  <c r="V112" i="2"/>
  <c r="W112" i="2"/>
  <c r="X112" i="2"/>
  <c r="Y112" i="2"/>
  <c r="Z112" i="2"/>
  <c r="AA112" i="2"/>
  <c r="AB112" i="2"/>
  <c r="AC112" i="2"/>
  <c r="AD112" i="2"/>
  <c r="AE112" i="2"/>
  <c r="AF112" i="2"/>
  <c r="C113" i="2"/>
  <c r="D113" i="2"/>
  <c r="E113" i="2"/>
  <c r="F113" i="2"/>
  <c r="G113" i="2"/>
  <c r="H113" i="2"/>
  <c r="I113" i="2"/>
  <c r="J113" i="2"/>
  <c r="K113" i="2"/>
  <c r="L113" i="2"/>
  <c r="M113" i="2"/>
  <c r="N113" i="2"/>
  <c r="O113" i="2"/>
  <c r="P113" i="2"/>
  <c r="Q113" i="2"/>
  <c r="R113" i="2"/>
  <c r="S113" i="2"/>
  <c r="T113" i="2"/>
  <c r="U113" i="2"/>
  <c r="V113" i="2"/>
  <c r="W113" i="2"/>
  <c r="X113" i="2"/>
  <c r="Y113" i="2"/>
  <c r="Z113" i="2"/>
  <c r="AA113" i="2"/>
  <c r="AB113" i="2"/>
  <c r="AC113" i="2"/>
  <c r="AD113" i="2"/>
  <c r="AE113" i="2"/>
  <c r="AF113" i="2"/>
  <c r="C114" i="2"/>
  <c r="D114" i="2"/>
  <c r="E114" i="2"/>
  <c r="F114" i="2"/>
  <c r="G114" i="2"/>
  <c r="H114" i="2"/>
  <c r="I114" i="2"/>
  <c r="J114" i="2"/>
  <c r="K114" i="2"/>
  <c r="L114" i="2"/>
  <c r="M114" i="2"/>
  <c r="N114" i="2"/>
  <c r="O114" i="2"/>
  <c r="P114" i="2"/>
  <c r="Q114" i="2"/>
  <c r="R114" i="2"/>
  <c r="S114" i="2"/>
  <c r="T114" i="2"/>
  <c r="U114" i="2"/>
  <c r="V114" i="2"/>
  <c r="W114" i="2"/>
  <c r="X114" i="2"/>
  <c r="Y114" i="2"/>
  <c r="Z114" i="2"/>
  <c r="AA114" i="2"/>
  <c r="AB114" i="2"/>
  <c r="AC114" i="2"/>
  <c r="AD114" i="2"/>
  <c r="AE114" i="2"/>
  <c r="AF114" i="2"/>
  <c r="C115" i="2"/>
  <c r="D115" i="2"/>
  <c r="E115" i="2"/>
  <c r="F115" i="2"/>
  <c r="G115" i="2"/>
  <c r="H115" i="2"/>
  <c r="I115" i="2"/>
  <c r="J115" i="2"/>
  <c r="K115" i="2"/>
  <c r="L115" i="2"/>
  <c r="M115" i="2"/>
  <c r="N115" i="2"/>
  <c r="O115" i="2"/>
  <c r="P115" i="2"/>
  <c r="Q115" i="2"/>
  <c r="R115" i="2"/>
  <c r="S115" i="2"/>
  <c r="T115" i="2"/>
  <c r="U115" i="2"/>
  <c r="V115" i="2"/>
  <c r="W115" i="2"/>
  <c r="X115" i="2"/>
  <c r="Y115" i="2"/>
  <c r="Z115" i="2"/>
  <c r="AA115" i="2"/>
  <c r="AB115" i="2"/>
  <c r="AC115" i="2"/>
  <c r="AD115" i="2"/>
  <c r="AE115" i="2"/>
  <c r="AF115" i="2"/>
  <c r="C116" i="2"/>
  <c r="D116" i="2"/>
  <c r="E116" i="2"/>
  <c r="F116" i="2"/>
  <c r="G116" i="2"/>
  <c r="H116" i="2"/>
  <c r="I116" i="2"/>
  <c r="J116" i="2"/>
  <c r="K116" i="2"/>
  <c r="L116" i="2"/>
  <c r="M116" i="2"/>
  <c r="N116" i="2"/>
  <c r="O116" i="2"/>
  <c r="P116" i="2"/>
  <c r="Q116" i="2"/>
  <c r="R116" i="2"/>
  <c r="S116" i="2"/>
  <c r="T116" i="2"/>
  <c r="U116" i="2"/>
  <c r="V116" i="2"/>
  <c r="W116" i="2"/>
  <c r="X116" i="2"/>
  <c r="Y116" i="2"/>
  <c r="Z116" i="2"/>
  <c r="AA116" i="2"/>
  <c r="AB116" i="2"/>
  <c r="AC116" i="2"/>
  <c r="AD116" i="2"/>
  <c r="AE116" i="2"/>
  <c r="AF116" i="2"/>
  <c r="C117" i="2"/>
  <c r="D117" i="2"/>
  <c r="E117" i="2"/>
  <c r="F117" i="2"/>
  <c r="G117" i="2"/>
  <c r="H117" i="2"/>
  <c r="I117" i="2"/>
  <c r="J117" i="2"/>
  <c r="K117" i="2"/>
  <c r="L117" i="2"/>
  <c r="M117" i="2"/>
  <c r="N117" i="2"/>
  <c r="O117" i="2"/>
  <c r="P117" i="2"/>
  <c r="Q117" i="2"/>
  <c r="R117" i="2"/>
  <c r="S117" i="2"/>
  <c r="T117" i="2"/>
  <c r="U117" i="2"/>
  <c r="V117" i="2"/>
  <c r="W117" i="2"/>
  <c r="X117" i="2"/>
  <c r="Y117" i="2"/>
  <c r="Z117" i="2"/>
  <c r="AA117" i="2"/>
  <c r="AB117" i="2"/>
  <c r="AC117" i="2"/>
  <c r="AD117" i="2"/>
  <c r="AE117" i="2"/>
  <c r="AF117" i="2"/>
  <c r="C118" i="2"/>
  <c r="D118" i="2"/>
  <c r="E118" i="2"/>
  <c r="F118" i="2"/>
  <c r="G118" i="2"/>
  <c r="H118" i="2"/>
  <c r="I118" i="2"/>
  <c r="J118" i="2"/>
  <c r="K118" i="2"/>
  <c r="L118" i="2"/>
  <c r="M118" i="2"/>
  <c r="N118" i="2"/>
  <c r="O118" i="2"/>
  <c r="P118" i="2"/>
  <c r="Q118" i="2"/>
  <c r="R118" i="2"/>
  <c r="S118" i="2"/>
  <c r="T118" i="2"/>
  <c r="U118" i="2"/>
  <c r="V118" i="2"/>
  <c r="W118" i="2"/>
  <c r="X118" i="2"/>
  <c r="Y118" i="2"/>
  <c r="Z118" i="2"/>
  <c r="AA118" i="2"/>
  <c r="AB118" i="2"/>
  <c r="AC118" i="2"/>
  <c r="AD118" i="2"/>
  <c r="AE118" i="2"/>
  <c r="AF118" i="2"/>
  <c r="C119" i="2"/>
  <c r="D119" i="2"/>
  <c r="E119" i="2"/>
  <c r="F119" i="2"/>
  <c r="G119" i="2"/>
  <c r="H119" i="2"/>
  <c r="I119" i="2"/>
  <c r="J119" i="2"/>
  <c r="K119" i="2"/>
  <c r="L119" i="2"/>
  <c r="M119" i="2"/>
  <c r="N119" i="2"/>
  <c r="O119" i="2"/>
  <c r="P119" i="2"/>
  <c r="Q119" i="2"/>
  <c r="R119" i="2"/>
  <c r="S119" i="2"/>
  <c r="T119" i="2"/>
  <c r="U119" i="2"/>
  <c r="V119" i="2"/>
  <c r="W119" i="2"/>
  <c r="X119" i="2"/>
  <c r="Y119" i="2"/>
  <c r="Z119" i="2"/>
  <c r="AA119" i="2"/>
  <c r="AB119" i="2"/>
  <c r="AC119" i="2"/>
  <c r="AD119" i="2"/>
  <c r="AE119" i="2"/>
  <c r="AF119" i="2"/>
  <c r="C120" i="2"/>
  <c r="D120" i="2"/>
  <c r="E120" i="2"/>
  <c r="F120" i="2"/>
  <c r="G120" i="2"/>
  <c r="H120" i="2"/>
  <c r="I120" i="2"/>
  <c r="J120" i="2"/>
  <c r="K120" i="2"/>
  <c r="L120" i="2"/>
  <c r="M120" i="2"/>
  <c r="N120" i="2"/>
  <c r="O120" i="2"/>
  <c r="P120" i="2"/>
  <c r="Q120" i="2"/>
  <c r="R120" i="2"/>
  <c r="S120" i="2"/>
  <c r="T120" i="2"/>
  <c r="U120" i="2"/>
  <c r="V120" i="2"/>
  <c r="W120" i="2"/>
  <c r="X120" i="2"/>
  <c r="Y120" i="2"/>
  <c r="Z120" i="2"/>
  <c r="AA120" i="2"/>
  <c r="AB120" i="2"/>
  <c r="AC120" i="2"/>
  <c r="AD120" i="2"/>
  <c r="AE120" i="2"/>
  <c r="AF120" i="2"/>
  <c r="C121" i="2"/>
  <c r="D121" i="2"/>
  <c r="E121" i="2"/>
  <c r="F121" i="2"/>
  <c r="G121" i="2"/>
  <c r="H121" i="2"/>
  <c r="I121" i="2"/>
  <c r="J121" i="2"/>
  <c r="K121" i="2"/>
  <c r="L121" i="2"/>
  <c r="M121" i="2"/>
  <c r="N121" i="2"/>
  <c r="O121" i="2"/>
  <c r="P121" i="2"/>
  <c r="Q121" i="2"/>
  <c r="R121" i="2"/>
  <c r="S121" i="2"/>
  <c r="T121" i="2"/>
  <c r="U121" i="2"/>
  <c r="V121" i="2"/>
  <c r="W121" i="2"/>
  <c r="X121" i="2"/>
  <c r="Y121" i="2"/>
  <c r="Z121" i="2"/>
  <c r="AA121" i="2"/>
  <c r="AB121" i="2"/>
  <c r="AC121" i="2"/>
  <c r="AD121" i="2"/>
  <c r="AE121" i="2"/>
  <c r="AF121" i="2"/>
  <c r="C122" i="2"/>
  <c r="D122" i="2"/>
  <c r="E122" i="2"/>
  <c r="F122" i="2"/>
  <c r="G122" i="2"/>
  <c r="H122" i="2"/>
  <c r="I122" i="2"/>
  <c r="J122" i="2"/>
  <c r="K122" i="2"/>
  <c r="L122" i="2"/>
  <c r="M122" i="2"/>
  <c r="N122" i="2"/>
  <c r="O122" i="2"/>
  <c r="P122" i="2"/>
  <c r="Q122" i="2"/>
  <c r="R122" i="2"/>
  <c r="S122" i="2"/>
  <c r="T122" i="2"/>
  <c r="U122" i="2"/>
  <c r="V122" i="2"/>
  <c r="W122" i="2"/>
  <c r="X122" i="2"/>
  <c r="Y122" i="2"/>
  <c r="Z122" i="2"/>
  <c r="AA122" i="2"/>
  <c r="AB122" i="2"/>
  <c r="AC122" i="2"/>
  <c r="AD122" i="2"/>
  <c r="AE122" i="2"/>
  <c r="AF122" i="2"/>
  <c r="C123" i="2"/>
  <c r="D123" i="2"/>
  <c r="E123" i="2"/>
  <c r="F123" i="2"/>
  <c r="G123" i="2"/>
  <c r="H123" i="2"/>
  <c r="I123" i="2"/>
  <c r="J123" i="2"/>
  <c r="K123" i="2"/>
  <c r="L123" i="2"/>
  <c r="M123" i="2"/>
  <c r="N123" i="2"/>
  <c r="O123" i="2"/>
  <c r="P123" i="2"/>
  <c r="Q123" i="2"/>
  <c r="R123" i="2"/>
  <c r="S123" i="2"/>
  <c r="T123" i="2"/>
  <c r="U123" i="2"/>
  <c r="V123" i="2"/>
  <c r="W123" i="2"/>
  <c r="X123" i="2"/>
  <c r="Y123" i="2"/>
  <c r="Z123" i="2"/>
  <c r="AA123" i="2"/>
  <c r="AB123" i="2"/>
  <c r="AC123" i="2"/>
  <c r="AD123" i="2"/>
  <c r="AE123" i="2"/>
  <c r="AF123" i="2"/>
  <c r="C124" i="2"/>
  <c r="D124" i="2"/>
  <c r="E124" i="2"/>
  <c r="F124" i="2"/>
  <c r="G124" i="2"/>
  <c r="H124" i="2"/>
  <c r="I124" i="2"/>
  <c r="J124" i="2"/>
  <c r="K124" i="2"/>
  <c r="L124" i="2"/>
  <c r="M124" i="2"/>
  <c r="N124" i="2"/>
  <c r="O124" i="2"/>
  <c r="P124" i="2"/>
  <c r="Q124" i="2"/>
  <c r="R124" i="2"/>
  <c r="S124" i="2"/>
  <c r="T124" i="2"/>
  <c r="U124" i="2"/>
  <c r="V124" i="2"/>
  <c r="W124" i="2"/>
  <c r="X124" i="2"/>
  <c r="Y124" i="2"/>
  <c r="Z124" i="2"/>
  <c r="AA124" i="2"/>
  <c r="AB124" i="2"/>
  <c r="AC124" i="2"/>
  <c r="AD124" i="2"/>
  <c r="AE124" i="2"/>
  <c r="AF124" i="2"/>
  <c r="C125" i="2"/>
  <c r="D125" i="2"/>
  <c r="E125" i="2"/>
  <c r="F125" i="2"/>
  <c r="G125" i="2"/>
  <c r="H125" i="2"/>
  <c r="I125" i="2"/>
  <c r="J125" i="2"/>
  <c r="K125" i="2"/>
  <c r="L125" i="2"/>
  <c r="M125" i="2"/>
  <c r="N125" i="2"/>
  <c r="O125" i="2"/>
  <c r="P125" i="2"/>
  <c r="Q125" i="2"/>
  <c r="R125" i="2"/>
  <c r="S125" i="2"/>
  <c r="T125" i="2"/>
  <c r="U125" i="2"/>
  <c r="V125" i="2"/>
  <c r="W125" i="2"/>
  <c r="X125" i="2"/>
  <c r="Y125" i="2"/>
  <c r="Z125" i="2"/>
  <c r="AA125" i="2"/>
  <c r="AB125" i="2"/>
  <c r="AC125" i="2"/>
  <c r="AD125" i="2"/>
  <c r="AE125" i="2"/>
  <c r="AF125" i="2"/>
  <c r="C126" i="2"/>
  <c r="D126" i="2"/>
  <c r="E126" i="2"/>
  <c r="F126" i="2"/>
  <c r="G126" i="2"/>
  <c r="H126" i="2"/>
  <c r="I126" i="2"/>
  <c r="J126" i="2"/>
  <c r="K126" i="2"/>
  <c r="L126" i="2"/>
  <c r="M126" i="2"/>
  <c r="N126" i="2"/>
  <c r="O126" i="2"/>
  <c r="P126" i="2"/>
  <c r="Q126" i="2"/>
  <c r="R126" i="2"/>
  <c r="S126" i="2"/>
  <c r="T126" i="2"/>
  <c r="U126" i="2"/>
  <c r="V126" i="2"/>
  <c r="W126" i="2"/>
  <c r="X126" i="2"/>
  <c r="Y126" i="2"/>
  <c r="Z126" i="2"/>
  <c r="AA126" i="2"/>
  <c r="AB126" i="2"/>
  <c r="AC126" i="2"/>
  <c r="AD126" i="2"/>
  <c r="AE126" i="2"/>
  <c r="AF126" i="2"/>
  <c r="C127" i="2"/>
  <c r="D127" i="2"/>
  <c r="E127" i="2"/>
  <c r="F127" i="2"/>
  <c r="G127" i="2"/>
  <c r="H127" i="2"/>
  <c r="I127" i="2"/>
  <c r="J127" i="2"/>
  <c r="K127" i="2"/>
  <c r="L127" i="2"/>
  <c r="M127" i="2"/>
  <c r="N127" i="2"/>
  <c r="O127" i="2"/>
  <c r="P127" i="2"/>
  <c r="Q127" i="2"/>
  <c r="R127" i="2"/>
  <c r="S127" i="2"/>
  <c r="T127" i="2"/>
  <c r="U127" i="2"/>
  <c r="V127" i="2"/>
  <c r="W127" i="2"/>
  <c r="X127" i="2"/>
  <c r="Y127" i="2"/>
  <c r="Z127" i="2"/>
  <c r="AA127" i="2"/>
  <c r="AB127" i="2"/>
  <c r="AC127" i="2"/>
  <c r="AD127" i="2"/>
  <c r="AE127" i="2"/>
  <c r="AF127" i="2"/>
  <c r="C128" i="2"/>
  <c r="D128" i="2"/>
  <c r="E128" i="2"/>
  <c r="F128" i="2"/>
  <c r="G128" i="2"/>
  <c r="H128" i="2"/>
  <c r="I128" i="2"/>
  <c r="J128" i="2"/>
  <c r="K128" i="2"/>
  <c r="L128" i="2"/>
  <c r="M128" i="2"/>
  <c r="N128" i="2"/>
  <c r="O128" i="2"/>
  <c r="P128" i="2"/>
  <c r="Q128" i="2"/>
  <c r="R128" i="2"/>
  <c r="S128" i="2"/>
  <c r="T128" i="2"/>
  <c r="U128" i="2"/>
  <c r="V128" i="2"/>
  <c r="W128" i="2"/>
  <c r="X128" i="2"/>
  <c r="Y128" i="2"/>
  <c r="Z128" i="2"/>
  <c r="AA128" i="2"/>
  <c r="AB128" i="2"/>
  <c r="AC128" i="2"/>
  <c r="AD128" i="2"/>
  <c r="AE128" i="2"/>
  <c r="AF128" i="2"/>
  <c r="C129" i="2"/>
  <c r="D129" i="2"/>
  <c r="E129" i="2"/>
  <c r="F129" i="2"/>
  <c r="G129" i="2"/>
  <c r="H129" i="2"/>
  <c r="I129" i="2"/>
  <c r="J129" i="2"/>
  <c r="K129" i="2"/>
  <c r="L129" i="2"/>
  <c r="M129" i="2"/>
  <c r="N129" i="2"/>
  <c r="O129" i="2"/>
  <c r="P129" i="2"/>
  <c r="Q129" i="2"/>
  <c r="R129" i="2"/>
  <c r="S129" i="2"/>
  <c r="T129" i="2"/>
  <c r="U129" i="2"/>
  <c r="V129" i="2"/>
  <c r="W129" i="2"/>
  <c r="X129" i="2"/>
  <c r="Y129" i="2"/>
  <c r="Z129" i="2"/>
  <c r="AA129" i="2"/>
  <c r="AB129" i="2"/>
  <c r="AC129" i="2"/>
  <c r="AD129" i="2"/>
  <c r="AE129" i="2"/>
  <c r="AF129" i="2"/>
  <c r="C130" i="2"/>
  <c r="D130" i="2"/>
  <c r="E130" i="2"/>
  <c r="F130" i="2"/>
  <c r="G130" i="2"/>
  <c r="H130" i="2"/>
  <c r="I130" i="2"/>
  <c r="J130" i="2"/>
  <c r="K130" i="2"/>
  <c r="L130" i="2"/>
  <c r="M130" i="2"/>
  <c r="N130" i="2"/>
  <c r="O130" i="2"/>
  <c r="P130" i="2"/>
  <c r="Q130" i="2"/>
  <c r="R130" i="2"/>
  <c r="S130" i="2"/>
  <c r="T130" i="2"/>
  <c r="U130" i="2"/>
  <c r="V130" i="2"/>
  <c r="W130" i="2"/>
  <c r="X130" i="2"/>
  <c r="Y130" i="2"/>
  <c r="Z130" i="2"/>
  <c r="AA130" i="2"/>
  <c r="AB130" i="2"/>
  <c r="AC130" i="2"/>
  <c r="AD130" i="2"/>
  <c r="AE130" i="2"/>
  <c r="AF130" i="2"/>
  <c r="C131" i="2"/>
  <c r="D131" i="2"/>
  <c r="E131" i="2"/>
  <c r="F131" i="2"/>
  <c r="G131" i="2"/>
  <c r="H131" i="2"/>
  <c r="I131" i="2"/>
  <c r="J131" i="2"/>
  <c r="K131" i="2"/>
  <c r="L131" i="2"/>
  <c r="M131" i="2"/>
  <c r="N131" i="2"/>
  <c r="O131" i="2"/>
  <c r="P131" i="2"/>
  <c r="Q131" i="2"/>
  <c r="R131" i="2"/>
  <c r="S131" i="2"/>
  <c r="T131" i="2"/>
  <c r="U131" i="2"/>
  <c r="V131" i="2"/>
  <c r="W131" i="2"/>
  <c r="X131" i="2"/>
  <c r="Y131" i="2"/>
  <c r="Z131" i="2"/>
  <c r="AA131" i="2"/>
  <c r="AB131" i="2"/>
  <c r="AC131" i="2"/>
  <c r="AD131" i="2"/>
  <c r="AE131" i="2"/>
  <c r="AF131" i="2"/>
  <c r="C132" i="2"/>
  <c r="D132" i="2"/>
  <c r="E132" i="2"/>
  <c r="F132" i="2"/>
  <c r="G132" i="2"/>
  <c r="H132" i="2"/>
  <c r="I132" i="2"/>
  <c r="J132" i="2"/>
  <c r="K132" i="2"/>
  <c r="L132" i="2"/>
  <c r="M132" i="2"/>
  <c r="N132" i="2"/>
  <c r="O132" i="2"/>
  <c r="P132" i="2"/>
  <c r="Q132" i="2"/>
  <c r="R132" i="2"/>
  <c r="S132" i="2"/>
  <c r="T132" i="2"/>
  <c r="U132" i="2"/>
  <c r="V132" i="2"/>
  <c r="W132" i="2"/>
  <c r="X132" i="2"/>
  <c r="Y132" i="2"/>
  <c r="Z132" i="2"/>
  <c r="AA132" i="2"/>
  <c r="AB132" i="2"/>
  <c r="AC132" i="2"/>
  <c r="AD132" i="2"/>
  <c r="AE132" i="2"/>
  <c r="AF132" i="2"/>
  <c r="C133" i="2"/>
  <c r="D133" i="2"/>
  <c r="E133" i="2"/>
  <c r="F133" i="2"/>
  <c r="G133" i="2"/>
  <c r="H133" i="2"/>
  <c r="I133" i="2"/>
  <c r="J133" i="2"/>
  <c r="K133" i="2"/>
  <c r="L133" i="2"/>
  <c r="M133" i="2"/>
  <c r="N133" i="2"/>
  <c r="O133" i="2"/>
  <c r="P133" i="2"/>
  <c r="Q133" i="2"/>
  <c r="R133" i="2"/>
  <c r="S133" i="2"/>
  <c r="T133" i="2"/>
  <c r="U133" i="2"/>
  <c r="V133" i="2"/>
  <c r="W133" i="2"/>
  <c r="X133" i="2"/>
  <c r="Y133" i="2"/>
  <c r="Z133" i="2"/>
  <c r="AA133" i="2"/>
  <c r="AB133" i="2"/>
  <c r="AC133" i="2"/>
  <c r="AD133" i="2"/>
  <c r="AE133" i="2"/>
  <c r="AF133" i="2"/>
  <c r="C134" i="2"/>
  <c r="D134" i="2"/>
  <c r="E134" i="2"/>
  <c r="F134" i="2"/>
  <c r="G134" i="2"/>
  <c r="H134" i="2"/>
  <c r="I134" i="2"/>
  <c r="J134" i="2"/>
  <c r="K134" i="2"/>
  <c r="L134" i="2"/>
  <c r="M134" i="2"/>
  <c r="N134" i="2"/>
  <c r="O134" i="2"/>
  <c r="P134" i="2"/>
  <c r="Q134" i="2"/>
  <c r="R134" i="2"/>
  <c r="S134" i="2"/>
  <c r="T134" i="2"/>
  <c r="U134" i="2"/>
  <c r="V134" i="2"/>
  <c r="W134" i="2"/>
  <c r="X134" i="2"/>
  <c r="Y134" i="2"/>
  <c r="Z134" i="2"/>
  <c r="AA134" i="2"/>
  <c r="AB134" i="2"/>
  <c r="AC134" i="2"/>
  <c r="AD134" i="2"/>
  <c r="AE134" i="2"/>
  <c r="AF134" i="2"/>
  <c r="C135" i="2"/>
  <c r="D135" i="2"/>
  <c r="E135" i="2"/>
  <c r="F135" i="2"/>
  <c r="G135" i="2"/>
  <c r="H135" i="2"/>
  <c r="I135" i="2"/>
  <c r="J135" i="2"/>
  <c r="K135" i="2"/>
  <c r="L135" i="2"/>
  <c r="M135" i="2"/>
  <c r="N135" i="2"/>
  <c r="O135" i="2"/>
  <c r="P135" i="2"/>
  <c r="Q135" i="2"/>
  <c r="R135" i="2"/>
  <c r="S135" i="2"/>
  <c r="T135" i="2"/>
  <c r="U135" i="2"/>
  <c r="V135" i="2"/>
  <c r="W135" i="2"/>
  <c r="X135" i="2"/>
  <c r="Y135" i="2"/>
  <c r="Z135" i="2"/>
  <c r="AA135" i="2"/>
  <c r="AB135" i="2"/>
  <c r="AC135" i="2"/>
  <c r="AD135" i="2"/>
  <c r="AE135" i="2"/>
  <c r="AF135" i="2"/>
  <c r="C136" i="2"/>
  <c r="D136" i="2"/>
  <c r="E136" i="2"/>
  <c r="F136" i="2"/>
  <c r="G136" i="2"/>
  <c r="H136" i="2"/>
  <c r="I136" i="2"/>
  <c r="J136" i="2"/>
  <c r="K136" i="2"/>
  <c r="L136" i="2"/>
  <c r="M136" i="2"/>
  <c r="N136" i="2"/>
  <c r="O136" i="2"/>
  <c r="P136" i="2"/>
  <c r="Q136" i="2"/>
  <c r="R136" i="2"/>
  <c r="S136" i="2"/>
  <c r="T136" i="2"/>
  <c r="U136" i="2"/>
  <c r="V136" i="2"/>
  <c r="W136" i="2"/>
  <c r="X136" i="2"/>
  <c r="Y136" i="2"/>
  <c r="Z136" i="2"/>
  <c r="AA136" i="2"/>
  <c r="AB136" i="2"/>
  <c r="AC136" i="2"/>
  <c r="AD136" i="2"/>
  <c r="AE136" i="2"/>
  <c r="AF136" i="2"/>
  <c r="C137" i="2"/>
  <c r="D137" i="2"/>
  <c r="E137" i="2"/>
  <c r="F137" i="2"/>
  <c r="G137" i="2"/>
  <c r="H137" i="2"/>
  <c r="I137" i="2"/>
  <c r="J137" i="2"/>
  <c r="K137" i="2"/>
  <c r="L137" i="2"/>
  <c r="M137" i="2"/>
  <c r="N137" i="2"/>
  <c r="O137" i="2"/>
  <c r="P137" i="2"/>
  <c r="Q137" i="2"/>
  <c r="R137" i="2"/>
  <c r="S137" i="2"/>
  <c r="T137" i="2"/>
  <c r="U137" i="2"/>
  <c r="V137" i="2"/>
  <c r="W137" i="2"/>
  <c r="X137" i="2"/>
  <c r="Y137" i="2"/>
  <c r="Z137" i="2"/>
  <c r="AA137" i="2"/>
  <c r="AB137" i="2"/>
  <c r="AC137" i="2"/>
  <c r="AD137" i="2"/>
  <c r="AE137" i="2"/>
  <c r="AF137" i="2"/>
  <c r="C138" i="2"/>
  <c r="D138" i="2"/>
  <c r="E138" i="2"/>
  <c r="F138" i="2"/>
  <c r="G138" i="2"/>
  <c r="H138" i="2"/>
  <c r="I138" i="2"/>
  <c r="J138" i="2"/>
  <c r="K138" i="2"/>
  <c r="L138" i="2"/>
  <c r="M138" i="2"/>
  <c r="N138" i="2"/>
  <c r="O138" i="2"/>
  <c r="P138" i="2"/>
  <c r="Q138" i="2"/>
  <c r="R138" i="2"/>
  <c r="S138" i="2"/>
  <c r="T138" i="2"/>
  <c r="U138" i="2"/>
  <c r="V138" i="2"/>
  <c r="W138" i="2"/>
  <c r="X138" i="2"/>
  <c r="Y138" i="2"/>
  <c r="Z138" i="2"/>
  <c r="AA138" i="2"/>
  <c r="AB138" i="2"/>
  <c r="AC138" i="2"/>
  <c r="AD138" i="2"/>
  <c r="AE138" i="2"/>
  <c r="AF138" i="2"/>
  <c r="C139" i="2"/>
  <c r="D139" i="2"/>
  <c r="E139" i="2"/>
  <c r="F139" i="2"/>
  <c r="G139" i="2"/>
  <c r="H139" i="2"/>
  <c r="I139" i="2"/>
  <c r="J139" i="2"/>
  <c r="K139" i="2"/>
  <c r="L139" i="2"/>
  <c r="M139" i="2"/>
  <c r="N139" i="2"/>
  <c r="O139" i="2"/>
  <c r="P139" i="2"/>
  <c r="Q139" i="2"/>
  <c r="R139" i="2"/>
  <c r="S139" i="2"/>
  <c r="T139" i="2"/>
  <c r="U139" i="2"/>
  <c r="V139" i="2"/>
  <c r="W139" i="2"/>
  <c r="X139" i="2"/>
  <c r="Y139" i="2"/>
  <c r="Z139" i="2"/>
  <c r="AA139" i="2"/>
  <c r="AB139" i="2"/>
  <c r="AC139" i="2"/>
  <c r="AD139" i="2"/>
  <c r="AE139" i="2"/>
  <c r="AF139" i="2"/>
  <c r="C140" i="2"/>
  <c r="D140" i="2"/>
  <c r="E140" i="2"/>
  <c r="F140" i="2"/>
  <c r="G140" i="2"/>
  <c r="H140" i="2"/>
  <c r="I140" i="2"/>
  <c r="J140" i="2"/>
  <c r="K140" i="2"/>
  <c r="L140" i="2"/>
  <c r="M140" i="2"/>
  <c r="N140" i="2"/>
  <c r="O140" i="2"/>
  <c r="P140" i="2"/>
  <c r="Q140" i="2"/>
  <c r="R140" i="2"/>
  <c r="S140" i="2"/>
  <c r="T140" i="2"/>
  <c r="U140" i="2"/>
  <c r="V140" i="2"/>
  <c r="W140" i="2"/>
  <c r="X140" i="2"/>
  <c r="Y140" i="2"/>
  <c r="Z140" i="2"/>
  <c r="AA140" i="2"/>
  <c r="AB140" i="2"/>
  <c r="AC140" i="2"/>
  <c r="AD140" i="2"/>
  <c r="AE140" i="2"/>
  <c r="AF140" i="2"/>
  <c r="C141" i="2"/>
  <c r="D141" i="2"/>
  <c r="E141" i="2"/>
  <c r="F141" i="2"/>
  <c r="G141" i="2"/>
  <c r="H141" i="2"/>
  <c r="I141" i="2"/>
  <c r="J141" i="2"/>
  <c r="K141" i="2"/>
  <c r="L141" i="2"/>
  <c r="M141" i="2"/>
  <c r="N141" i="2"/>
  <c r="O141" i="2"/>
  <c r="P141" i="2"/>
  <c r="Q141" i="2"/>
  <c r="R141" i="2"/>
  <c r="S141" i="2"/>
  <c r="T141" i="2"/>
  <c r="U141" i="2"/>
  <c r="V141" i="2"/>
  <c r="W141" i="2"/>
  <c r="X141" i="2"/>
  <c r="Y141" i="2"/>
  <c r="Z141" i="2"/>
  <c r="AA141" i="2"/>
  <c r="AB141" i="2"/>
  <c r="AC141" i="2"/>
  <c r="AD141" i="2"/>
  <c r="AE141" i="2"/>
  <c r="AF141" i="2"/>
  <c r="C142" i="2"/>
  <c r="D142" i="2"/>
  <c r="E142" i="2"/>
  <c r="F142" i="2"/>
  <c r="G142" i="2"/>
  <c r="H142" i="2"/>
  <c r="I142" i="2"/>
  <c r="J142" i="2"/>
  <c r="K142" i="2"/>
  <c r="L142" i="2"/>
  <c r="M142" i="2"/>
  <c r="N142" i="2"/>
  <c r="O142" i="2"/>
  <c r="P142" i="2"/>
  <c r="Q142" i="2"/>
  <c r="R142" i="2"/>
  <c r="S142" i="2"/>
  <c r="T142" i="2"/>
  <c r="U142" i="2"/>
  <c r="V142" i="2"/>
  <c r="W142" i="2"/>
  <c r="X142" i="2"/>
  <c r="Y142" i="2"/>
  <c r="Z142" i="2"/>
  <c r="AA142" i="2"/>
  <c r="AB142" i="2"/>
  <c r="AC142" i="2"/>
  <c r="AD142" i="2"/>
  <c r="AE142" i="2"/>
  <c r="AF142" i="2"/>
  <c r="C143" i="2"/>
  <c r="D143" i="2"/>
  <c r="E143" i="2"/>
  <c r="F143" i="2"/>
  <c r="G143" i="2"/>
  <c r="H143" i="2"/>
  <c r="I143" i="2"/>
  <c r="J143" i="2"/>
  <c r="K143" i="2"/>
  <c r="L143" i="2"/>
  <c r="M143" i="2"/>
  <c r="N143" i="2"/>
  <c r="O143" i="2"/>
  <c r="P143" i="2"/>
  <c r="Q143" i="2"/>
  <c r="R143" i="2"/>
  <c r="S143" i="2"/>
  <c r="T143" i="2"/>
  <c r="U143" i="2"/>
  <c r="V143" i="2"/>
  <c r="W143" i="2"/>
  <c r="X143" i="2"/>
  <c r="Y143" i="2"/>
  <c r="Z143" i="2"/>
  <c r="AA143" i="2"/>
  <c r="AB143" i="2"/>
  <c r="AC143" i="2"/>
  <c r="AD143" i="2"/>
  <c r="AE143" i="2"/>
  <c r="AF143" i="2"/>
  <c r="C144" i="2"/>
  <c r="D144" i="2"/>
  <c r="E144" i="2"/>
  <c r="F144" i="2"/>
  <c r="G144" i="2"/>
  <c r="H144" i="2"/>
  <c r="I144" i="2"/>
  <c r="J144" i="2"/>
  <c r="K144" i="2"/>
  <c r="L144" i="2"/>
  <c r="M144" i="2"/>
  <c r="N144" i="2"/>
  <c r="O144" i="2"/>
  <c r="P144" i="2"/>
  <c r="Q144" i="2"/>
  <c r="R144" i="2"/>
  <c r="S144" i="2"/>
  <c r="T144" i="2"/>
  <c r="U144" i="2"/>
  <c r="V144" i="2"/>
  <c r="W144" i="2"/>
  <c r="X144" i="2"/>
  <c r="Y144" i="2"/>
  <c r="Z144" i="2"/>
  <c r="AA144" i="2"/>
  <c r="AB144" i="2"/>
  <c r="AC144" i="2"/>
  <c r="AD144" i="2"/>
  <c r="AE144" i="2"/>
  <c r="AF144" i="2"/>
  <c r="C145" i="2"/>
  <c r="D145" i="2"/>
  <c r="E145" i="2"/>
  <c r="F145" i="2"/>
  <c r="G145" i="2"/>
  <c r="H145" i="2"/>
  <c r="I145" i="2"/>
  <c r="J145" i="2"/>
  <c r="K145" i="2"/>
  <c r="L145" i="2"/>
  <c r="M145" i="2"/>
  <c r="N145" i="2"/>
  <c r="O145" i="2"/>
  <c r="P145" i="2"/>
  <c r="Q145" i="2"/>
  <c r="R145" i="2"/>
  <c r="S145" i="2"/>
  <c r="T145" i="2"/>
  <c r="U145" i="2"/>
  <c r="V145" i="2"/>
  <c r="W145" i="2"/>
  <c r="X145" i="2"/>
  <c r="Y145" i="2"/>
  <c r="Z145" i="2"/>
  <c r="AA145" i="2"/>
  <c r="AB145" i="2"/>
  <c r="AC145" i="2"/>
  <c r="AD145" i="2"/>
  <c r="AE145" i="2"/>
  <c r="AF145" i="2"/>
  <c r="C146" i="2"/>
  <c r="D146" i="2"/>
  <c r="E146" i="2"/>
  <c r="F146" i="2"/>
  <c r="G146" i="2"/>
  <c r="H146" i="2"/>
  <c r="I146" i="2"/>
  <c r="J146" i="2"/>
  <c r="K146" i="2"/>
  <c r="L146" i="2"/>
  <c r="M146" i="2"/>
  <c r="N146" i="2"/>
  <c r="O146" i="2"/>
  <c r="P146" i="2"/>
  <c r="Q146" i="2"/>
  <c r="R146" i="2"/>
  <c r="S146" i="2"/>
  <c r="T146" i="2"/>
  <c r="U146" i="2"/>
  <c r="V146" i="2"/>
  <c r="W146" i="2"/>
  <c r="X146" i="2"/>
  <c r="Y146" i="2"/>
  <c r="Z146" i="2"/>
  <c r="AA146" i="2"/>
  <c r="AB146" i="2"/>
  <c r="AC146" i="2"/>
  <c r="AD146" i="2"/>
  <c r="AE146" i="2"/>
  <c r="AF146" i="2"/>
  <c r="C147" i="2"/>
  <c r="D147" i="2"/>
  <c r="E147" i="2"/>
  <c r="F147" i="2"/>
  <c r="G147" i="2"/>
  <c r="H147" i="2"/>
  <c r="I147" i="2"/>
  <c r="J147" i="2"/>
  <c r="K147" i="2"/>
  <c r="L147" i="2"/>
  <c r="M147" i="2"/>
  <c r="N147" i="2"/>
  <c r="O147" i="2"/>
  <c r="P147" i="2"/>
  <c r="Q147" i="2"/>
  <c r="R147" i="2"/>
  <c r="S147" i="2"/>
  <c r="T147" i="2"/>
  <c r="U147" i="2"/>
  <c r="V147" i="2"/>
  <c r="W147" i="2"/>
  <c r="X147" i="2"/>
  <c r="Y147" i="2"/>
  <c r="Z147" i="2"/>
  <c r="AA147" i="2"/>
  <c r="AB147" i="2"/>
  <c r="AC147" i="2"/>
  <c r="AD147" i="2"/>
  <c r="AE147" i="2"/>
  <c r="AF147" i="2"/>
  <c r="C148" i="2"/>
  <c r="D148" i="2"/>
  <c r="E148" i="2"/>
  <c r="F148" i="2"/>
  <c r="G148" i="2"/>
  <c r="H148" i="2"/>
  <c r="I148" i="2"/>
  <c r="J148" i="2"/>
  <c r="K148" i="2"/>
  <c r="L148" i="2"/>
  <c r="M148" i="2"/>
  <c r="N148" i="2"/>
  <c r="O148" i="2"/>
  <c r="P148" i="2"/>
  <c r="Q148" i="2"/>
  <c r="R148" i="2"/>
  <c r="S148" i="2"/>
  <c r="T148" i="2"/>
  <c r="U148" i="2"/>
  <c r="V148" i="2"/>
  <c r="W148" i="2"/>
  <c r="X148" i="2"/>
  <c r="Y148" i="2"/>
  <c r="Z148" i="2"/>
  <c r="AA148" i="2"/>
  <c r="AB148" i="2"/>
  <c r="AC148" i="2"/>
  <c r="AD148" i="2"/>
  <c r="AE148" i="2"/>
  <c r="AF148" i="2"/>
  <c r="C149" i="2"/>
  <c r="D149" i="2"/>
  <c r="E149" i="2"/>
  <c r="F149" i="2"/>
  <c r="G149" i="2"/>
  <c r="H149" i="2"/>
  <c r="I149" i="2"/>
  <c r="J149" i="2"/>
  <c r="K149" i="2"/>
  <c r="L149" i="2"/>
  <c r="M149" i="2"/>
  <c r="N149" i="2"/>
  <c r="O149" i="2"/>
  <c r="P149" i="2"/>
  <c r="Q149" i="2"/>
  <c r="R149" i="2"/>
  <c r="S149" i="2"/>
  <c r="T149" i="2"/>
  <c r="U149" i="2"/>
  <c r="V149" i="2"/>
  <c r="W149" i="2"/>
  <c r="X149" i="2"/>
  <c r="Y149" i="2"/>
  <c r="Z149" i="2"/>
  <c r="AA149" i="2"/>
  <c r="AB149" i="2"/>
  <c r="AC149" i="2"/>
  <c r="AD149" i="2"/>
  <c r="AE149" i="2"/>
  <c r="AF149" i="2"/>
  <c r="C150" i="2"/>
  <c r="D150" i="2"/>
  <c r="E150" i="2"/>
  <c r="F150" i="2"/>
  <c r="G150" i="2"/>
  <c r="H150" i="2"/>
  <c r="I150" i="2"/>
  <c r="J150" i="2"/>
  <c r="K150" i="2"/>
  <c r="L150" i="2"/>
  <c r="M150" i="2"/>
  <c r="N150" i="2"/>
  <c r="O150" i="2"/>
  <c r="P150" i="2"/>
  <c r="Q150" i="2"/>
  <c r="R150" i="2"/>
  <c r="S150" i="2"/>
  <c r="T150" i="2"/>
  <c r="U150" i="2"/>
  <c r="V150" i="2"/>
  <c r="W150" i="2"/>
  <c r="X150" i="2"/>
  <c r="Y150" i="2"/>
  <c r="Z150" i="2"/>
  <c r="AA150" i="2"/>
  <c r="AB150" i="2"/>
  <c r="AC150" i="2"/>
  <c r="AD150" i="2"/>
  <c r="AE150" i="2"/>
  <c r="AF150" i="2"/>
  <c r="C151" i="2"/>
  <c r="D151" i="2"/>
  <c r="E151" i="2"/>
  <c r="F151" i="2"/>
  <c r="G151" i="2"/>
  <c r="H151" i="2"/>
  <c r="I151" i="2"/>
  <c r="J151" i="2"/>
  <c r="K151" i="2"/>
  <c r="L151" i="2"/>
  <c r="M151" i="2"/>
  <c r="N151" i="2"/>
  <c r="O151" i="2"/>
  <c r="P151" i="2"/>
  <c r="Q151" i="2"/>
  <c r="R151" i="2"/>
  <c r="S151" i="2"/>
  <c r="T151" i="2"/>
  <c r="U151" i="2"/>
  <c r="V151" i="2"/>
  <c r="W151" i="2"/>
  <c r="X151" i="2"/>
  <c r="Y151" i="2"/>
  <c r="Z151" i="2"/>
  <c r="AA151" i="2"/>
  <c r="AB151" i="2"/>
  <c r="AC151" i="2"/>
  <c r="AD151" i="2"/>
  <c r="AE151" i="2"/>
  <c r="AF151" i="2"/>
  <c r="C152" i="2"/>
  <c r="D152" i="2"/>
  <c r="E152" i="2"/>
  <c r="F152" i="2"/>
  <c r="G152" i="2"/>
  <c r="H152" i="2"/>
  <c r="I152" i="2"/>
  <c r="J152" i="2"/>
  <c r="K152" i="2"/>
  <c r="L152" i="2"/>
  <c r="M152" i="2"/>
  <c r="N152" i="2"/>
  <c r="O152" i="2"/>
  <c r="P152" i="2"/>
  <c r="Q152" i="2"/>
  <c r="R152" i="2"/>
  <c r="S152" i="2"/>
  <c r="T152" i="2"/>
  <c r="U152" i="2"/>
  <c r="V152" i="2"/>
  <c r="W152" i="2"/>
  <c r="X152" i="2"/>
  <c r="Y152" i="2"/>
  <c r="Z152" i="2"/>
  <c r="AA152" i="2"/>
  <c r="AB152" i="2"/>
  <c r="AC152" i="2"/>
  <c r="AD152" i="2"/>
  <c r="AE152" i="2"/>
  <c r="AF152" i="2"/>
  <c r="C153" i="2"/>
  <c r="D153" i="2"/>
  <c r="E153" i="2"/>
  <c r="F153" i="2"/>
  <c r="G153" i="2"/>
  <c r="H153" i="2"/>
  <c r="I153" i="2"/>
  <c r="J153" i="2"/>
  <c r="K153" i="2"/>
  <c r="L153" i="2"/>
  <c r="M153" i="2"/>
  <c r="N153" i="2"/>
  <c r="O153" i="2"/>
  <c r="P153" i="2"/>
  <c r="Q153" i="2"/>
  <c r="R153" i="2"/>
  <c r="S153" i="2"/>
  <c r="T153" i="2"/>
  <c r="U153" i="2"/>
  <c r="V153" i="2"/>
  <c r="W153" i="2"/>
  <c r="X153" i="2"/>
  <c r="Y153" i="2"/>
  <c r="Z153" i="2"/>
  <c r="AA153" i="2"/>
  <c r="AB153" i="2"/>
  <c r="AC153" i="2"/>
  <c r="AD153" i="2"/>
  <c r="AE153" i="2"/>
  <c r="AF153" i="2"/>
  <c r="C154" i="2"/>
  <c r="D154" i="2"/>
  <c r="E154" i="2"/>
  <c r="F154" i="2"/>
  <c r="G154" i="2"/>
  <c r="H154" i="2"/>
  <c r="I154" i="2"/>
  <c r="J154" i="2"/>
  <c r="K154" i="2"/>
  <c r="L154" i="2"/>
  <c r="M154" i="2"/>
  <c r="N154" i="2"/>
  <c r="O154" i="2"/>
  <c r="P154" i="2"/>
  <c r="Q154" i="2"/>
  <c r="R154" i="2"/>
  <c r="S154" i="2"/>
  <c r="T154" i="2"/>
  <c r="U154" i="2"/>
  <c r="V154" i="2"/>
  <c r="W154" i="2"/>
  <c r="X154" i="2"/>
  <c r="Y154" i="2"/>
  <c r="Z154" i="2"/>
  <c r="AA154" i="2"/>
  <c r="AB154" i="2"/>
  <c r="AC154" i="2"/>
  <c r="AD154" i="2"/>
  <c r="AE154" i="2"/>
  <c r="AF154" i="2"/>
  <c r="C155" i="2"/>
  <c r="D155" i="2"/>
  <c r="E155" i="2"/>
  <c r="F155" i="2"/>
  <c r="G155" i="2"/>
  <c r="H155" i="2"/>
  <c r="I155" i="2"/>
  <c r="J155" i="2"/>
  <c r="K155" i="2"/>
  <c r="L155" i="2"/>
  <c r="M155" i="2"/>
  <c r="N155" i="2"/>
  <c r="O155" i="2"/>
  <c r="P155" i="2"/>
  <c r="Q155" i="2"/>
  <c r="R155" i="2"/>
  <c r="S155" i="2"/>
  <c r="T155" i="2"/>
  <c r="U155" i="2"/>
  <c r="V155" i="2"/>
  <c r="W155" i="2"/>
  <c r="X155" i="2"/>
  <c r="Y155" i="2"/>
  <c r="Z155" i="2"/>
  <c r="AA155" i="2"/>
  <c r="AB155" i="2"/>
  <c r="AC155" i="2"/>
  <c r="AD155" i="2"/>
  <c r="AE155" i="2"/>
  <c r="AF155" i="2"/>
  <c r="C156" i="2"/>
  <c r="D156" i="2"/>
  <c r="E156" i="2"/>
  <c r="F156" i="2"/>
  <c r="G156" i="2"/>
  <c r="H156" i="2"/>
  <c r="I156" i="2"/>
  <c r="J156" i="2"/>
  <c r="K156" i="2"/>
  <c r="L156" i="2"/>
  <c r="M156" i="2"/>
  <c r="N156" i="2"/>
  <c r="O156" i="2"/>
  <c r="P156" i="2"/>
  <c r="Q156" i="2"/>
  <c r="R156" i="2"/>
  <c r="S156" i="2"/>
  <c r="T156" i="2"/>
  <c r="U156" i="2"/>
  <c r="V156" i="2"/>
  <c r="W156" i="2"/>
  <c r="X156" i="2"/>
  <c r="Y156" i="2"/>
  <c r="Z156" i="2"/>
  <c r="AA156" i="2"/>
  <c r="AB156" i="2"/>
  <c r="AC156" i="2"/>
  <c r="AD156" i="2"/>
  <c r="AE156" i="2"/>
  <c r="AF156" i="2"/>
  <c r="C157" i="2"/>
  <c r="D157" i="2"/>
  <c r="E157" i="2"/>
  <c r="F157" i="2"/>
  <c r="G157" i="2"/>
  <c r="H157" i="2"/>
  <c r="I157" i="2"/>
  <c r="J157" i="2"/>
  <c r="K157" i="2"/>
  <c r="L157" i="2"/>
  <c r="M157" i="2"/>
  <c r="N157" i="2"/>
  <c r="O157" i="2"/>
  <c r="P157" i="2"/>
  <c r="Q157" i="2"/>
  <c r="R157" i="2"/>
  <c r="S157" i="2"/>
  <c r="T157" i="2"/>
  <c r="U157" i="2"/>
  <c r="V157" i="2"/>
  <c r="W157" i="2"/>
  <c r="X157" i="2"/>
  <c r="Y157" i="2"/>
  <c r="Z157" i="2"/>
  <c r="AA157" i="2"/>
  <c r="AB157" i="2"/>
  <c r="AC157" i="2"/>
  <c r="AD157" i="2"/>
  <c r="AE157" i="2"/>
  <c r="AF157" i="2"/>
  <c r="C158" i="2"/>
  <c r="D158" i="2"/>
  <c r="E158" i="2"/>
  <c r="F158" i="2"/>
  <c r="G158" i="2"/>
  <c r="H158" i="2"/>
  <c r="I158" i="2"/>
  <c r="J158" i="2"/>
  <c r="K158" i="2"/>
  <c r="L158" i="2"/>
  <c r="M158" i="2"/>
  <c r="N158" i="2"/>
  <c r="O158" i="2"/>
  <c r="P158" i="2"/>
  <c r="Q158" i="2"/>
  <c r="R158" i="2"/>
  <c r="S158" i="2"/>
  <c r="T158" i="2"/>
  <c r="U158" i="2"/>
  <c r="V158" i="2"/>
  <c r="W158" i="2"/>
  <c r="X158" i="2"/>
  <c r="Y158" i="2"/>
  <c r="Z158" i="2"/>
  <c r="AA158" i="2"/>
  <c r="AB158" i="2"/>
  <c r="AC158" i="2"/>
  <c r="AD158" i="2"/>
  <c r="AE158" i="2"/>
  <c r="AF158" i="2"/>
  <c r="C159" i="2"/>
  <c r="D159" i="2"/>
  <c r="E159" i="2"/>
  <c r="F159" i="2"/>
  <c r="G159" i="2"/>
  <c r="H159" i="2"/>
  <c r="I159" i="2"/>
  <c r="J159" i="2"/>
  <c r="K159" i="2"/>
  <c r="L159" i="2"/>
  <c r="M159" i="2"/>
  <c r="N159" i="2"/>
  <c r="O159" i="2"/>
  <c r="P159" i="2"/>
  <c r="Q159" i="2"/>
  <c r="R159" i="2"/>
  <c r="S159" i="2"/>
  <c r="T159" i="2"/>
  <c r="U159" i="2"/>
  <c r="V159" i="2"/>
  <c r="W159" i="2"/>
  <c r="X159" i="2"/>
  <c r="Y159" i="2"/>
  <c r="Z159" i="2"/>
  <c r="AA159" i="2"/>
  <c r="AB159" i="2"/>
  <c r="AC159" i="2"/>
  <c r="AD159" i="2"/>
  <c r="AE159" i="2"/>
  <c r="AF159" i="2"/>
  <c r="C160" i="2"/>
  <c r="D160" i="2"/>
  <c r="E160" i="2"/>
  <c r="F160" i="2"/>
  <c r="G160" i="2"/>
  <c r="H160" i="2"/>
  <c r="I160" i="2"/>
  <c r="J160" i="2"/>
  <c r="K160" i="2"/>
  <c r="L160" i="2"/>
  <c r="M160" i="2"/>
  <c r="N160" i="2"/>
  <c r="O160" i="2"/>
  <c r="P160" i="2"/>
  <c r="Q160" i="2"/>
  <c r="R160" i="2"/>
  <c r="S160" i="2"/>
  <c r="T160" i="2"/>
  <c r="U160" i="2"/>
  <c r="V160" i="2"/>
  <c r="W160" i="2"/>
  <c r="X160" i="2"/>
  <c r="Y160" i="2"/>
  <c r="Z160" i="2"/>
  <c r="AA160" i="2"/>
  <c r="AB160" i="2"/>
  <c r="AC160" i="2"/>
  <c r="AD160" i="2"/>
  <c r="AE160" i="2"/>
  <c r="AF160" i="2"/>
  <c r="C161" i="2"/>
  <c r="D161" i="2"/>
  <c r="E161" i="2"/>
  <c r="F161" i="2"/>
  <c r="G161" i="2"/>
  <c r="H161" i="2"/>
  <c r="I161" i="2"/>
  <c r="J161" i="2"/>
  <c r="K161" i="2"/>
  <c r="L161" i="2"/>
  <c r="M161" i="2"/>
  <c r="N161" i="2"/>
  <c r="O161" i="2"/>
  <c r="P161" i="2"/>
  <c r="Q161" i="2"/>
  <c r="R161" i="2"/>
  <c r="S161" i="2"/>
  <c r="T161" i="2"/>
  <c r="U161" i="2"/>
  <c r="V161" i="2"/>
  <c r="W161" i="2"/>
  <c r="X161" i="2"/>
  <c r="Y161" i="2"/>
  <c r="Z161" i="2"/>
  <c r="AA161" i="2"/>
  <c r="AB161" i="2"/>
  <c r="AC161" i="2"/>
  <c r="AD161" i="2"/>
  <c r="AE161" i="2"/>
  <c r="AF161" i="2"/>
  <c r="C162" i="2"/>
  <c r="D162" i="2"/>
  <c r="E162" i="2"/>
  <c r="F162" i="2"/>
  <c r="G162" i="2"/>
  <c r="H162" i="2"/>
  <c r="I162" i="2"/>
  <c r="J162" i="2"/>
  <c r="K162" i="2"/>
  <c r="L162" i="2"/>
  <c r="M162" i="2"/>
  <c r="N162" i="2"/>
  <c r="O162" i="2"/>
  <c r="P162" i="2"/>
  <c r="Q162" i="2"/>
  <c r="R162" i="2"/>
  <c r="S162" i="2"/>
  <c r="T162" i="2"/>
  <c r="U162" i="2"/>
  <c r="V162" i="2"/>
  <c r="W162" i="2"/>
  <c r="X162" i="2"/>
  <c r="Y162" i="2"/>
  <c r="Z162" i="2"/>
  <c r="AA162" i="2"/>
  <c r="AB162" i="2"/>
  <c r="AC162" i="2"/>
  <c r="AD162" i="2"/>
  <c r="AE162" i="2"/>
  <c r="AF162" i="2"/>
  <c r="C163" i="2"/>
  <c r="D163" i="2"/>
  <c r="E163" i="2"/>
  <c r="F163" i="2"/>
  <c r="G163" i="2"/>
  <c r="H163" i="2"/>
  <c r="I163" i="2"/>
  <c r="J163" i="2"/>
  <c r="K163" i="2"/>
  <c r="L163" i="2"/>
  <c r="M163" i="2"/>
  <c r="N163" i="2"/>
  <c r="O163" i="2"/>
  <c r="P163" i="2"/>
  <c r="Q163" i="2"/>
  <c r="R163" i="2"/>
  <c r="S163" i="2"/>
  <c r="T163" i="2"/>
  <c r="U163" i="2"/>
  <c r="V163" i="2"/>
  <c r="W163" i="2"/>
  <c r="X163" i="2"/>
  <c r="Y163" i="2"/>
  <c r="Z163" i="2"/>
  <c r="AA163" i="2"/>
  <c r="AB163" i="2"/>
  <c r="AC163" i="2"/>
  <c r="AD163" i="2"/>
  <c r="AE163" i="2"/>
  <c r="AF163" i="2"/>
  <c r="C164" i="2"/>
  <c r="D164" i="2"/>
  <c r="E164" i="2"/>
  <c r="F164" i="2"/>
  <c r="G164" i="2"/>
  <c r="H164" i="2"/>
  <c r="I164" i="2"/>
  <c r="J164" i="2"/>
  <c r="K164" i="2"/>
  <c r="L164" i="2"/>
  <c r="M164" i="2"/>
  <c r="N164" i="2"/>
  <c r="O164" i="2"/>
  <c r="P164" i="2"/>
  <c r="Q164" i="2"/>
  <c r="R164" i="2"/>
  <c r="S164" i="2"/>
  <c r="T164" i="2"/>
  <c r="U164" i="2"/>
  <c r="V164" i="2"/>
  <c r="W164" i="2"/>
  <c r="X164" i="2"/>
  <c r="Y164" i="2"/>
  <c r="Z164" i="2"/>
  <c r="AA164" i="2"/>
  <c r="AB164" i="2"/>
  <c r="AC164" i="2"/>
  <c r="AD164" i="2"/>
  <c r="AE164" i="2"/>
  <c r="AF164" i="2"/>
  <c r="C165" i="2"/>
  <c r="D165" i="2"/>
  <c r="E165" i="2"/>
  <c r="F165" i="2"/>
  <c r="G165" i="2"/>
  <c r="H165" i="2"/>
  <c r="I165" i="2"/>
  <c r="J165" i="2"/>
  <c r="K165" i="2"/>
  <c r="L165" i="2"/>
  <c r="M165" i="2"/>
  <c r="N165" i="2"/>
  <c r="O165" i="2"/>
  <c r="P165" i="2"/>
  <c r="Q165" i="2"/>
  <c r="R165" i="2"/>
  <c r="S165" i="2"/>
  <c r="T165" i="2"/>
  <c r="U165" i="2"/>
  <c r="V165" i="2"/>
  <c r="W165" i="2"/>
  <c r="X165" i="2"/>
  <c r="Y165" i="2"/>
  <c r="Z165" i="2"/>
  <c r="AA165" i="2"/>
  <c r="AB165" i="2"/>
  <c r="AC165" i="2"/>
  <c r="AD165" i="2"/>
  <c r="AE165" i="2"/>
  <c r="AF165" i="2"/>
  <c r="C166" i="2"/>
  <c r="D166" i="2"/>
  <c r="E166" i="2"/>
  <c r="F166" i="2"/>
  <c r="G166" i="2"/>
  <c r="H166" i="2"/>
  <c r="I166" i="2"/>
  <c r="J166" i="2"/>
  <c r="K166" i="2"/>
  <c r="L166" i="2"/>
  <c r="M166" i="2"/>
  <c r="N166" i="2"/>
  <c r="O166" i="2"/>
  <c r="P166" i="2"/>
  <c r="Q166" i="2"/>
  <c r="R166" i="2"/>
  <c r="S166" i="2"/>
  <c r="T166" i="2"/>
  <c r="U166" i="2"/>
  <c r="V166" i="2"/>
  <c r="W166" i="2"/>
  <c r="X166" i="2"/>
  <c r="Y166" i="2"/>
  <c r="Z166" i="2"/>
  <c r="AA166" i="2"/>
  <c r="AB166" i="2"/>
  <c r="AC166" i="2"/>
  <c r="AD166" i="2"/>
  <c r="AE166" i="2"/>
  <c r="AF166" i="2"/>
  <c r="C167" i="2"/>
  <c r="D167" i="2"/>
  <c r="E167" i="2"/>
  <c r="F167" i="2"/>
  <c r="G167" i="2"/>
  <c r="H167" i="2"/>
  <c r="I167" i="2"/>
  <c r="J167" i="2"/>
  <c r="K167" i="2"/>
  <c r="L167" i="2"/>
  <c r="M167" i="2"/>
  <c r="N167" i="2"/>
  <c r="O167" i="2"/>
  <c r="P167" i="2"/>
  <c r="Q167" i="2"/>
  <c r="R167" i="2"/>
  <c r="S167" i="2"/>
  <c r="T167" i="2"/>
  <c r="U167" i="2"/>
  <c r="V167" i="2"/>
  <c r="W167" i="2"/>
  <c r="X167" i="2"/>
  <c r="Y167" i="2"/>
  <c r="Z167" i="2"/>
  <c r="AA167" i="2"/>
  <c r="AB167" i="2"/>
  <c r="AC167" i="2"/>
  <c r="AD167" i="2"/>
  <c r="AE167" i="2"/>
  <c r="AF167" i="2"/>
  <c r="C168" i="2"/>
  <c r="D168" i="2"/>
  <c r="E168" i="2"/>
  <c r="F168" i="2"/>
  <c r="G168" i="2"/>
  <c r="H168" i="2"/>
  <c r="I168" i="2"/>
  <c r="J168" i="2"/>
  <c r="K168" i="2"/>
  <c r="L168" i="2"/>
  <c r="M168" i="2"/>
  <c r="N168" i="2"/>
  <c r="O168" i="2"/>
  <c r="P168" i="2"/>
  <c r="Q168" i="2"/>
  <c r="R168" i="2"/>
  <c r="S168" i="2"/>
  <c r="T168" i="2"/>
  <c r="U168" i="2"/>
  <c r="V168" i="2"/>
  <c r="W168" i="2"/>
  <c r="X168" i="2"/>
  <c r="Y168" i="2"/>
  <c r="Z168" i="2"/>
  <c r="AA168" i="2"/>
  <c r="AB168" i="2"/>
  <c r="AC168" i="2"/>
  <c r="AD168" i="2"/>
  <c r="AE168" i="2"/>
  <c r="AF168" i="2"/>
  <c r="C169" i="2"/>
  <c r="D169" i="2"/>
  <c r="E169" i="2"/>
  <c r="F169" i="2"/>
  <c r="G169" i="2"/>
  <c r="H169" i="2"/>
  <c r="I169" i="2"/>
  <c r="J169" i="2"/>
  <c r="K169" i="2"/>
  <c r="L169" i="2"/>
  <c r="M169" i="2"/>
  <c r="N169" i="2"/>
  <c r="O169" i="2"/>
  <c r="P169" i="2"/>
  <c r="Q169" i="2"/>
  <c r="R169" i="2"/>
  <c r="S169" i="2"/>
  <c r="T169" i="2"/>
  <c r="U169" i="2"/>
  <c r="V169" i="2"/>
  <c r="W169" i="2"/>
  <c r="X169" i="2"/>
  <c r="Y169" i="2"/>
  <c r="Z169" i="2"/>
  <c r="AA169" i="2"/>
  <c r="AB169" i="2"/>
  <c r="AC169" i="2"/>
  <c r="AD169" i="2"/>
  <c r="AE169" i="2"/>
  <c r="AF169" i="2"/>
  <c r="C170" i="2"/>
  <c r="D170" i="2"/>
  <c r="E170" i="2"/>
  <c r="F170" i="2"/>
  <c r="G170" i="2"/>
  <c r="H170" i="2"/>
  <c r="I170" i="2"/>
  <c r="J170" i="2"/>
  <c r="K170" i="2"/>
  <c r="L170" i="2"/>
  <c r="M170" i="2"/>
  <c r="N170" i="2"/>
  <c r="O170" i="2"/>
  <c r="P170" i="2"/>
  <c r="Q170" i="2"/>
  <c r="R170" i="2"/>
  <c r="S170" i="2"/>
  <c r="T170" i="2"/>
  <c r="U170" i="2"/>
  <c r="V170" i="2"/>
  <c r="W170" i="2"/>
  <c r="X170" i="2"/>
  <c r="Y170" i="2"/>
  <c r="Z170" i="2"/>
  <c r="AA170" i="2"/>
  <c r="AB170" i="2"/>
  <c r="AC170" i="2"/>
  <c r="AD170" i="2"/>
  <c r="AE170" i="2"/>
  <c r="AF170" i="2"/>
  <c r="C171" i="2"/>
  <c r="D171" i="2"/>
  <c r="E171" i="2"/>
  <c r="F171" i="2"/>
  <c r="G171" i="2"/>
  <c r="H171" i="2"/>
  <c r="I171" i="2"/>
  <c r="J171" i="2"/>
  <c r="K171" i="2"/>
  <c r="L171" i="2"/>
  <c r="M171" i="2"/>
  <c r="N171" i="2"/>
  <c r="O171" i="2"/>
  <c r="P171" i="2"/>
  <c r="Q171" i="2"/>
  <c r="R171" i="2"/>
  <c r="S171" i="2"/>
  <c r="T171" i="2"/>
  <c r="U171" i="2"/>
  <c r="V171" i="2"/>
  <c r="W171" i="2"/>
  <c r="X171" i="2"/>
  <c r="Y171" i="2"/>
  <c r="Z171" i="2"/>
  <c r="AA171" i="2"/>
  <c r="AB171" i="2"/>
  <c r="AC171" i="2"/>
  <c r="AD171" i="2"/>
  <c r="AE171" i="2"/>
  <c r="AF171" i="2"/>
  <c r="C172" i="2"/>
  <c r="D172" i="2"/>
  <c r="E172" i="2"/>
  <c r="F172" i="2"/>
  <c r="G172" i="2"/>
  <c r="H172" i="2"/>
  <c r="I172" i="2"/>
  <c r="J172" i="2"/>
  <c r="K172" i="2"/>
  <c r="L172" i="2"/>
  <c r="M172" i="2"/>
  <c r="N172" i="2"/>
  <c r="O172" i="2"/>
  <c r="P172" i="2"/>
  <c r="Q172" i="2"/>
  <c r="R172" i="2"/>
  <c r="S172" i="2"/>
  <c r="T172" i="2"/>
  <c r="U172" i="2"/>
  <c r="V172" i="2"/>
  <c r="W172" i="2"/>
  <c r="X172" i="2"/>
  <c r="Y172" i="2"/>
  <c r="Z172" i="2"/>
  <c r="AA172" i="2"/>
  <c r="AB172" i="2"/>
  <c r="AC172" i="2"/>
  <c r="AD172" i="2"/>
  <c r="AE172" i="2"/>
  <c r="AF172" i="2"/>
  <c r="C173" i="2"/>
  <c r="D173" i="2"/>
  <c r="E173" i="2"/>
  <c r="F173" i="2"/>
  <c r="G173" i="2"/>
  <c r="H173" i="2"/>
  <c r="I173" i="2"/>
  <c r="J173" i="2"/>
  <c r="K173" i="2"/>
  <c r="L173" i="2"/>
  <c r="M173" i="2"/>
  <c r="N173" i="2"/>
  <c r="O173" i="2"/>
  <c r="P173" i="2"/>
  <c r="Q173" i="2"/>
  <c r="R173" i="2"/>
  <c r="S173" i="2"/>
  <c r="T173" i="2"/>
  <c r="U173" i="2"/>
  <c r="V173" i="2"/>
  <c r="W173" i="2"/>
  <c r="X173" i="2"/>
  <c r="Y173" i="2"/>
  <c r="Z173" i="2"/>
  <c r="AA173" i="2"/>
  <c r="AB173" i="2"/>
  <c r="AC173" i="2"/>
  <c r="AD173" i="2"/>
  <c r="AE173" i="2"/>
  <c r="AF173" i="2"/>
  <c r="C174" i="2"/>
  <c r="D174" i="2"/>
  <c r="E174" i="2"/>
  <c r="F174" i="2"/>
  <c r="G174" i="2"/>
  <c r="H174" i="2"/>
  <c r="I174" i="2"/>
  <c r="J174" i="2"/>
  <c r="K174" i="2"/>
  <c r="L174" i="2"/>
  <c r="M174" i="2"/>
  <c r="N174" i="2"/>
  <c r="O174" i="2"/>
  <c r="P174" i="2"/>
  <c r="Q174" i="2"/>
  <c r="R174" i="2"/>
  <c r="S174" i="2"/>
  <c r="T174" i="2"/>
  <c r="U174" i="2"/>
  <c r="V174" i="2"/>
  <c r="W174" i="2"/>
  <c r="X174" i="2"/>
  <c r="Y174" i="2"/>
  <c r="Z174" i="2"/>
  <c r="AA174" i="2"/>
  <c r="AB174" i="2"/>
  <c r="AC174" i="2"/>
  <c r="AD174" i="2"/>
  <c r="AE174" i="2"/>
  <c r="AF174" i="2"/>
  <c r="C175" i="2"/>
  <c r="D175" i="2"/>
  <c r="E175" i="2"/>
  <c r="F175" i="2"/>
  <c r="G175" i="2"/>
  <c r="H175" i="2"/>
  <c r="I175" i="2"/>
  <c r="J175" i="2"/>
  <c r="K175" i="2"/>
  <c r="L175" i="2"/>
  <c r="M175" i="2"/>
  <c r="N175" i="2"/>
  <c r="O175" i="2"/>
  <c r="P175" i="2"/>
  <c r="Q175" i="2"/>
  <c r="R175" i="2"/>
  <c r="S175" i="2"/>
  <c r="T175" i="2"/>
  <c r="U175" i="2"/>
  <c r="V175" i="2"/>
  <c r="W175" i="2"/>
  <c r="X175" i="2"/>
  <c r="Y175" i="2"/>
  <c r="Z175" i="2"/>
  <c r="AA175" i="2"/>
  <c r="AB175" i="2"/>
  <c r="AC175" i="2"/>
  <c r="AD175" i="2"/>
  <c r="AE175" i="2"/>
  <c r="AF175" i="2"/>
  <c r="C176" i="2"/>
  <c r="D176" i="2"/>
  <c r="E176" i="2"/>
  <c r="F176" i="2"/>
  <c r="G176" i="2"/>
  <c r="H176" i="2"/>
  <c r="I176" i="2"/>
  <c r="J176" i="2"/>
  <c r="K176" i="2"/>
  <c r="L176" i="2"/>
  <c r="M176" i="2"/>
  <c r="N176" i="2"/>
  <c r="O176" i="2"/>
  <c r="P176" i="2"/>
  <c r="Q176" i="2"/>
  <c r="R176" i="2"/>
  <c r="S176" i="2"/>
  <c r="T176" i="2"/>
  <c r="U176" i="2"/>
  <c r="V176" i="2"/>
  <c r="W176" i="2"/>
  <c r="X176" i="2"/>
  <c r="Y176" i="2"/>
  <c r="Z176" i="2"/>
  <c r="AA176" i="2"/>
  <c r="AB176" i="2"/>
  <c r="AC176" i="2"/>
  <c r="AD176" i="2"/>
  <c r="AE176" i="2"/>
  <c r="AF176" i="2"/>
  <c r="C177" i="2"/>
  <c r="D177" i="2"/>
  <c r="E177" i="2"/>
  <c r="F177" i="2"/>
  <c r="G177" i="2"/>
  <c r="H177" i="2"/>
  <c r="I177" i="2"/>
  <c r="J177" i="2"/>
  <c r="K177" i="2"/>
  <c r="L177" i="2"/>
  <c r="M177" i="2"/>
  <c r="N177" i="2"/>
  <c r="O177" i="2"/>
  <c r="P177" i="2"/>
  <c r="Q177" i="2"/>
  <c r="R177" i="2"/>
  <c r="S177" i="2"/>
  <c r="T177" i="2"/>
  <c r="U177" i="2"/>
  <c r="V177" i="2"/>
  <c r="W177" i="2"/>
  <c r="X177" i="2"/>
  <c r="Y177" i="2"/>
  <c r="Z177" i="2"/>
  <c r="AA177" i="2"/>
  <c r="AB177" i="2"/>
  <c r="AC177" i="2"/>
  <c r="AD177" i="2"/>
  <c r="AE177" i="2"/>
  <c r="AF177" i="2"/>
  <c r="C178" i="2"/>
  <c r="D178" i="2"/>
  <c r="E178" i="2"/>
  <c r="F178" i="2"/>
  <c r="G178" i="2"/>
  <c r="H178" i="2"/>
  <c r="I178" i="2"/>
  <c r="J178" i="2"/>
  <c r="K178" i="2"/>
  <c r="L178" i="2"/>
  <c r="M178" i="2"/>
  <c r="N178" i="2"/>
  <c r="O178" i="2"/>
  <c r="P178" i="2"/>
  <c r="Q178" i="2"/>
  <c r="R178" i="2"/>
  <c r="S178" i="2"/>
  <c r="T178" i="2"/>
  <c r="U178" i="2"/>
  <c r="V178" i="2"/>
  <c r="W178" i="2"/>
  <c r="X178" i="2"/>
  <c r="Y178" i="2"/>
  <c r="Z178" i="2"/>
  <c r="AA178" i="2"/>
  <c r="AB178" i="2"/>
  <c r="AC178" i="2"/>
  <c r="AD178" i="2"/>
  <c r="AE178" i="2"/>
  <c r="AF178" i="2"/>
  <c r="C179" i="2"/>
  <c r="D179" i="2"/>
  <c r="E179" i="2"/>
  <c r="F179" i="2"/>
  <c r="G179" i="2"/>
  <c r="H179" i="2"/>
  <c r="I179" i="2"/>
  <c r="J179" i="2"/>
  <c r="K179" i="2"/>
  <c r="L179" i="2"/>
  <c r="M179" i="2"/>
  <c r="N179" i="2"/>
  <c r="O179" i="2"/>
  <c r="P179" i="2"/>
  <c r="Q179" i="2"/>
  <c r="R179" i="2"/>
  <c r="S179" i="2"/>
  <c r="T179" i="2"/>
  <c r="U179" i="2"/>
  <c r="V179" i="2"/>
  <c r="W179" i="2"/>
  <c r="X179" i="2"/>
  <c r="Y179" i="2"/>
  <c r="Z179" i="2"/>
  <c r="AA179" i="2"/>
  <c r="AB179" i="2"/>
  <c r="AC179" i="2"/>
  <c r="AD179" i="2"/>
  <c r="AE179" i="2"/>
  <c r="AF179" i="2"/>
  <c r="C180" i="2"/>
  <c r="D180" i="2"/>
  <c r="E180" i="2"/>
  <c r="F180" i="2"/>
  <c r="G180" i="2"/>
  <c r="H180" i="2"/>
  <c r="I180" i="2"/>
  <c r="J180" i="2"/>
  <c r="K180" i="2"/>
  <c r="L180" i="2"/>
  <c r="M180" i="2"/>
  <c r="N180" i="2"/>
  <c r="O180" i="2"/>
  <c r="P180" i="2"/>
  <c r="Q180" i="2"/>
  <c r="R180" i="2"/>
  <c r="S180" i="2"/>
  <c r="T180" i="2"/>
  <c r="U180" i="2"/>
  <c r="V180" i="2"/>
  <c r="W180" i="2"/>
  <c r="X180" i="2"/>
  <c r="Y180" i="2"/>
  <c r="Z180" i="2"/>
  <c r="AA180" i="2"/>
  <c r="AB180" i="2"/>
  <c r="AC180" i="2"/>
  <c r="AD180" i="2"/>
  <c r="AE180" i="2"/>
  <c r="AF180" i="2"/>
  <c r="C181" i="2"/>
  <c r="D181" i="2"/>
  <c r="E181" i="2"/>
  <c r="F181" i="2"/>
  <c r="G181" i="2"/>
  <c r="H181" i="2"/>
  <c r="I181" i="2"/>
  <c r="J181" i="2"/>
  <c r="K181" i="2"/>
  <c r="L181" i="2"/>
  <c r="M181" i="2"/>
  <c r="N181" i="2"/>
  <c r="O181" i="2"/>
  <c r="P181" i="2"/>
  <c r="Q181" i="2"/>
  <c r="R181" i="2"/>
  <c r="S181" i="2"/>
  <c r="T181" i="2"/>
  <c r="U181" i="2"/>
  <c r="V181" i="2"/>
  <c r="W181" i="2"/>
  <c r="X181" i="2"/>
  <c r="Y181" i="2"/>
  <c r="Z181" i="2"/>
  <c r="AA181" i="2"/>
  <c r="AB181" i="2"/>
  <c r="AC181" i="2"/>
  <c r="AD181" i="2"/>
  <c r="AE181" i="2"/>
  <c r="AF181" i="2"/>
  <c r="C182" i="2"/>
  <c r="D182" i="2"/>
  <c r="E182" i="2"/>
  <c r="F182" i="2"/>
  <c r="G182" i="2"/>
  <c r="H182" i="2"/>
  <c r="I182" i="2"/>
  <c r="J182" i="2"/>
  <c r="K182" i="2"/>
  <c r="L182" i="2"/>
  <c r="M182" i="2"/>
  <c r="N182" i="2"/>
  <c r="O182" i="2"/>
  <c r="P182" i="2"/>
  <c r="Q182" i="2"/>
  <c r="R182" i="2"/>
  <c r="S182" i="2"/>
  <c r="T182" i="2"/>
  <c r="U182" i="2"/>
  <c r="V182" i="2"/>
  <c r="W182" i="2"/>
  <c r="X182" i="2"/>
  <c r="Y182" i="2"/>
  <c r="Z182" i="2"/>
  <c r="AA182" i="2"/>
  <c r="AB182" i="2"/>
  <c r="AC182" i="2"/>
  <c r="AD182" i="2"/>
  <c r="AE182" i="2"/>
  <c r="AF182" i="2"/>
  <c r="C183" i="2"/>
  <c r="D183" i="2"/>
  <c r="E183" i="2"/>
  <c r="F183" i="2"/>
  <c r="G183" i="2"/>
  <c r="H183" i="2"/>
  <c r="I183" i="2"/>
  <c r="J183" i="2"/>
  <c r="K183" i="2"/>
  <c r="L183" i="2"/>
  <c r="M183" i="2"/>
  <c r="N183" i="2"/>
  <c r="O183" i="2"/>
  <c r="P183" i="2"/>
  <c r="Q183" i="2"/>
  <c r="R183" i="2"/>
  <c r="S183" i="2"/>
  <c r="T183" i="2"/>
  <c r="U183" i="2"/>
  <c r="V183" i="2"/>
  <c r="W183" i="2"/>
  <c r="X183" i="2"/>
  <c r="Y183" i="2"/>
  <c r="Z183" i="2"/>
  <c r="AA183" i="2"/>
  <c r="AB183" i="2"/>
  <c r="AC183" i="2"/>
  <c r="AD183" i="2"/>
  <c r="AE183" i="2"/>
  <c r="AF183" i="2"/>
  <c r="C184" i="2"/>
  <c r="D184" i="2"/>
  <c r="E184" i="2"/>
  <c r="F184" i="2"/>
  <c r="G184" i="2"/>
  <c r="H184" i="2"/>
  <c r="I184" i="2"/>
  <c r="J184" i="2"/>
  <c r="K184" i="2"/>
  <c r="L184" i="2"/>
  <c r="M184" i="2"/>
  <c r="N184" i="2"/>
  <c r="O184" i="2"/>
  <c r="P184" i="2"/>
  <c r="Q184" i="2"/>
  <c r="R184" i="2"/>
  <c r="S184" i="2"/>
  <c r="T184" i="2"/>
  <c r="U184" i="2"/>
  <c r="V184" i="2"/>
  <c r="W184" i="2"/>
  <c r="X184" i="2"/>
  <c r="Y184" i="2"/>
  <c r="Z184" i="2"/>
  <c r="AA184" i="2"/>
  <c r="AB184" i="2"/>
  <c r="AC184" i="2"/>
  <c r="AD184" i="2"/>
  <c r="AE184" i="2"/>
  <c r="AF184" i="2"/>
  <c r="C185" i="2"/>
  <c r="D185" i="2"/>
  <c r="E185" i="2"/>
  <c r="F185" i="2"/>
  <c r="G185" i="2"/>
  <c r="H185" i="2"/>
  <c r="I185" i="2"/>
  <c r="J185" i="2"/>
  <c r="K185" i="2"/>
  <c r="L185" i="2"/>
  <c r="M185" i="2"/>
  <c r="N185" i="2"/>
  <c r="O185" i="2"/>
  <c r="P185" i="2"/>
  <c r="Q185" i="2"/>
  <c r="R185" i="2"/>
  <c r="S185" i="2"/>
  <c r="T185" i="2"/>
  <c r="U185" i="2"/>
  <c r="V185" i="2"/>
  <c r="W185" i="2"/>
  <c r="X185" i="2"/>
  <c r="Y185" i="2"/>
  <c r="Z185" i="2"/>
  <c r="AA185" i="2"/>
  <c r="AB185" i="2"/>
  <c r="AC185" i="2"/>
  <c r="AD185" i="2"/>
  <c r="AE185" i="2"/>
  <c r="AF185" i="2"/>
  <c r="C186" i="2"/>
  <c r="D186" i="2"/>
  <c r="E186" i="2"/>
  <c r="F186" i="2"/>
  <c r="G186" i="2"/>
  <c r="H186" i="2"/>
  <c r="I186" i="2"/>
  <c r="J186" i="2"/>
  <c r="K186" i="2"/>
  <c r="L186" i="2"/>
  <c r="M186" i="2"/>
  <c r="N186" i="2"/>
  <c r="O186" i="2"/>
  <c r="P186" i="2"/>
  <c r="Q186" i="2"/>
  <c r="R186" i="2"/>
  <c r="S186" i="2"/>
  <c r="T186" i="2"/>
  <c r="U186" i="2"/>
  <c r="V186" i="2"/>
  <c r="W186" i="2"/>
  <c r="X186" i="2"/>
  <c r="Y186" i="2"/>
  <c r="Z186" i="2"/>
  <c r="AA186" i="2"/>
  <c r="AB186" i="2"/>
  <c r="AC186" i="2"/>
  <c r="AD186" i="2"/>
  <c r="AE186" i="2"/>
  <c r="AF186" i="2"/>
  <c r="C187" i="2"/>
  <c r="D187" i="2"/>
  <c r="E187" i="2"/>
  <c r="F187" i="2"/>
  <c r="G187" i="2"/>
  <c r="H187" i="2"/>
  <c r="I187" i="2"/>
  <c r="J187" i="2"/>
  <c r="K187" i="2"/>
  <c r="L187" i="2"/>
  <c r="M187" i="2"/>
  <c r="N187" i="2"/>
  <c r="O187" i="2"/>
  <c r="P187" i="2"/>
  <c r="Q187" i="2"/>
  <c r="R187" i="2"/>
  <c r="S187" i="2"/>
  <c r="T187" i="2"/>
  <c r="U187" i="2"/>
  <c r="V187" i="2"/>
  <c r="W187" i="2"/>
  <c r="X187" i="2"/>
  <c r="Y187" i="2"/>
  <c r="Z187" i="2"/>
  <c r="AA187" i="2"/>
  <c r="AB187" i="2"/>
  <c r="AC187" i="2"/>
  <c r="AD187" i="2"/>
  <c r="AE187" i="2"/>
  <c r="AF187" i="2"/>
  <c r="C188" i="2"/>
  <c r="D188" i="2"/>
  <c r="E188" i="2"/>
  <c r="F188" i="2"/>
  <c r="G188" i="2"/>
  <c r="H188" i="2"/>
  <c r="I188" i="2"/>
  <c r="J188" i="2"/>
  <c r="K188" i="2"/>
  <c r="L188" i="2"/>
  <c r="M188" i="2"/>
  <c r="N188" i="2"/>
  <c r="O188" i="2"/>
  <c r="P188" i="2"/>
  <c r="Q188" i="2"/>
  <c r="R188" i="2"/>
  <c r="S188" i="2"/>
  <c r="T188" i="2"/>
  <c r="U188" i="2"/>
  <c r="V188" i="2"/>
  <c r="W188" i="2"/>
  <c r="X188" i="2"/>
  <c r="Y188" i="2"/>
  <c r="Z188" i="2"/>
  <c r="AA188" i="2"/>
  <c r="AB188" i="2"/>
  <c r="AC188" i="2"/>
  <c r="AD188" i="2"/>
  <c r="AE188" i="2"/>
  <c r="AF188" i="2"/>
  <c r="C189" i="2"/>
  <c r="D189" i="2"/>
  <c r="E189" i="2"/>
  <c r="F189" i="2"/>
  <c r="G189" i="2"/>
  <c r="H189" i="2"/>
  <c r="I189" i="2"/>
  <c r="J189" i="2"/>
  <c r="K189" i="2"/>
  <c r="L189" i="2"/>
  <c r="M189" i="2"/>
  <c r="N189" i="2"/>
  <c r="O189" i="2"/>
  <c r="P189" i="2"/>
  <c r="Q189" i="2"/>
  <c r="R189" i="2"/>
  <c r="S189" i="2"/>
  <c r="T189" i="2"/>
  <c r="U189" i="2"/>
  <c r="V189" i="2"/>
  <c r="W189" i="2"/>
  <c r="X189" i="2"/>
  <c r="Y189" i="2"/>
  <c r="Z189" i="2"/>
  <c r="AA189" i="2"/>
  <c r="AB189" i="2"/>
  <c r="AC189" i="2"/>
  <c r="AD189" i="2"/>
  <c r="AE189" i="2"/>
  <c r="AF189" i="2"/>
  <c r="C190" i="2"/>
  <c r="D190" i="2"/>
  <c r="E190" i="2"/>
  <c r="F190" i="2"/>
  <c r="G190" i="2"/>
  <c r="H190" i="2"/>
  <c r="I190" i="2"/>
  <c r="J190" i="2"/>
  <c r="K190" i="2"/>
  <c r="L190" i="2"/>
  <c r="M190" i="2"/>
  <c r="N190" i="2"/>
  <c r="O190" i="2"/>
  <c r="P190" i="2"/>
  <c r="Q190" i="2"/>
  <c r="R190" i="2"/>
  <c r="S190" i="2"/>
  <c r="T190" i="2"/>
  <c r="U190" i="2"/>
  <c r="V190" i="2"/>
  <c r="W190" i="2"/>
  <c r="X190" i="2"/>
  <c r="Y190" i="2"/>
  <c r="Z190" i="2"/>
  <c r="AA190" i="2"/>
  <c r="AB190" i="2"/>
  <c r="AC190" i="2"/>
  <c r="AD190" i="2"/>
  <c r="AE190" i="2"/>
  <c r="AF190" i="2"/>
  <c r="C191" i="2"/>
  <c r="D191" i="2"/>
  <c r="E191" i="2"/>
  <c r="F191" i="2"/>
  <c r="G191" i="2"/>
  <c r="H191" i="2"/>
  <c r="I191" i="2"/>
  <c r="J191" i="2"/>
  <c r="K191" i="2"/>
  <c r="L191" i="2"/>
  <c r="M191" i="2"/>
  <c r="N191" i="2"/>
  <c r="O191" i="2"/>
  <c r="P191" i="2"/>
  <c r="Q191" i="2"/>
  <c r="R191" i="2"/>
  <c r="S191" i="2"/>
  <c r="T191" i="2"/>
  <c r="U191" i="2"/>
  <c r="V191" i="2"/>
  <c r="W191" i="2"/>
  <c r="X191" i="2"/>
  <c r="Y191" i="2"/>
  <c r="Z191" i="2"/>
  <c r="AA191" i="2"/>
  <c r="AB191" i="2"/>
  <c r="AC191" i="2"/>
  <c r="AD191" i="2"/>
  <c r="AE191" i="2"/>
  <c r="AF191" i="2"/>
  <c r="C192" i="2"/>
  <c r="D192" i="2"/>
  <c r="E192" i="2"/>
  <c r="F192" i="2"/>
  <c r="G192" i="2"/>
  <c r="H192" i="2"/>
  <c r="I192" i="2"/>
  <c r="J192" i="2"/>
  <c r="K192" i="2"/>
  <c r="L192" i="2"/>
  <c r="M192" i="2"/>
  <c r="N192" i="2"/>
  <c r="O192" i="2"/>
  <c r="P192" i="2"/>
  <c r="Q192" i="2"/>
  <c r="R192" i="2"/>
  <c r="S192" i="2"/>
  <c r="T192" i="2"/>
  <c r="U192" i="2"/>
  <c r="V192" i="2"/>
  <c r="W192" i="2"/>
  <c r="X192" i="2"/>
  <c r="Y192" i="2"/>
  <c r="Z192" i="2"/>
  <c r="AA192" i="2"/>
  <c r="AB192" i="2"/>
  <c r="AC192" i="2"/>
  <c r="AD192" i="2"/>
  <c r="AE192" i="2"/>
  <c r="AF192" i="2"/>
  <c r="C193" i="2"/>
  <c r="D193" i="2"/>
  <c r="E193" i="2"/>
  <c r="F193" i="2"/>
  <c r="G193" i="2"/>
  <c r="H193" i="2"/>
  <c r="I193" i="2"/>
  <c r="J193" i="2"/>
  <c r="K193" i="2"/>
  <c r="L193" i="2"/>
  <c r="M193" i="2"/>
  <c r="N193" i="2"/>
  <c r="O193" i="2"/>
  <c r="P193" i="2"/>
  <c r="Q193" i="2"/>
  <c r="R193" i="2"/>
  <c r="S193" i="2"/>
  <c r="T193" i="2"/>
  <c r="U193" i="2"/>
  <c r="V193" i="2"/>
  <c r="W193" i="2"/>
  <c r="X193" i="2"/>
  <c r="Y193" i="2"/>
  <c r="Z193" i="2"/>
  <c r="AA193" i="2"/>
  <c r="AB193" i="2"/>
  <c r="AC193" i="2"/>
  <c r="AD193" i="2"/>
  <c r="AE193" i="2"/>
  <c r="AF193" i="2"/>
  <c r="C194" i="2"/>
  <c r="D194" i="2"/>
  <c r="E194" i="2"/>
  <c r="F194" i="2"/>
  <c r="G194" i="2"/>
  <c r="H194" i="2"/>
  <c r="I194" i="2"/>
  <c r="J194" i="2"/>
  <c r="K194" i="2"/>
  <c r="L194" i="2"/>
  <c r="M194" i="2"/>
  <c r="N194" i="2"/>
  <c r="O194" i="2"/>
  <c r="P194" i="2"/>
  <c r="Q194" i="2"/>
  <c r="R194" i="2"/>
  <c r="S194" i="2"/>
  <c r="T194" i="2"/>
  <c r="U194" i="2"/>
  <c r="V194" i="2"/>
  <c r="W194" i="2"/>
  <c r="X194" i="2"/>
  <c r="Y194" i="2"/>
  <c r="Z194" i="2"/>
  <c r="AA194" i="2"/>
  <c r="AB194" i="2"/>
  <c r="AC194" i="2"/>
  <c r="AD194" i="2"/>
  <c r="AE194" i="2"/>
  <c r="AF194" i="2"/>
  <c r="C195" i="2"/>
  <c r="D195" i="2"/>
  <c r="E195" i="2"/>
  <c r="F195" i="2"/>
  <c r="G195" i="2"/>
  <c r="H195" i="2"/>
  <c r="I195" i="2"/>
  <c r="J195" i="2"/>
  <c r="K195" i="2"/>
  <c r="L195" i="2"/>
  <c r="M195" i="2"/>
  <c r="N195" i="2"/>
  <c r="O195" i="2"/>
  <c r="P195" i="2"/>
  <c r="Q195" i="2"/>
  <c r="R195" i="2"/>
  <c r="S195" i="2"/>
  <c r="T195" i="2"/>
  <c r="U195" i="2"/>
  <c r="V195" i="2"/>
  <c r="W195" i="2"/>
  <c r="X195" i="2"/>
  <c r="Y195" i="2"/>
  <c r="Z195" i="2"/>
  <c r="AA195" i="2"/>
  <c r="AB195" i="2"/>
  <c r="AC195" i="2"/>
  <c r="AD195" i="2"/>
  <c r="AE195" i="2"/>
  <c r="AF195" i="2"/>
  <c r="C196" i="2"/>
  <c r="D196" i="2"/>
  <c r="E196" i="2"/>
  <c r="F196" i="2"/>
  <c r="G196" i="2"/>
  <c r="H196" i="2"/>
  <c r="I196" i="2"/>
  <c r="J196" i="2"/>
  <c r="K196" i="2"/>
  <c r="L196" i="2"/>
  <c r="M196" i="2"/>
  <c r="N196" i="2"/>
  <c r="O196" i="2"/>
  <c r="P196" i="2"/>
  <c r="Q196" i="2"/>
  <c r="R196" i="2"/>
  <c r="S196" i="2"/>
  <c r="T196" i="2"/>
  <c r="U196" i="2"/>
  <c r="V196" i="2"/>
  <c r="W196" i="2"/>
  <c r="X196" i="2"/>
  <c r="Y196" i="2"/>
  <c r="Z196" i="2"/>
  <c r="AA196" i="2"/>
  <c r="AB196" i="2"/>
  <c r="AC196" i="2"/>
  <c r="AD196" i="2"/>
  <c r="AE196" i="2"/>
  <c r="AF196" i="2"/>
  <c r="C197" i="2"/>
  <c r="D197" i="2"/>
  <c r="E197" i="2"/>
  <c r="F197" i="2"/>
  <c r="G197" i="2"/>
  <c r="H197" i="2"/>
  <c r="I197" i="2"/>
  <c r="J197" i="2"/>
  <c r="K197" i="2"/>
  <c r="L197" i="2"/>
  <c r="M197" i="2"/>
  <c r="N197" i="2"/>
  <c r="O197" i="2"/>
  <c r="P197" i="2"/>
  <c r="Q197" i="2"/>
  <c r="R197" i="2"/>
  <c r="S197" i="2"/>
  <c r="T197" i="2"/>
  <c r="U197" i="2"/>
  <c r="V197" i="2"/>
  <c r="W197" i="2"/>
  <c r="X197" i="2"/>
  <c r="Y197" i="2"/>
  <c r="Z197" i="2"/>
  <c r="AA197" i="2"/>
  <c r="AB197" i="2"/>
  <c r="AC197" i="2"/>
  <c r="AD197" i="2"/>
  <c r="AE197" i="2"/>
  <c r="AF197" i="2"/>
  <c r="C198" i="2"/>
  <c r="D198" i="2"/>
  <c r="E198" i="2"/>
  <c r="F198" i="2"/>
  <c r="G198" i="2"/>
  <c r="H198" i="2"/>
  <c r="I198" i="2"/>
  <c r="J198" i="2"/>
  <c r="K198" i="2"/>
  <c r="L198" i="2"/>
  <c r="M198" i="2"/>
  <c r="N198" i="2"/>
  <c r="O198" i="2"/>
  <c r="P198" i="2"/>
  <c r="Q198" i="2"/>
  <c r="R198" i="2"/>
  <c r="S198" i="2"/>
  <c r="T198" i="2"/>
  <c r="U198" i="2"/>
  <c r="V198" i="2"/>
  <c r="W198" i="2"/>
  <c r="X198" i="2"/>
  <c r="Y198" i="2"/>
  <c r="Z198" i="2"/>
  <c r="AA198" i="2"/>
  <c r="AB198" i="2"/>
  <c r="AC198" i="2"/>
  <c r="AD198" i="2"/>
  <c r="AE198" i="2"/>
  <c r="AF198" i="2"/>
  <c r="C199" i="2"/>
  <c r="D199" i="2"/>
  <c r="E199" i="2"/>
  <c r="F199" i="2"/>
  <c r="G199" i="2"/>
  <c r="H199" i="2"/>
  <c r="I199" i="2"/>
  <c r="J199" i="2"/>
  <c r="K199" i="2"/>
  <c r="L199" i="2"/>
  <c r="M199" i="2"/>
  <c r="N199" i="2"/>
  <c r="O199" i="2"/>
  <c r="P199" i="2"/>
  <c r="Q199" i="2"/>
  <c r="R199" i="2"/>
  <c r="S199" i="2"/>
  <c r="T199" i="2"/>
  <c r="U199" i="2"/>
  <c r="V199" i="2"/>
  <c r="W199" i="2"/>
  <c r="X199" i="2"/>
  <c r="Y199" i="2"/>
  <c r="Z199" i="2"/>
  <c r="AA199" i="2"/>
  <c r="AB199" i="2"/>
  <c r="AC199" i="2"/>
  <c r="AD199" i="2"/>
  <c r="AE199" i="2"/>
  <c r="AF199" i="2"/>
  <c r="C200" i="2"/>
  <c r="D200" i="2"/>
  <c r="E200" i="2"/>
  <c r="F200" i="2"/>
  <c r="G200" i="2"/>
  <c r="H200" i="2"/>
  <c r="I200" i="2"/>
  <c r="J200" i="2"/>
  <c r="K200" i="2"/>
  <c r="L200" i="2"/>
  <c r="M200" i="2"/>
  <c r="N200" i="2"/>
  <c r="O200" i="2"/>
  <c r="P200" i="2"/>
  <c r="Q200" i="2"/>
  <c r="R200" i="2"/>
  <c r="S200" i="2"/>
  <c r="T200" i="2"/>
  <c r="U200" i="2"/>
  <c r="V200" i="2"/>
  <c r="W200" i="2"/>
  <c r="X200" i="2"/>
  <c r="Y200" i="2"/>
  <c r="Z200" i="2"/>
  <c r="AA200" i="2"/>
  <c r="AB200" i="2"/>
  <c r="AC200" i="2"/>
  <c r="AD200" i="2"/>
  <c r="AE200" i="2"/>
  <c r="AF200" i="2"/>
  <c r="C201" i="2"/>
  <c r="D201" i="2"/>
  <c r="E201" i="2"/>
  <c r="F201" i="2"/>
  <c r="G201" i="2"/>
  <c r="H201" i="2"/>
  <c r="I201" i="2"/>
  <c r="J201" i="2"/>
  <c r="K201" i="2"/>
  <c r="L201" i="2"/>
  <c r="M201" i="2"/>
  <c r="N201" i="2"/>
  <c r="O201" i="2"/>
  <c r="P201" i="2"/>
  <c r="Q201" i="2"/>
  <c r="R201" i="2"/>
  <c r="S201" i="2"/>
  <c r="T201" i="2"/>
  <c r="U201" i="2"/>
  <c r="V201" i="2"/>
  <c r="W201" i="2"/>
  <c r="X201" i="2"/>
  <c r="Y201" i="2"/>
  <c r="Z201" i="2"/>
  <c r="AA201" i="2"/>
  <c r="AB201" i="2"/>
  <c r="AC201" i="2"/>
  <c r="AD201" i="2"/>
  <c r="AE201" i="2"/>
  <c r="AF201" i="2"/>
  <c r="C202" i="2"/>
  <c r="D202" i="2"/>
  <c r="E202" i="2"/>
  <c r="F202" i="2"/>
  <c r="G202" i="2"/>
  <c r="H202" i="2"/>
  <c r="I202" i="2"/>
  <c r="J202" i="2"/>
  <c r="K202" i="2"/>
  <c r="L202" i="2"/>
  <c r="M202" i="2"/>
  <c r="N202" i="2"/>
  <c r="O202" i="2"/>
  <c r="P202" i="2"/>
  <c r="Q202" i="2"/>
  <c r="R202" i="2"/>
  <c r="S202" i="2"/>
  <c r="T202" i="2"/>
  <c r="U202" i="2"/>
  <c r="V202" i="2"/>
  <c r="W202" i="2"/>
  <c r="X202" i="2"/>
  <c r="Y202" i="2"/>
  <c r="Z202" i="2"/>
  <c r="AA202" i="2"/>
  <c r="AB202" i="2"/>
  <c r="AC202" i="2"/>
  <c r="AD202" i="2"/>
  <c r="AE202" i="2"/>
  <c r="AF202" i="2"/>
  <c r="C203" i="2"/>
  <c r="D203" i="2"/>
  <c r="E203" i="2"/>
  <c r="F203" i="2"/>
  <c r="G203" i="2"/>
  <c r="H203" i="2"/>
  <c r="I203" i="2"/>
  <c r="J203" i="2"/>
  <c r="K203" i="2"/>
  <c r="L203" i="2"/>
  <c r="M203" i="2"/>
  <c r="N203" i="2"/>
  <c r="O203" i="2"/>
  <c r="P203" i="2"/>
  <c r="Q203" i="2"/>
  <c r="R203" i="2"/>
  <c r="S203" i="2"/>
  <c r="T203" i="2"/>
  <c r="U203" i="2"/>
  <c r="V203" i="2"/>
  <c r="W203" i="2"/>
  <c r="X203" i="2"/>
  <c r="Y203" i="2"/>
  <c r="Z203" i="2"/>
  <c r="AA203" i="2"/>
  <c r="AB203" i="2"/>
  <c r="AC203" i="2"/>
  <c r="AD203" i="2"/>
  <c r="AE203" i="2"/>
  <c r="AF203" i="2"/>
  <c r="C204" i="2"/>
  <c r="D204" i="2"/>
  <c r="E204" i="2"/>
  <c r="F204" i="2"/>
  <c r="G204" i="2"/>
  <c r="H204" i="2"/>
  <c r="I204" i="2"/>
  <c r="J204" i="2"/>
  <c r="K204" i="2"/>
  <c r="L204" i="2"/>
  <c r="M204" i="2"/>
  <c r="N204" i="2"/>
  <c r="O204" i="2"/>
  <c r="P204" i="2"/>
  <c r="Q204" i="2"/>
  <c r="R204" i="2"/>
  <c r="S204" i="2"/>
  <c r="T204" i="2"/>
  <c r="U204" i="2"/>
  <c r="V204" i="2"/>
  <c r="W204" i="2"/>
  <c r="X204" i="2"/>
  <c r="Y204" i="2"/>
  <c r="Z204" i="2"/>
  <c r="AA204" i="2"/>
  <c r="AB204" i="2"/>
  <c r="AC204" i="2"/>
  <c r="AD204" i="2"/>
  <c r="AE204" i="2"/>
  <c r="AF204" i="2"/>
  <c r="C205" i="2"/>
  <c r="D205" i="2"/>
  <c r="E205" i="2"/>
  <c r="F205" i="2"/>
  <c r="G205" i="2"/>
  <c r="H205" i="2"/>
  <c r="I205" i="2"/>
  <c r="J205" i="2"/>
  <c r="K205" i="2"/>
  <c r="L205" i="2"/>
  <c r="M205" i="2"/>
  <c r="N205" i="2"/>
  <c r="O205" i="2"/>
  <c r="P205" i="2"/>
  <c r="Q205" i="2"/>
  <c r="R205" i="2"/>
  <c r="S205" i="2"/>
  <c r="T205" i="2"/>
  <c r="U205" i="2"/>
  <c r="V205" i="2"/>
  <c r="W205" i="2"/>
  <c r="X205" i="2"/>
  <c r="Y205" i="2"/>
  <c r="Z205" i="2"/>
  <c r="AA205" i="2"/>
  <c r="AB205" i="2"/>
  <c r="AC205" i="2"/>
  <c r="AD205" i="2"/>
  <c r="AE205" i="2"/>
  <c r="AF205" i="2"/>
  <c r="C206" i="2"/>
  <c r="D206" i="2"/>
  <c r="E206" i="2"/>
  <c r="F206" i="2"/>
  <c r="G206" i="2"/>
  <c r="H206" i="2"/>
  <c r="I206" i="2"/>
  <c r="J206" i="2"/>
  <c r="K206" i="2"/>
  <c r="L206" i="2"/>
  <c r="M206" i="2"/>
  <c r="N206" i="2"/>
  <c r="O206" i="2"/>
  <c r="P206" i="2"/>
  <c r="Q206" i="2"/>
  <c r="R206" i="2"/>
  <c r="S206" i="2"/>
  <c r="T206" i="2"/>
  <c r="U206" i="2"/>
  <c r="V206" i="2"/>
  <c r="W206" i="2"/>
  <c r="X206" i="2"/>
  <c r="Y206" i="2"/>
  <c r="Z206" i="2"/>
  <c r="AA206" i="2"/>
  <c r="AB206" i="2"/>
  <c r="AC206" i="2"/>
  <c r="AD206" i="2"/>
  <c r="AE206" i="2"/>
  <c r="AF206" i="2"/>
  <c r="C207" i="2"/>
  <c r="D207" i="2"/>
  <c r="E207" i="2"/>
  <c r="F207" i="2"/>
  <c r="G207" i="2"/>
  <c r="H207" i="2"/>
  <c r="I207" i="2"/>
  <c r="J207" i="2"/>
  <c r="K207" i="2"/>
  <c r="L207" i="2"/>
  <c r="M207" i="2"/>
  <c r="N207" i="2"/>
  <c r="O207" i="2"/>
  <c r="P207" i="2"/>
  <c r="Q207" i="2"/>
  <c r="R207" i="2"/>
  <c r="S207" i="2"/>
  <c r="T207" i="2"/>
  <c r="U207" i="2"/>
  <c r="V207" i="2"/>
  <c r="W207" i="2"/>
  <c r="X207" i="2"/>
  <c r="Y207" i="2"/>
  <c r="Z207" i="2"/>
  <c r="AA207" i="2"/>
  <c r="AB207" i="2"/>
  <c r="AC207" i="2"/>
  <c r="AD207" i="2"/>
  <c r="AE207" i="2"/>
  <c r="AF207" i="2"/>
  <c r="C208" i="2"/>
  <c r="D208" i="2"/>
  <c r="E208" i="2"/>
  <c r="F208" i="2"/>
  <c r="G208" i="2"/>
  <c r="H208" i="2"/>
  <c r="I208" i="2"/>
  <c r="J208" i="2"/>
  <c r="K208" i="2"/>
  <c r="L208" i="2"/>
  <c r="M208" i="2"/>
  <c r="N208" i="2"/>
  <c r="O208" i="2"/>
  <c r="P208" i="2"/>
  <c r="Q208" i="2"/>
  <c r="R208" i="2"/>
  <c r="S208" i="2"/>
  <c r="T208" i="2"/>
  <c r="U208" i="2"/>
  <c r="V208" i="2"/>
  <c r="W208" i="2"/>
  <c r="X208" i="2"/>
  <c r="Y208" i="2"/>
  <c r="Z208" i="2"/>
  <c r="AA208" i="2"/>
  <c r="AB208" i="2"/>
  <c r="AC208" i="2"/>
  <c r="AD208" i="2"/>
  <c r="AE208" i="2"/>
  <c r="AF208" i="2"/>
  <c r="C209" i="2"/>
  <c r="D209" i="2"/>
  <c r="E209" i="2"/>
  <c r="F209" i="2"/>
  <c r="G209" i="2"/>
  <c r="H209" i="2"/>
  <c r="I209" i="2"/>
  <c r="J209" i="2"/>
  <c r="K209" i="2"/>
  <c r="L209" i="2"/>
  <c r="M209" i="2"/>
  <c r="N209" i="2"/>
  <c r="O209" i="2"/>
  <c r="P209" i="2"/>
  <c r="Q209" i="2"/>
  <c r="R209" i="2"/>
  <c r="S209" i="2"/>
  <c r="T209" i="2"/>
  <c r="U209" i="2"/>
  <c r="V209" i="2"/>
  <c r="W209" i="2"/>
  <c r="X209" i="2"/>
  <c r="Y209" i="2"/>
  <c r="Z209" i="2"/>
  <c r="AA209" i="2"/>
  <c r="AB209" i="2"/>
  <c r="AC209" i="2"/>
  <c r="AD209" i="2"/>
  <c r="AE209" i="2"/>
  <c r="AF209" i="2"/>
  <c r="C210" i="2"/>
  <c r="D210" i="2"/>
  <c r="E210" i="2"/>
  <c r="F210" i="2"/>
  <c r="G210" i="2"/>
  <c r="H210" i="2"/>
  <c r="I210" i="2"/>
  <c r="J210" i="2"/>
  <c r="K210" i="2"/>
  <c r="L210" i="2"/>
  <c r="M210" i="2"/>
  <c r="N210" i="2"/>
  <c r="O210" i="2"/>
  <c r="P210" i="2"/>
  <c r="Q210" i="2"/>
  <c r="R210" i="2"/>
  <c r="S210" i="2"/>
  <c r="T210" i="2"/>
  <c r="U210" i="2"/>
  <c r="V210" i="2"/>
  <c r="W210" i="2"/>
  <c r="X210" i="2"/>
  <c r="Y210" i="2"/>
  <c r="Z210" i="2"/>
  <c r="AA210" i="2"/>
  <c r="AB210" i="2"/>
  <c r="AC210" i="2"/>
  <c r="AD210" i="2"/>
  <c r="AE210" i="2"/>
  <c r="AF210" i="2"/>
  <c r="C211" i="2"/>
  <c r="D211" i="2"/>
  <c r="E211" i="2"/>
  <c r="F211" i="2"/>
  <c r="G211" i="2"/>
  <c r="H211" i="2"/>
  <c r="I211" i="2"/>
  <c r="J211" i="2"/>
  <c r="K211" i="2"/>
  <c r="L211" i="2"/>
  <c r="M211" i="2"/>
  <c r="N211" i="2"/>
  <c r="O211" i="2"/>
  <c r="P211" i="2"/>
  <c r="Q211" i="2"/>
  <c r="R211" i="2"/>
  <c r="S211" i="2"/>
  <c r="T211" i="2"/>
  <c r="U211" i="2"/>
  <c r="V211" i="2"/>
  <c r="W211" i="2"/>
  <c r="X211" i="2"/>
  <c r="Y211" i="2"/>
  <c r="Z211" i="2"/>
  <c r="AA211" i="2"/>
  <c r="AB211" i="2"/>
  <c r="AC211" i="2"/>
  <c r="AD211" i="2"/>
  <c r="AE211" i="2"/>
  <c r="AF211" i="2"/>
  <c r="C212" i="2"/>
  <c r="D212" i="2"/>
  <c r="E212" i="2"/>
  <c r="F212" i="2"/>
  <c r="G212" i="2"/>
  <c r="H212" i="2"/>
  <c r="I212" i="2"/>
  <c r="J212" i="2"/>
  <c r="K212" i="2"/>
  <c r="L212" i="2"/>
  <c r="M212" i="2"/>
  <c r="N212" i="2"/>
  <c r="O212" i="2"/>
  <c r="P212" i="2"/>
  <c r="Q212" i="2"/>
  <c r="R212" i="2"/>
  <c r="S212" i="2"/>
  <c r="T212" i="2"/>
  <c r="U212" i="2"/>
  <c r="V212" i="2"/>
  <c r="W212" i="2"/>
  <c r="X212" i="2"/>
  <c r="Y212" i="2"/>
  <c r="Z212" i="2"/>
  <c r="AA212" i="2"/>
  <c r="AB212" i="2"/>
  <c r="AC212" i="2"/>
  <c r="AD212" i="2"/>
  <c r="AE212" i="2"/>
  <c r="AF212" i="2"/>
  <c r="C213" i="2"/>
  <c r="D213" i="2"/>
  <c r="E213" i="2"/>
  <c r="F213" i="2"/>
  <c r="G213" i="2"/>
  <c r="H213" i="2"/>
  <c r="I213" i="2"/>
  <c r="J213" i="2"/>
  <c r="K213" i="2"/>
  <c r="L213" i="2"/>
  <c r="M213" i="2"/>
  <c r="N213" i="2"/>
  <c r="O213" i="2"/>
  <c r="P213" i="2"/>
  <c r="Q213" i="2"/>
  <c r="R213" i="2"/>
  <c r="S213" i="2"/>
  <c r="T213" i="2"/>
  <c r="U213" i="2"/>
  <c r="V213" i="2"/>
  <c r="W213" i="2"/>
  <c r="X213" i="2"/>
  <c r="Y213" i="2"/>
  <c r="Z213" i="2"/>
  <c r="AA213" i="2"/>
  <c r="AB213" i="2"/>
  <c r="AC213" i="2"/>
  <c r="AD213" i="2"/>
  <c r="AE213" i="2"/>
  <c r="AF213" i="2"/>
  <c r="C214" i="2"/>
  <c r="D214" i="2"/>
  <c r="E214" i="2"/>
  <c r="F214" i="2"/>
  <c r="G214" i="2"/>
  <c r="H214" i="2"/>
  <c r="I214" i="2"/>
  <c r="J214" i="2"/>
  <c r="K214" i="2"/>
  <c r="L214" i="2"/>
  <c r="M214" i="2"/>
  <c r="N214" i="2"/>
  <c r="O214" i="2"/>
  <c r="P214" i="2"/>
  <c r="Q214" i="2"/>
  <c r="R214" i="2"/>
  <c r="S214" i="2"/>
  <c r="T214" i="2"/>
  <c r="U214" i="2"/>
  <c r="V214" i="2"/>
  <c r="W214" i="2"/>
  <c r="X214" i="2"/>
  <c r="Y214" i="2"/>
  <c r="Z214" i="2"/>
  <c r="AA214" i="2"/>
  <c r="AB214" i="2"/>
  <c r="AC214" i="2"/>
  <c r="AD214" i="2"/>
  <c r="AE214" i="2"/>
  <c r="AF214" i="2"/>
  <c r="C215" i="2"/>
  <c r="D215" i="2"/>
  <c r="E215" i="2"/>
  <c r="F215" i="2"/>
  <c r="G215" i="2"/>
  <c r="H215" i="2"/>
  <c r="I215" i="2"/>
  <c r="J215" i="2"/>
  <c r="K215" i="2"/>
  <c r="L215" i="2"/>
  <c r="M215" i="2"/>
  <c r="N215" i="2"/>
  <c r="O215" i="2"/>
  <c r="P215" i="2"/>
  <c r="Q215" i="2"/>
  <c r="R215" i="2"/>
  <c r="S215" i="2"/>
  <c r="T215" i="2"/>
  <c r="U215" i="2"/>
  <c r="V215" i="2"/>
  <c r="W215" i="2"/>
  <c r="X215" i="2"/>
  <c r="Y215" i="2"/>
  <c r="Z215" i="2"/>
  <c r="AA215" i="2"/>
  <c r="AB215" i="2"/>
  <c r="AC215" i="2"/>
  <c r="AD215" i="2"/>
  <c r="AE215" i="2"/>
  <c r="AF215" i="2"/>
  <c r="C216" i="2"/>
  <c r="D216" i="2"/>
  <c r="E216" i="2"/>
  <c r="F216" i="2"/>
  <c r="G216" i="2"/>
  <c r="H216" i="2"/>
  <c r="I216" i="2"/>
  <c r="J216" i="2"/>
  <c r="K216" i="2"/>
  <c r="L216" i="2"/>
  <c r="M216" i="2"/>
  <c r="N216" i="2"/>
  <c r="O216" i="2"/>
  <c r="P216" i="2"/>
  <c r="Q216" i="2"/>
  <c r="R216" i="2"/>
  <c r="S216" i="2"/>
  <c r="T216" i="2"/>
  <c r="U216" i="2"/>
  <c r="V216" i="2"/>
  <c r="W216" i="2"/>
  <c r="X216" i="2"/>
  <c r="Y216" i="2"/>
  <c r="Z216" i="2"/>
  <c r="AA216" i="2"/>
  <c r="AB216" i="2"/>
  <c r="AC216" i="2"/>
  <c r="AD216" i="2"/>
  <c r="AE216" i="2"/>
  <c r="AF216" i="2"/>
  <c r="C217" i="2"/>
  <c r="D217" i="2"/>
  <c r="E217" i="2"/>
  <c r="F217" i="2"/>
  <c r="G217" i="2"/>
  <c r="H217" i="2"/>
  <c r="I217" i="2"/>
  <c r="J217" i="2"/>
  <c r="K217" i="2"/>
  <c r="L217" i="2"/>
  <c r="M217" i="2"/>
  <c r="N217" i="2"/>
  <c r="O217" i="2"/>
  <c r="P217" i="2"/>
  <c r="Q217" i="2"/>
  <c r="R217" i="2"/>
  <c r="S217" i="2"/>
  <c r="T217" i="2"/>
  <c r="U217" i="2"/>
  <c r="V217" i="2"/>
  <c r="W217" i="2"/>
  <c r="X217" i="2"/>
  <c r="Y217" i="2"/>
  <c r="Z217" i="2"/>
  <c r="AA217" i="2"/>
  <c r="AB217" i="2"/>
  <c r="AC217" i="2"/>
  <c r="AD217" i="2"/>
  <c r="AE217" i="2"/>
  <c r="AF217" i="2"/>
  <c r="C218" i="2"/>
  <c r="D218" i="2"/>
  <c r="E218" i="2"/>
  <c r="F218" i="2"/>
  <c r="G218" i="2"/>
  <c r="H218" i="2"/>
  <c r="I218" i="2"/>
  <c r="J218" i="2"/>
  <c r="K218" i="2"/>
  <c r="L218" i="2"/>
  <c r="M218" i="2"/>
  <c r="N218" i="2"/>
  <c r="O218" i="2"/>
  <c r="P218" i="2"/>
  <c r="Q218" i="2"/>
  <c r="R218" i="2"/>
  <c r="S218" i="2"/>
  <c r="T218" i="2"/>
  <c r="U218" i="2"/>
  <c r="V218" i="2"/>
  <c r="W218" i="2"/>
  <c r="X218" i="2"/>
  <c r="Y218" i="2"/>
  <c r="Z218" i="2"/>
  <c r="AA218" i="2"/>
  <c r="AB218" i="2"/>
  <c r="AC218" i="2"/>
  <c r="AD218" i="2"/>
  <c r="AE218" i="2"/>
  <c r="AF218" i="2"/>
  <c r="C219" i="2"/>
  <c r="D219" i="2"/>
  <c r="E219" i="2"/>
  <c r="F219" i="2"/>
  <c r="G219" i="2"/>
  <c r="H219" i="2"/>
  <c r="I219" i="2"/>
  <c r="J219" i="2"/>
  <c r="K219" i="2"/>
  <c r="L219" i="2"/>
  <c r="M219" i="2"/>
  <c r="N219" i="2"/>
  <c r="O219" i="2"/>
  <c r="P219" i="2"/>
  <c r="Q219" i="2"/>
  <c r="R219" i="2"/>
  <c r="S219" i="2"/>
  <c r="T219" i="2"/>
  <c r="U219" i="2"/>
  <c r="V219" i="2"/>
  <c r="W219" i="2"/>
  <c r="X219" i="2"/>
  <c r="Y219" i="2"/>
  <c r="Z219" i="2"/>
  <c r="AA219" i="2"/>
  <c r="AB219" i="2"/>
  <c r="AC219" i="2"/>
  <c r="AD219" i="2"/>
  <c r="AE219" i="2"/>
  <c r="AF219" i="2"/>
  <c r="C220" i="2"/>
  <c r="D220" i="2"/>
  <c r="E220" i="2"/>
  <c r="F220" i="2"/>
  <c r="G220" i="2"/>
  <c r="H220" i="2"/>
  <c r="I220" i="2"/>
  <c r="J220" i="2"/>
  <c r="K220" i="2"/>
  <c r="L220" i="2"/>
  <c r="M220" i="2"/>
  <c r="N220" i="2"/>
  <c r="O220" i="2"/>
  <c r="P220" i="2"/>
  <c r="Q220" i="2"/>
  <c r="R220" i="2"/>
  <c r="S220" i="2"/>
  <c r="T220" i="2"/>
  <c r="U220" i="2"/>
  <c r="V220" i="2"/>
  <c r="W220" i="2"/>
  <c r="X220" i="2"/>
  <c r="Y220" i="2"/>
  <c r="Z220" i="2"/>
  <c r="AA220" i="2"/>
  <c r="AB220" i="2"/>
  <c r="AC220" i="2"/>
  <c r="AD220" i="2"/>
  <c r="AE220" i="2"/>
  <c r="AF220" i="2"/>
  <c r="C221" i="2"/>
  <c r="D221" i="2"/>
  <c r="E221" i="2"/>
  <c r="F221" i="2"/>
  <c r="G221" i="2"/>
  <c r="H221" i="2"/>
  <c r="I221" i="2"/>
  <c r="J221" i="2"/>
  <c r="K221" i="2"/>
  <c r="L221" i="2"/>
  <c r="M221" i="2"/>
  <c r="N221" i="2"/>
  <c r="O221" i="2"/>
  <c r="P221" i="2"/>
  <c r="Q221" i="2"/>
  <c r="R221" i="2"/>
  <c r="S221" i="2"/>
  <c r="T221" i="2"/>
  <c r="U221" i="2"/>
  <c r="V221" i="2"/>
  <c r="W221" i="2"/>
  <c r="X221" i="2"/>
  <c r="Y221" i="2"/>
  <c r="Z221" i="2"/>
  <c r="AA221" i="2"/>
  <c r="AB221" i="2"/>
  <c r="AC221" i="2"/>
  <c r="AD221" i="2"/>
  <c r="AE221" i="2"/>
  <c r="AF221" i="2"/>
  <c r="C222" i="2"/>
  <c r="D222" i="2"/>
  <c r="E222" i="2"/>
  <c r="F222" i="2"/>
  <c r="G222" i="2"/>
  <c r="H222" i="2"/>
  <c r="I222" i="2"/>
  <c r="J222" i="2"/>
  <c r="K222" i="2"/>
  <c r="L222" i="2"/>
  <c r="M222" i="2"/>
  <c r="N222" i="2"/>
  <c r="O222" i="2"/>
  <c r="P222" i="2"/>
  <c r="Q222" i="2"/>
  <c r="R222" i="2"/>
  <c r="S222" i="2"/>
  <c r="T222" i="2"/>
  <c r="U222" i="2"/>
  <c r="V222" i="2"/>
  <c r="W222" i="2"/>
  <c r="X222" i="2"/>
  <c r="Y222" i="2"/>
  <c r="Z222" i="2"/>
  <c r="AA222" i="2"/>
  <c r="AB222" i="2"/>
  <c r="AC222" i="2"/>
  <c r="AD222" i="2"/>
  <c r="AE222" i="2"/>
  <c r="AF222" i="2"/>
  <c r="C223" i="2"/>
  <c r="D223" i="2"/>
  <c r="E223" i="2"/>
  <c r="F223" i="2"/>
  <c r="G223" i="2"/>
  <c r="H223" i="2"/>
  <c r="I223" i="2"/>
  <c r="J223" i="2"/>
  <c r="K223" i="2"/>
  <c r="L223" i="2"/>
  <c r="M223" i="2"/>
  <c r="N223" i="2"/>
  <c r="O223" i="2"/>
  <c r="P223" i="2"/>
  <c r="Q223" i="2"/>
  <c r="R223" i="2"/>
  <c r="S223" i="2"/>
  <c r="T223" i="2"/>
  <c r="U223" i="2"/>
  <c r="V223" i="2"/>
  <c r="W223" i="2"/>
  <c r="X223" i="2"/>
  <c r="Y223" i="2"/>
  <c r="Z223" i="2"/>
  <c r="AA223" i="2"/>
  <c r="AB223" i="2"/>
  <c r="AC223" i="2"/>
  <c r="AD223" i="2"/>
  <c r="AE223" i="2"/>
  <c r="AF223" i="2"/>
  <c r="C224" i="2"/>
  <c r="D224" i="2"/>
  <c r="E224" i="2"/>
  <c r="F224" i="2"/>
  <c r="G224" i="2"/>
  <c r="H224" i="2"/>
  <c r="I224" i="2"/>
  <c r="J224" i="2"/>
  <c r="K224" i="2"/>
  <c r="L224" i="2"/>
  <c r="M224" i="2"/>
  <c r="N224" i="2"/>
  <c r="O224" i="2"/>
  <c r="P224" i="2"/>
  <c r="Q224" i="2"/>
  <c r="R224" i="2"/>
  <c r="S224" i="2"/>
  <c r="T224" i="2"/>
  <c r="U224" i="2"/>
  <c r="V224" i="2"/>
  <c r="W224" i="2"/>
  <c r="X224" i="2"/>
  <c r="Y224" i="2"/>
  <c r="Z224" i="2"/>
  <c r="AA224" i="2"/>
  <c r="AB224" i="2"/>
  <c r="AC224" i="2"/>
  <c r="AD224" i="2"/>
  <c r="AE224" i="2"/>
  <c r="AF224" i="2"/>
  <c r="C225" i="2"/>
  <c r="D225" i="2"/>
  <c r="E225" i="2"/>
  <c r="F225" i="2"/>
  <c r="G225" i="2"/>
  <c r="H225" i="2"/>
  <c r="I225" i="2"/>
  <c r="J225" i="2"/>
  <c r="K225" i="2"/>
  <c r="L225" i="2"/>
  <c r="M225" i="2"/>
  <c r="N225" i="2"/>
  <c r="O225" i="2"/>
  <c r="P225" i="2"/>
  <c r="Q225" i="2"/>
  <c r="R225" i="2"/>
  <c r="S225" i="2"/>
  <c r="T225" i="2"/>
  <c r="U225" i="2"/>
  <c r="V225" i="2"/>
  <c r="W225" i="2"/>
  <c r="X225" i="2"/>
  <c r="Y225" i="2"/>
  <c r="Z225" i="2"/>
  <c r="AA225" i="2"/>
  <c r="AB225" i="2"/>
  <c r="AC225" i="2"/>
  <c r="AD225" i="2"/>
  <c r="AE225" i="2"/>
  <c r="AF225" i="2"/>
  <c r="C226" i="2"/>
  <c r="D226" i="2"/>
  <c r="E226" i="2"/>
  <c r="F226" i="2"/>
  <c r="G226" i="2"/>
  <c r="H226" i="2"/>
  <c r="I226" i="2"/>
  <c r="J226" i="2"/>
  <c r="K226" i="2"/>
  <c r="L226" i="2"/>
  <c r="M226" i="2"/>
  <c r="N226" i="2"/>
  <c r="O226" i="2"/>
  <c r="P226" i="2"/>
  <c r="Q226" i="2"/>
  <c r="R226" i="2"/>
  <c r="S226" i="2"/>
  <c r="T226" i="2"/>
  <c r="U226" i="2"/>
  <c r="V226" i="2"/>
  <c r="W226" i="2"/>
  <c r="X226" i="2"/>
  <c r="Y226" i="2"/>
  <c r="Z226" i="2"/>
  <c r="AA226" i="2"/>
  <c r="AB226" i="2"/>
  <c r="AC226" i="2"/>
  <c r="AD226" i="2"/>
  <c r="AE226" i="2"/>
  <c r="AF226" i="2"/>
  <c r="C227" i="2"/>
  <c r="D227" i="2"/>
  <c r="E227" i="2"/>
  <c r="F227" i="2"/>
  <c r="G227" i="2"/>
  <c r="H227" i="2"/>
  <c r="I227" i="2"/>
  <c r="J227" i="2"/>
  <c r="K227" i="2"/>
  <c r="L227" i="2"/>
  <c r="M227" i="2"/>
  <c r="N227" i="2"/>
  <c r="O227" i="2"/>
  <c r="P227" i="2"/>
  <c r="Q227" i="2"/>
  <c r="R227" i="2"/>
  <c r="S227" i="2"/>
  <c r="T227" i="2"/>
  <c r="U227" i="2"/>
  <c r="V227" i="2"/>
  <c r="W227" i="2"/>
  <c r="X227" i="2"/>
  <c r="Y227" i="2"/>
  <c r="Z227" i="2"/>
  <c r="AA227" i="2"/>
  <c r="AB227" i="2"/>
  <c r="AC227" i="2"/>
  <c r="AD227" i="2"/>
  <c r="AE227" i="2"/>
  <c r="AF227" i="2"/>
  <c r="C228" i="2"/>
  <c r="D228" i="2"/>
  <c r="E228" i="2"/>
  <c r="F228" i="2"/>
  <c r="G228" i="2"/>
  <c r="H228" i="2"/>
  <c r="I228" i="2"/>
  <c r="J228" i="2"/>
  <c r="K228" i="2"/>
  <c r="L228" i="2"/>
  <c r="M228" i="2"/>
  <c r="N228" i="2"/>
  <c r="O228" i="2"/>
  <c r="P228" i="2"/>
  <c r="Q228" i="2"/>
  <c r="R228" i="2"/>
  <c r="S228" i="2"/>
  <c r="T228" i="2"/>
  <c r="U228" i="2"/>
  <c r="V228" i="2"/>
  <c r="W228" i="2"/>
  <c r="X228" i="2"/>
  <c r="Y228" i="2"/>
  <c r="Z228" i="2"/>
  <c r="AA228" i="2"/>
  <c r="AB228" i="2"/>
  <c r="AC228" i="2"/>
  <c r="AD228" i="2"/>
  <c r="AE228" i="2"/>
  <c r="AF228" i="2"/>
  <c r="C229" i="2"/>
  <c r="D229" i="2"/>
  <c r="E229" i="2"/>
  <c r="F229" i="2"/>
  <c r="G229" i="2"/>
  <c r="H229" i="2"/>
  <c r="I229" i="2"/>
  <c r="J229" i="2"/>
  <c r="K229" i="2"/>
  <c r="L229" i="2"/>
  <c r="M229" i="2"/>
  <c r="N229" i="2"/>
  <c r="O229" i="2"/>
  <c r="P229" i="2"/>
  <c r="Q229" i="2"/>
  <c r="R229" i="2"/>
  <c r="S229" i="2"/>
  <c r="T229" i="2"/>
  <c r="U229" i="2"/>
  <c r="V229" i="2"/>
  <c r="W229" i="2"/>
  <c r="X229" i="2"/>
  <c r="Y229" i="2"/>
  <c r="Z229" i="2"/>
  <c r="AA229" i="2"/>
  <c r="AB229" i="2"/>
  <c r="AC229" i="2"/>
  <c r="AD229" i="2"/>
  <c r="AE229" i="2"/>
  <c r="AF229" i="2"/>
  <c r="C230" i="2"/>
  <c r="D230" i="2"/>
  <c r="E230" i="2"/>
  <c r="F230" i="2"/>
  <c r="G230" i="2"/>
  <c r="H230" i="2"/>
  <c r="I230" i="2"/>
  <c r="J230" i="2"/>
  <c r="K230" i="2"/>
  <c r="L230" i="2"/>
  <c r="M230" i="2"/>
  <c r="N230" i="2"/>
  <c r="O230" i="2"/>
  <c r="P230" i="2"/>
  <c r="Q230" i="2"/>
  <c r="R230" i="2"/>
  <c r="S230" i="2"/>
  <c r="T230" i="2"/>
  <c r="U230" i="2"/>
  <c r="V230" i="2"/>
  <c r="W230" i="2"/>
  <c r="X230" i="2"/>
  <c r="Y230" i="2"/>
  <c r="Z230" i="2"/>
  <c r="AA230" i="2"/>
  <c r="AB230" i="2"/>
  <c r="AC230" i="2"/>
  <c r="AD230" i="2"/>
  <c r="AE230" i="2"/>
  <c r="AF230" i="2"/>
  <c r="C231" i="2"/>
  <c r="D231" i="2"/>
  <c r="E231" i="2"/>
  <c r="F231" i="2"/>
  <c r="G231" i="2"/>
  <c r="H231" i="2"/>
  <c r="I231" i="2"/>
  <c r="J231" i="2"/>
  <c r="K231" i="2"/>
  <c r="L231" i="2"/>
  <c r="M231" i="2"/>
  <c r="N231" i="2"/>
  <c r="O231" i="2"/>
  <c r="P231" i="2"/>
  <c r="Q231" i="2"/>
  <c r="R231" i="2"/>
  <c r="S231" i="2"/>
  <c r="T231" i="2"/>
  <c r="U231" i="2"/>
  <c r="V231" i="2"/>
  <c r="W231" i="2"/>
  <c r="X231" i="2"/>
  <c r="Y231" i="2"/>
  <c r="Z231" i="2"/>
  <c r="AA231" i="2"/>
  <c r="AB231" i="2"/>
  <c r="AC231" i="2"/>
  <c r="AD231" i="2"/>
  <c r="AE231" i="2"/>
  <c r="AF231" i="2"/>
  <c r="C232" i="2"/>
  <c r="D232" i="2"/>
  <c r="E232" i="2"/>
  <c r="F232" i="2"/>
  <c r="G232" i="2"/>
  <c r="H232" i="2"/>
  <c r="I232" i="2"/>
  <c r="J232" i="2"/>
  <c r="K232" i="2"/>
  <c r="L232" i="2"/>
  <c r="M232" i="2"/>
  <c r="N232" i="2"/>
  <c r="O232" i="2"/>
  <c r="P232" i="2"/>
  <c r="Q232" i="2"/>
  <c r="R232" i="2"/>
  <c r="S232" i="2"/>
  <c r="T232" i="2"/>
  <c r="U232" i="2"/>
  <c r="V232" i="2"/>
  <c r="W232" i="2"/>
  <c r="X232" i="2"/>
  <c r="Y232" i="2"/>
  <c r="Z232" i="2"/>
  <c r="AA232" i="2"/>
  <c r="AB232" i="2"/>
  <c r="AC232" i="2"/>
  <c r="AD232" i="2"/>
  <c r="AE232" i="2"/>
  <c r="AF232" i="2"/>
  <c r="C233" i="2"/>
  <c r="D233" i="2"/>
  <c r="E233" i="2"/>
  <c r="F233" i="2"/>
  <c r="G233" i="2"/>
  <c r="H233" i="2"/>
  <c r="I233" i="2"/>
  <c r="J233" i="2"/>
  <c r="K233" i="2"/>
  <c r="L233" i="2"/>
  <c r="M233" i="2"/>
  <c r="N233" i="2"/>
  <c r="O233" i="2"/>
  <c r="P233" i="2"/>
  <c r="Q233" i="2"/>
  <c r="R233" i="2"/>
  <c r="S233" i="2"/>
  <c r="T233" i="2"/>
  <c r="U233" i="2"/>
  <c r="V233" i="2"/>
  <c r="W233" i="2"/>
  <c r="X233" i="2"/>
  <c r="Y233" i="2"/>
  <c r="Z233" i="2"/>
  <c r="AA233" i="2"/>
  <c r="AB233" i="2"/>
  <c r="AC233" i="2"/>
  <c r="AD233" i="2"/>
  <c r="AE233" i="2"/>
  <c r="AF233" i="2"/>
  <c r="C234" i="2"/>
  <c r="D234" i="2"/>
  <c r="E234" i="2"/>
  <c r="F234" i="2"/>
  <c r="G234" i="2"/>
  <c r="H234" i="2"/>
  <c r="I234" i="2"/>
  <c r="J234" i="2"/>
  <c r="K234" i="2"/>
  <c r="L234" i="2"/>
  <c r="M234" i="2"/>
  <c r="N234" i="2"/>
  <c r="O234" i="2"/>
  <c r="P234" i="2"/>
  <c r="Q234" i="2"/>
  <c r="R234" i="2"/>
  <c r="S234" i="2"/>
  <c r="T234" i="2"/>
  <c r="U234" i="2"/>
  <c r="V234" i="2"/>
  <c r="W234" i="2"/>
  <c r="X234" i="2"/>
  <c r="Y234" i="2"/>
  <c r="Z234" i="2"/>
  <c r="AA234" i="2"/>
  <c r="AB234" i="2"/>
  <c r="AC234" i="2"/>
  <c r="AD234" i="2"/>
  <c r="AE234" i="2"/>
  <c r="AF234" i="2"/>
  <c r="C235" i="2"/>
  <c r="D235" i="2"/>
  <c r="E235" i="2"/>
  <c r="F235" i="2"/>
  <c r="G235" i="2"/>
  <c r="H235" i="2"/>
  <c r="I235" i="2"/>
  <c r="J235" i="2"/>
  <c r="K235" i="2"/>
  <c r="L235" i="2"/>
  <c r="M235" i="2"/>
  <c r="N235" i="2"/>
  <c r="O235" i="2"/>
  <c r="P235" i="2"/>
  <c r="Q235" i="2"/>
  <c r="R235" i="2"/>
  <c r="S235" i="2"/>
  <c r="T235" i="2"/>
  <c r="U235" i="2"/>
  <c r="V235" i="2"/>
  <c r="W235" i="2"/>
  <c r="X235" i="2"/>
  <c r="Y235" i="2"/>
  <c r="Z235" i="2"/>
  <c r="AA235" i="2"/>
  <c r="AB235" i="2"/>
  <c r="AC235" i="2"/>
  <c r="AD235" i="2"/>
  <c r="AE235" i="2"/>
  <c r="AF235" i="2"/>
  <c r="C236" i="2"/>
  <c r="D236" i="2"/>
  <c r="E236" i="2"/>
  <c r="F236" i="2"/>
  <c r="G236" i="2"/>
  <c r="H236" i="2"/>
  <c r="I236" i="2"/>
  <c r="J236" i="2"/>
  <c r="K236" i="2"/>
  <c r="L236" i="2"/>
  <c r="M236" i="2"/>
  <c r="N236" i="2"/>
  <c r="O236" i="2"/>
  <c r="P236" i="2"/>
  <c r="Q236" i="2"/>
  <c r="R236" i="2"/>
  <c r="S236" i="2"/>
  <c r="T236" i="2"/>
  <c r="U236" i="2"/>
  <c r="V236" i="2"/>
  <c r="W236" i="2"/>
  <c r="X236" i="2"/>
  <c r="Y236" i="2"/>
  <c r="Z236" i="2"/>
  <c r="AA236" i="2"/>
  <c r="AB236" i="2"/>
  <c r="AC236" i="2"/>
  <c r="AD236" i="2"/>
  <c r="AE236" i="2"/>
  <c r="AF236"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3" i="2"/>
  <c r="J237" i="8" l="1"/>
  <c r="I5" i="5" s="1"/>
  <c r="Y237" i="8"/>
  <c r="X5" i="5" s="1"/>
  <c r="I237" i="8"/>
  <c r="H5" i="5" s="1"/>
  <c r="X2" i="9"/>
  <c r="X237" i="8"/>
  <c r="W5" i="5" s="1"/>
  <c r="H2" i="9"/>
  <c r="H237" i="8"/>
  <c r="G5" i="5" s="1"/>
  <c r="C237" i="8"/>
  <c r="B5" i="5" s="1"/>
  <c r="Z237" i="8"/>
  <c r="Y5" i="5" s="1"/>
  <c r="V237" i="8"/>
  <c r="U5" i="5" s="1"/>
  <c r="S237" i="8"/>
  <c r="R5" i="5" s="1"/>
  <c r="G237" i="8"/>
  <c r="F5" i="5" s="1"/>
  <c r="F237" i="8"/>
  <c r="E5" i="5" s="1"/>
  <c r="R237" i="8"/>
  <c r="Q5" i="5" s="1"/>
  <c r="U237" i="8"/>
  <c r="T5" i="5" s="1"/>
  <c r="E237" i="8"/>
  <c r="D5" i="5" s="1"/>
  <c r="T237" i="8"/>
  <c r="S5" i="5" s="1"/>
  <c r="Q237" i="8"/>
  <c r="P5" i="5" s="1"/>
  <c r="AF237" i="8"/>
  <c r="AE5" i="5" s="1"/>
  <c r="P237" i="8"/>
  <c r="O5" i="5" s="1"/>
  <c r="AE2" i="9"/>
  <c r="AE237" i="8"/>
  <c r="AD5" i="5" s="1"/>
  <c r="O2" i="9"/>
  <c r="O237" i="8"/>
  <c r="N5" i="5" s="1"/>
  <c r="N2" i="9"/>
  <c r="N237" i="8"/>
  <c r="M5" i="5" s="1"/>
  <c r="AD2" i="9"/>
  <c r="AD237" i="8"/>
  <c r="AC5" i="5" s="1"/>
  <c r="AC237" i="8"/>
  <c r="AB5" i="5" s="1"/>
  <c r="D237" i="8"/>
  <c r="C5" i="5" s="1"/>
  <c r="M237" i="8"/>
  <c r="L5" i="5" s="1"/>
  <c r="AB2" i="9"/>
  <c r="AB237" i="8"/>
  <c r="AA5" i="5" s="1"/>
  <c r="L2" i="9"/>
  <c r="L237" i="8"/>
  <c r="K5" i="5" s="1"/>
  <c r="AA237" i="8"/>
  <c r="Z5" i="5" s="1"/>
  <c r="K237" i="8"/>
  <c r="J5" i="5" s="1"/>
  <c r="T2" i="9"/>
  <c r="AC2" i="9"/>
  <c r="M2" i="9"/>
  <c r="D2" i="9"/>
  <c r="Y2" i="9"/>
  <c r="I2" i="9"/>
  <c r="W2" i="9"/>
  <c r="G2" i="9"/>
  <c r="V2" i="9"/>
  <c r="F2" i="9"/>
  <c r="J2" i="9"/>
  <c r="V3" i="9"/>
  <c r="U3" i="9"/>
  <c r="C3" i="9"/>
  <c r="AA2" i="9"/>
  <c r="Z2" i="9"/>
  <c r="D3" i="9"/>
  <c r="S3" i="9"/>
  <c r="R3" i="9"/>
  <c r="K2" i="9"/>
  <c r="Q3" i="9"/>
  <c r="U2" i="9"/>
  <c r="E2" i="9"/>
  <c r="C2" i="9"/>
  <c r="AF3" i="9"/>
  <c r="P3" i="9"/>
  <c r="AE3" i="9"/>
  <c r="O3" i="9"/>
  <c r="AD3" i="9"/>
  <c r="Q2" i="9"/>
  <c r="AC3" i="9"/>
  <c r="AF2" i="9"/>
  <c r="P2" i="9"/>
  <c r="AB3" i="9"/>
  <c r="L3" i="9"/>
  <c r="AA3" i="9"/>
  <c r="K3" i="9"/>
  <c r="R2" i="9"/>
  <c r="Z3" i="9"/>
  <c r="J3" i="9"/>
  <c r="Y3" i="9"/>
  <c r="I3" i="9"/>
  <c r="X3" i="9"/>
  <c r="S2" i="9"/>
  <c r="W3" i="9"/>
  <c r="G3" i="9"/>
  <c r="N3" i="9"/>
  <c r="M3" i="9"/>
  <c r="H3" i="9"/>
  <c r="F3" i="9"/>
  <c r="E3" i="9"/>
  <c r="T3" i="9"/>
</calcChain>
</file>

<file path=xl/sharedStrings.xml><?xml version="1.0" encoding="utf-8"?>
<sst xmlns="http://schemas.openxmlformats.org/spreadsheetml/2006/main" count="1079" uniqueCount="240">
  <si>
    <t>Date</t>
  </si>
  <si>
    <t>03/13/2025</t>
  </si>
  <si>
    <t>03/14/2025</t>
  </si>
  <si>
    <t>03/17/2025</t>
  </si>
  <si>
    <t>03/18/2025</t>
  </si>
  <si>
    <t>03/19/2025</t>
  </si>
  <si>
    <t>03/20/2025</t>
  </si>
  <si>
    <t>03/21/2025</t>
  </si>
  <si>
    <t>03/24/2025</t>
  </si>
  <si>
    <t>03/25/2025</t>
  </si>
  <si>
    <t>03/26/2025</t>
  </si>
  <si>
    <t>03/27/2025</t>
  </si>
  <si>
    <t>04/14/2025</t>
  </si>
  <si>
    <t>04/15/2025</t>
  </si>
  <si>
    <t>04/16/2025</t>
  </si>
  <si>
    <t>04/17/2025</t>
  </si>
  <si>
    <t>04/21/2025</t>
  </si>
  <si>
    <t>04/22/2025</t>
  </si>
  <si>
    <t>04/23/2025</t>
  </si>
  <si>
    <t>04/24/2025</t>
  </si>
  <si>
    <t>04/25/2025</t>
  </si>
  <si>
    <t>04/28/2025</t>
  </si>
  <si>
    <t>04/29/2025</t>
  </si>
  <si>
    <t>04/30/2025</t>
  </si>
  <si>
    <t>05/14/2025</t>
  </si>
  <si>
    <t>05/15/2025</t>
  </si>
  <si>
    <t>05/16/2025</t>
  </si>
  <si>
    <t>05/19/2025</t>
  </si>
  <si>
    <t>05/20/2025</t>
  </si>
  <si>
    <t>05/21/2025</t>
  </si>
  <si>
    <t>05/22/2025</t>
  </si>
  <si>
    <t>05/23/2025</t>
  </si>
  <si>
    <t>05/26/2025</t>
  </si>
  <si>
    <t>05/27/2025</t>
  </si>
  <si>
    <t>05/28/2025</t>
  </si>
  <si>
    <t>06/13/2025</t>
  </si>
  <si>
    <t>06/16/2025</t>
  </si>
  <si>
    <t>06/17/2025</t>
  </si>
  <si>
    <t>06/18/2025</t>
  </si>
  <si>
    <t>06/19/2025</t>
  </si>
  <si>
    <t>06/20/2025</t>
  </si>
  <si>
    <t>06/23/2025</t>
  </si>
  <si>
    <t>06/24/2025</t>
  </si>
  <si>
    <t>06/25/2025</t>
  </si>
  <si>
    <t>06/26/2025</t>
  </si>
  <si>
    <t>06/30/2025</t>
  </si>
  <si>
    <t>07/14/2025</t>
  </si>
  <si>
    <t>07/15/2025</t>
  </si>
  <si>
    <t>07/16/2025</t>
  </si>
  <si>
    <t>07/17/2025</t>
  </si>
  <si>
    <t>07/18/2025</t>
  </si>
  <si>
    <t>07/21/2025</t>
  </si>
  <si>
    <t>07/22/2025</t>
  </si>
  <si>
    <t>07/23/2025</t>
  </si>
  <si>
    <t>07/24/2025</t>
  </si>
  <si>
    <t>07/25/2025</t>
  </si>
  <si>
    <t>07/28/2025</t>
  </si>
  <si>
    <t>07/29/2025</t>
  </si>
  <si>
    <t>07/30/2025</t>
  </si>
  <si>
    <t>07/31/2025</t>
  </si>
  <si>
    <t>08/13/2025</t>
  </si>
  <si>
    <t>08/14/2025</t>
  </si>
  <si>
    <t>08/15/2025</t>
  </si>
  <si>
    <t>08/19/2025</t>
  </si>
  <si>
    <t>08/20/2025</t>
  </si>
  <si>
    <t>08/21/2025</t>
  </si>
  <si>
    <t>08/22/2025</t>
  </si>
  <si>
    <t>08/25/2025</t>
  </si>
  <si>
    <t>08/26/2025</t>
  </si>
  <si>
    <t>08/27/2025</t>
  </si>
  <si>
    <t>08/28/2025</t>
  </si>
  <si>
    <t>08/29/2025</t>
  </si>
  <si>
    <t>09/15/2025</t>
  </si>
  <si>
    <t>09/16/2025</t>
  </si>
  <si>
    <t>09/17/2025</t>
  </si>
  <si>
    <t>09/18/2025</t>
  </si>
  <si>
    <t>09/19/2025</t>
  </si>
  <si>
    <t>09/22/2025</t>
  </si>
  <si>
    <t>09/23/2025</t>
  </si>
  <si>
    <t>09/24/2025</t>
  </si>
  <si>
    <t>09/25/2025</t>
  </si>
  <si>
    <t>09/26/2025</t>
  </si>
  <si>
    <t>09/29/2025</t>
  </si>
  <si>
    <t>09/30/2025</t>
  </si>
  <si>
    <t>10/13/2025</t>
  </si>
  <si>
    <t>10/14/2025</t>
  </si>
  <si>
    <t>10/15/2025</t>
  </si>
  <si>
    <t>10/16/2025</t>
  </si>
  <si>
    <t>10/17/2025</t>
  </si>
  <si>
    <t>10/20/2025</t>
  </si>
  <si>
    <t>10/21/2025</t>
  </si>
  <si>
    <t>10/22/2025</t>
  </si>
  <si>
    <t>10/23/2025</t>
  </si>
  <si>
    <t>10/24/2025</t>
  </si>
  <si>
    <t>10/27/2025</t>
  </si>
  <si>
    <t>10/28/2025</t>
  </si>
  <si>
    <t>10/29/2025</t>
  </si>
  <si>
    <t>10/30/2025</t>
  </si>
  <si>
    <t>10/31/2025</t>
  </si>
  <si>
    <t>11/13/2025</t>
  </si>
  <si>
    <t>11/14/2025</t>
  </si>
  <si>
    <t>11/17/2025</t>
  </si>
  <si>
    <t>11/18/2025</t>
  </si>
  <si>
    <t>11/19/2025</t>
  </si>
  <si>
    <t>11/20/2025</t>
  </si>
  <si>
    <t>11/21/2025</t>
  </si>
  <si>
    <t>11/24/2025</t>
  </si>
  <si>
    <t>11/25/2025</t>
  </si>
  <si>
    <t>11/26/2025</t>
  </si>
  <si>
    <t>11/27/2025</t>
  </si>
  <si>
    <t>11/28/2025</t>
  </si>
  <si>
    <t>12/15/2025</t>
  </si>
  <si>
    <t>12/16/2025</t>
  </si>
  <si>
    <t>12/17/2025</t>
  </si>
  <si>
    <t>12/18/2025</t>
  </si>
  <si>
    <t>12/19/2025</t>
  </si>
  <si>
    <t>12/22/2025</t>
  </si>
  <si>
    <t>12/23/2025</t>
  </si>
  <si>
    <t>12/24/2025</t>
  </si>
  <si>
    <t>12/29/2025</t>
  </si>
  <si>
    <t>12/30/2025</t>
  </si>
  <si>
    <t>01/13/2026</t>
  </si>
  <si>
    <t>01/14/2026</t>
  </si>
  <si>
    <t>01/15/2026</t>
  </si>
  <si>
    <t>01/19/2026</t>
  </si>
  <si>
    <t>01/20/2026</t>
  </si>
  <si>
    <t>01/21/2026</t>
  </si>
  <si>
    <t>01/22/2026</t>
  </si>
  <si>
    <t>01/23/2026</t>
  </si>
  <si>
    <t>01/26/2026</t>
  </si>
  <si>
    <t>01/27/2026</t>
  </si>
  <si>
    <t>01/28/2026</t>
  </si>
  <si>
    <t>01/29/2026</t>
  </si>
  <si>
    <t>01/30/2026</t>
  </si>
  <si>
    <t>02/13/2026</t>
  </si>
  <si>
    <t>02/18/2026</t>
  </si>
  <si>
    <t>02/19/2026</t>
  </si>
  <si>
    <t>02/20/2026</t>
  </si>
  <si>
    <t>02/23/2026</t>
  </si>
  <si>
    <t>02/24/2026</t>
  </si>
  <si>
    <t>02/25/2026</t>
  </si>
  <si>
    <t>02/26/2026</t>
  </si>
  <si>
    <t>02/27/2026</t>
  </si>
  <si>
    <t>IHSG</t>
  </si>
  <si>
    <t>BBCA</t>
  </si>
  <si>
    <t>BBRI</t>
  </si>
  <si>
    <t>BMRI</t>
  </si>
  <si>
    <t>BBNI</t>
  </si>
  <si>
    <t>TLKM</t>
  </si>
  <si>
    <t>ASII</t>
  </si>
  <si>
    <t>ICBP</t>
  </si>
  <si>
    <t>INDF</t>
  </si>
  <si>
    <t>ADRO</t>
  </si>
  <si>
    <t>ITMG</t>
  </si>
  <si>
    <t>ANTM</t>
  </si>
  <si>
    <t>MDKA</t>
  </si>
  <si>
    <t>PGAS</t>
  </si>
  <si>
    <t>TOWR</t>
  </si>
  <si>
    <t>EXCL</t>
  </si>
  <si>
    <t>KLBF</t>
  </si>
  <si>
    <t>CPIN</t>
  </si>
  <si>
    <t>JPFA</t>
  </si>
  <si>
    <t>SMGR</t>
  </si>
  <si>
    <t>UNTR</t>
  </si>
  <si>
    <t>BRPT</t>
  </si>
  <si>
    <t>AKRA</t>
  </si>
  <si>
    <t>AMRT</t>
  </si>
  <si>
    <t>ACES</t>
  </si>
  <si>
    <t>MAPI</t>
  </si>
  <si>
    <t>GOTO</t>
  </si>
  <si>
    <t>BUKA</t>
  </si>
  <si>
    <t>SMRA</t>
  </si>
  <si>
    <t>PWON</t>
  </si>
  <si>
    <t>CTRA</t>
  </si>
  <si>
    <t>Mean Ri</t>
  </si>
  <si>
    <t>Beta</t>
  </si>
  <si>
    <t>Alpha</t>
  </si>
  <si>
    <t>Normalitas</t>
  </si>
  <si>
    <t>Autokorelasi</t>
  </si>
  <si>
    <t>Heterokedastisitas</t>
  </si>
  <si>
    <t>IHSG(return)</t>
  </si>
  <si>
    <t>19 Februari 2026</t>
  </si>
  <si>
    <t>21 Januari 2026</t>
  </si>
  <si>
    <t>17 Desember 2025</t>
  </si>
  <si>
    <t>19 November 2025</t>
  </si>
  <si>
    <t>22 Oktober 2025</t>
  </si>
  <si>
    <t>17 September 2025</t>
  </si>
  <si>
    <t>20 Agustus 2025</t>
  </si>
  <si>
    <t>16 Juli 2025</t>
  </si>
  <si>
    <t>18 Juni 2025</t>
  </si>
  <si>
    <t>21 Mei 2025</t>
  </si>
  <si>
    <t>23 April 2025</t>
  </si>
  <si>
    <t>19 Maret 2025</t>
  </si>
  <si>
    <t>19 Februari 2025</t>
  </si>
  <si>
    <t>Rf</t>
  </si>
  <si>
    <t>ERB</t>
  </si>
  <si>
    <t>Ai</t>
  </si>
  <si>
    <t>COPY VALUE KE BAWAH BIAR BISA SORT ERB</t>
  </si>
  <si>
    <t>Var</t>
  </si>
  <si>
    <t>var residual</t>
  </si>
  <si>
    <t>Var ihsg</t>
  </si>
  <si>
    <t>Bi</t>
  </si>
  <si>
    <t>Sigma Ai</t>
  </si>
  <si>
    <t>Sigma Bi</t>
  </si>
  <si>
    <t>Ci</t>
  </si>
  <si>
    <t>C*</t>
  </si>
  <si>
    <t>ERB&gt;=Ci</t>
  </si>
  <si>
    <t>Zi</t>
  </si>
  <si>
    <t>Wi</t>
  </si>
  <si>
    <t>Total bobot</t>
  </si>
  <si>
    <t>Rp</t>
  </si>
  <si>
    <t>sd</t>
  </si>
  <si>
    <t>Sp</t>
  </si>
  <si>
    <t>Sp rata"</t>
  </si>
  <si>
    <t>Hasil uji normalitas menunjukkan bahwa tidak semua data return saham berdistribusi normal, karena terdapat nilai statistik yang cukup besar. Namun demikian, dalam analisis keuangan khususnya pada data return saham, asumsi normalitas tidak terlalu ketat diperlukan karena data pasar cenderung fluktuatif.</t>
  </si>
  <si>
    <t>Hasil uji autokorelasi menunjukkan bahwa nilai korelasi residual antar periode berada di sekitar nol, sehingga dapat disimpulkan tidak terdapat autokorelasi dalam data. Hal ini menunjukkan bahwa residual bersifat independen antar waktu.</t>
  </si>
  <si>
    <t>p.a</t>
  </si>
  <si>
    <t>per hari</t>
  </si>
  <si>
    <t>1.</t>
  </si>
  <si>
    <t>Expected return masing-masing saham dihitung menggunakan rata-rata return historis.</t>
  </si>
  <si>
    <t>2.</t>
  </si>
  <si>
    <t>Nilai beta menunjukkan sensitivitas return saham terhadap pergerakan pasar. Saham dengan beta lebih dari satu memiliki risiko sistematis yang lebih tinggi dibandingkan pasar.</t>
  </si>
  <si>
    <t>3.</t>
  </si>
  <si>
    <t>Variansi residual menggambarkan risiko tidak sistematis yang berasal dari faktor spesifik perusahaan dan tidak dipengaruhi oleh pasar.</t>
  </si>
  <si>
    <t xml:space="preserve">4. </t>
  </si>
  <si>
    <t>Nilai ERB digunakan untuk mengukur tingkat keuntungan relatif terhadap risiko sistematis. Saham kemudian diurutkan berdasarkan nilai ERB dari yang terbesar.</t>
  </si>
  <si>
    <t>5.</t>
  </si>
  <si>
    <t>Nilai Ai dan Bi digunakan untuk menghitung cut-off point dalam pembentukan portofolio optimal.</t>
  </si>
  <si>
    <t>6.</t>
  </si>
  <si>
    <t>Nilai cut-off point (C*) diperoleh dari nilai Ci terakhir yang memenuhi kondisi ERB ≥ Ci.</t>
  </si>
  <si>
    <t>7.</t>
  </si>
  <si>
    <t>Saham yang memiliki nilai ERB lebih besar atau sama dengan C* dipilih sebagai portofolio optimal.</t>
  </si>
  <si>
    <t>8.</t>
  </si>
  <si>
    <t>Bobot portofolio menunjukkan proporsi dana yang diinvestasikan pada masing-masing saham, dengan PGAS sebagai kontributor terbesar.</t>
  </si>
  <si>
    <t>Selanjutnya adalah ukuran kinerja portofolio di sheet Indeks Sharpe</t>
  </si>
  <si>
    <t>Nilai indeks Sharpe sebesar 0,1718 menunjukkan bahwa portofolio mampu memberikan excess return sebesar 0,1718 untuk setiap satu unit risiko yang ditanggung.  portofolio belum optimal.</t>
  </si>
  <si>
    <t>Nilai ini menunjukkan kinerja portofolio yang positif, namun masih tergolong rendah sehingga efisiensi</t>
  </si>
  <si>
    <t>Rp rata"</t>
  </si>
  <si>
    <t>Nilai rata-rata return portofolio sebesar 0,003444 menunjukkan bahwa portofolio memberikan tingkat pengembalian sebesar 0,3444% per hari.</t>
  </si>
  <si>
    <t>Hasil uji heteroskedastisitas menunjukkan bahwa nilai korelasi antara residual kuadrat dengan return pasar (IHSG) sebagian besar berada di sekitar nol dan tidak menunjukkan pola yang signifikan. Meskipun terdapat beberapa nilai yang relatif lebih besar, namun tidak cukup kuat untuk mengindikasikan adanya masalah heteroskedastisitas.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</si>
</sst>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sz val="11"/>
      <color theme="1"/>
      <name val="Calibri"/>
      <family val="2"/>
      <scheme val="minor"/>
    </font>
    <font>
      <sz val="11"/>
      <name val="Calibri"/>
      <family val="2"/>
    </font>
    <font>
      <sz val="12"/>
      <name val="Tahoma"/>
      <family val="2"/>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theme="4" tint="0.39997558519241921"/>
      </left>
      <right/>
      <top/>
      <bottom/>
      <diagonal/>
    </border>
  </borders>
  <cellStyleXfs count="2">
    <xf numFmtId="0" fontId="0" fillId="0" borderId="0"/>
    <xf numFmtId="0" fontId="2" fillId="0" borderId="0"/>
  </cellStyleXfs>
  <cellXfs count="20">
    <xf numFmtId="0" fontId="0" fillId="0" borderId="0" xfId="0"/>
    <xf numFmtId="14" fontId="0" fillId="2" borderId="1" xfId="0" applyNumberFormat="1" applyFill="1" applyBorder="1"/>
    <xf numFmtId="14" fontId="0" fillId="0" borderId="1" xfId="0" applyNumberFormat="1" applyBorder="1"/>
    <xf numFmtId="0" fontId="0" fillId="2" borderId="1" xfId="0" applyFill="1" applyBorder="1"/>
    <xf numFmtId="0" fontId="0" fillId="0" borderId="1" xfId="0" applyBorder="1"/>
    <xf numFmtId="4" fontId="0" fillId="0" borderId="2" xfId="0" applyNumberFormat="1" applyBorder="1"/>
    <xf numFmtId="0" fontId="0" fillId="0" borderId="2" xfId="0" applyBorder="1"/>
    <xf numFmtId="0" fontId="0" fillId="0" borderId="3" xfId="0" applyBorder="1"/>
    <xf numFmtId="0" fontId="1" fillId="0" borderId="4" xfId="0" applyFont="1" applyBorder="1" applyAlignment="1">
      <alignment horizontal="center"/>
    </xf>
    <xf numFmtId="0" fontId="3" fillId="0" borderId="5" xfId="1" applyFont="1" applyBorder="1" applyAlignment="1">
      <alignment horizontal="left"/>
    </xf>
    <xf numFmtId="10" fontId="3" fillId="0" borderId="5" xfId="1" applyNumberFormat="1" applyFont="1" applyBorder="1" applyAlignment="1">
      <alignment horizontal="left"/>
    </xf>
    <xf numFmtId="10" fontId="0" fillId="0" borderId="0" xfId="0" applyNumberFormat="1"/>
    <xf numFmtId="0" fontId="0" fillId="0" borderId="6" xfId="0" applyFill="1" applyBorder="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wrapText="1"/>
    </xf>
    <xf numFmtId="0" fontId="0" fillId="6" borderId="3" xfId="0" applyFill="1" applyBorder="1"/>
  </cellXfs>
  <cellStyles count="2">
    <cellStyle name="Normal" xfId="0" builtinId="0"/>
    <cellStyle name="Normal 2" xfId="1" xr:uid="{D92D344F-85FC-4791-B49D-BFAA31773E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DFEB-860A-4866-9203-55F3270CFBDD}">
  <dimension ref="A1:AF236"/>
  <sheetViews>
    <sheetView topLeftCell="G1" workbookViewId="0">
      <selection activeCell="AF1" sqref="AF1:AF236"/>
    </sheetView>
  </sheetViews>
  <sheetFormatPr defaultRowHeight="14.4" x14ac:dyDescent="0.3"/>
  <cols>
    <col min="1" max="1" width="10.5546875" bestFit="1" customWidth="1"/>
  </cols>
  <sheetData>
    <row r="1" spans="1:32" x14ac:dyDescent="0.3">
      <c r="A1" t="s">
        <v>0</v>
      </c>
      <c r="B1" t="s">
        <v>143</v>
      </c>
      <c r="C1" t="s">
        <v>144</v>
      </c>
      <c r="D1" t="s">
        <v>145</v>
      </c>
      <c r="E1" t="s">
        <v>146</v>
      </c>
      <c r="F1" t="s">
        <v>147</v>
      </c>
      <c r="G1" t="s">
        <v>148</v>
      </c>
      <c r="H1" t="s">
        <v>149</v>
      </c>
      <c r="I1" t="s">
        <v>150</v>
      </c>
      <c r="J1" t="s">
        <v>151</v>
      </c>
      <c r="K1" t="s">
        <v>152</v>
      </c>
      <c r="L1" t="s">
        <v>153</v>
      </c>
      <c r="M1" t="s">
        <v>154</v>
      </c>
      <c r="N1" t="s">
        <v>155</v>
      </c>
      <c r="O1" t="s">
        <v>156</v>
      </c>
      <c r="P1" t="s">
        <v>157</v>
      </c>
      <c r="Q1" t="s">
        <v>158</v>
      </c>
      <c r="R1" t="s">
        <v>159</v>
      </c>
      <c r="S1" t="s">
        <v>160</v>
      </c>
      <c r="T1" t="s">
        <v>161</v>
      </c>
      <c r="U1" t="s">
        <v>162</v>
      </c>
      <c r="V1" t="s">
        <v>163</v>
      </c>
      <c r="W1" t="s">
        <v>164</v>
      </c>
      <c r="X1" t="s">
        <v>165</v>
      </c>
      <c r="Y1" t="s">
        <v>166</v>
      </c>
      <c r="Z1" t="s">
        <v>167</v>
      </c>
      <c r="AA1" t="s">
        <v>168</v>
      </c>
      <c r="AB1" t="s">
        <v>169</v>
      </c>
      <c r="AC1" t="s">
        <v>170</v>
      </c>
      <c r="AD1" t="s">
        <v>171</v>
      </c>
      <c r="AE1" t="s">
        <v>172</v>
      </c>
      <c r="AF1" t="s">
        <v>173</v>
      </c>
    </row>
    <row r="2" spans="1:32" x14ac:dyDescent="0.3">
      <c r="A2" s="1">
        <v>45719</v>
      </c>
      <c r="B2" s="5">
        <v>6519.66</v>
      </c>
      <c r="C2">
        <v>8800</v>
      </c>
      <c r="D2">
        <v>3670</v>
      </c>
      <c r="E2">
        <v>4900</v>
      </c>
      <c r="F2">
        <v>4260</v>
      </c>
      <c r="G2">
        <v>2400</v>
      </c>
      <c r="H2">
        <v>4680</v>
      </c>
      <c r="I2">
        <v>10575</v>
      </c>
      <c r="J2">
        <v>7350</v>
      </c>
      <c r="K2">
        <v>2050</v>
      </c>
      <c r="L2">
        <v>24025</v>
      </c>
      <c r="M2">
        <v>1585</v>
      </c>
      <c r="N2">
        <v>1525</v>
      </c>
      <c r="O2">
        <v>1520</v>
      </c>
      <c r="P2" s="6">
        <v>555</v>
      </c>
      <c r="Q2">
        <v>2220</v>
      </c>
      <c r="R2">
        <v>1110</v>
      </c>
      <c r="S2">
        <v>4420</v>
      </c>
      <c r="T2">
        <v>2020</v>
      </c>
      <c r="U2">
        <v>2340</v>
      </c>
      <c r="V2">
        <v>22425</v>
      </c>
      <c r="W2" s="6">
        <v>820</v>
      </c>
      <c r="X2">
        <v>1235</v>
      </c>
      <c r="Y2">
        <v>2360</v>
      </c>
      <c r="Z2" s="6">
        <v>670</v>
      </c>
      <c r="AA2">
        <v>1420</v>
      </c>
      <c r="AB2">
        <v>80</v>
      </c>
      <c r="AC2" s="6">
        <v>139</v>
      </c>
      <c r="AD2" s="6">
        <v>386</v>
      </c>
      <c r="AE2" s="6">
        <v>380</v>
      </c>
      <c r="AF2" s="6">
        <v>820</v>
      </c>
    </row>
    <row r="3" spans="1:32" x14ac:dyDescent="0.3">
      <c r="A3" s="2">
        <v>45750</v>
      </c>
      <c r="B3" s="5">
        <v>6380.4</v>
      </c>
      <c r="C3">
        <v>8850</v>
      </c>
      <c r="D3">
        <v>3670</v>
      </c>
      <c r="E3">
        <v>4840</v>
      </c>
      <c r="F3">
        <v>4220</v>
      </c>
      <c r="G3">
        <v>2380</v>
      </c>
      <c r="H3">
        <v>4690</v>
      </c>
      <c r="I3">
        <v>10575</v>
      </c>
      <c r="J3">
        <v>7325</v>
      </c>
      <c r="K3">
        <v>1910</v>
      </c>
      <c r="L3">
        <v>23075</v>
      </c>
      <c r="M3">
        <v>1540</v>
      </c>
      <c r="N3">
        <v>1470</v>
      </c>
      <c r="O3">
        <v>1520</v>
      </c>
      <c r="P3" s="6">
        <v>535</v>
      </c>
      <c r="Q3">
        <v>2220</v>
      </c>
      <c r="R3">
        <v>1110</v>
      </c>
      <c r="S3">
        <v>4260</v>
      </c>
      <c r="T3">
        <v>2020</v>
      </c>
      <c r="U3">
        <v>2210</v>
      </c>
      <c r="V3">
        <v>22175</v>
      </c>
      <c r="W3" s="6">
        <v>800</v>
      </c>
      <c r="X3">
        <v>1210</v>
      </c>
      <c r="Y3">
        <v>2390</v>
      </c>
      <c r="Z3" s="6">
        <v>665</v>
      </c>
      <c r="AA3">
        <v>1380</v>
      </c>
      <c r="AB3">
        <v>77</v>
      </c>
      <c r="AC3" s="6">
        <v>133</v>
      </c>
      <c r="AD3" s="6">
        <v>372</v>
      </c>
      <c r="AE3" s="6">
        <v>380</v>
      </c>
      <c r="AF3" s="6">
        <v>810</v>
      </c>
    </row>
    <row r="4" spans="1:32" x14ac:dyDescent="0.3">
      <c r="A4" s="1">
        <v>45780</v>
      </c>
      <c r="B4" s="5">
        <v>6531.4</v>
      </c>
      <c r="C4">
        <v>9000</v>
      </c>
      <c r="D4">
        <v>3840</v>
      </c>
      <c r="E4">
        <v>4860</v>
      </c>
      <c r="F4">
        <v>4460</v>
      </c>
      <c r="G4">
        <v>2450</v>
      </c>
      <c r="H4">
        <v>4900</v>
      </c>
      <c r="I4">
        <v>10400</v>
      </c>
      <c r="J4">
        <v>7425</v>
      </c>
      <c r="K4">
        <v>1900</v>
      </c>
      <c r="L4">
        <v>23225</v>
      </c>
      <c r="M4">
        <v>1620</v>
      </c>
      <c r="N4">
        <v>1480</v>
      </c>
      <c r="O4">
        <v>1520</v>
      </c>
      <c r="P4" s="6">
        <v>545</v>
      </c>
      <c r="Q4">
        <v>2270</v>
      </c>
      <c r="R4">
        <v>1090</v>
      </c>
      <c r="S4">
        <v>4790</v>
      </c>
      <c r="T4">
        <v>2110</v>
      </c>
      <c r="U4">
        <v>2270</v>
      </c>
      <c r="V4">
        <v>23675</v>
      </c>
      <c r="W4" s="6">
        <v>795</v>
      </c>
      <c r="X4">
        <v>1205</v>
      </c>
      <c r="Y4">
        <v>2390</v>
      </c>
      <c r="Z4" s="6">
        <v>680</v>
      </c>
      <c r="AA4">
        <v>1425</v>
      </c>
      <c r="AB4">
        <v>82</v>
      </c>
      <c r="AC4" s="6">
        <v>135</v>
      </c>
      <c r="AD4" s="6">
        <v>374</v>
      </c>
      <c r="AE4" s="6">
        <v>392</v>
      </c>
      <c r="AF4" s="6">
        <v>835</v>
      </c>
    </row>
    <row r="5" spans="1:32" x14ac:dyDescent="0.3">
      <c r="A5" s="2">
        <v>45811</v>
      </c>
      <c r="B5" s="5">
        <v>6617.85</v>
      </c>
      <c r="C5">
        <v>8975</v>
      </c>
      <c r="D5">
        <v>3950</v>
      </c>
      <c r="E5">
        <v>4870</v>
      </c>
      <c r="F5">
        <v>4590</v>
      </c>
      <c r="G5">
        <v>2400</v>
      </c>
      <c r="H5">
        <v>4900</v>
      </c>
      <c r="I5">
        <v>10350</v>
      </c>
      <c r="J5">
        <v>7300</v>
      </c>
      <c r="K5">
        <v>2050</v>
      </c>
      <c r="L5">
        <v>23500</v>
      </c>
      <c r="M5">
        <v>1625</v>
      </c>
      <c r="N5">
        <v>1475</v>
      </c>
      <c r="O5">
        <v>1505</v>
      </c>
      <c r="P5" s="6">
        <v>535</v>
      </c>
      <c r="Q5">
        <v>2250</v>
      </c>
      <c r="R5">
        <v>1150</v>
      </c>
      <c r="S5">
        <v>4390</v>
      </c>
      <c r="T5">
        <v>2130</v>
      </c>
      <c r="U5">
        <v>2330</v>
      </c>
      <c r="V5">
        <v>24925</v>
      </c>
      <c r="W5" s="6">
        <v>815</v>
      </c>
      <c r="X5">
        <v>1280</v>
      </c>
      <c r="Y5">
        <v>2370</v>
      </c>
      <c r="Z5" s="6">
        <v>675</v>
      </c>
      <c r="AA5">
        <v>1435</v>
      </c>
      <c r="AB5">
        <v>82</v>
      </c>
      <c r="AC5" s="6">
        <v>143</v>
      </c>
      <c r="AD5" s="6">
        <v>382</v>
      </c>
      <c r="AE5" s="6">
        <v>410</v>
      </c>
      <c r="AF5" s="6">
        <v>870</v>
      </c>
    </row>
    <row r="6" spans="1:32" x14ac:dyDescent="0.3">
      <c r="A6" s="1">
        <v>45841</v>
      </c>
      <c r="B6" s="5">
        <v>6636</v>
      </c>
      <c r="C6">
        <v>8925</v>
      </c>
      <c r="D6">
        <v>3810</v>
      </c>
      <c r="E6">
        <v>4840</v>
      </c>
      <c r="F6">
        <v>4540</v>
      </c>
      <c r="G6">
        <v>2410</v>
      </c>
      <c r="H6">
        <v>4930</v>
      </c>
      <c r="I6">
        <v>10550</v>
      </c>
      <c r="J6">
        <v>7250</v>
      </c>
      <c r="K6">
        <v>2000</v>
      </c>
      <c r="L6">
        <v>23700</v>
      </c>
      <c r="M6">
        <v>1630</v>
      </c>
      <c r="N6">
        <v>1530</v>
      </c>
      <c r="O6">
        <v>1510</v>
      </c>
      <c r="P6" s="6">
        <v>535</v>
      </c>
      <c r="Q6">
        <v>2250</v>
      </c>
      <c r="R6">
        <v>1160</v>
      </c>
      <c r="S6">
        <v>4310</v>
      </c>
      <c r="T6">
        <v>2120</v>
      </c>
      <c r="U6">
        <v>2360</v>
      </c>
      <c r="V6">
        <v>24050</v>
      </c>
      <c r="W6" s="6">
        <v>820</v>
      </c>
      <c r="X6">
        <v>1305</v>
      </c>
      <c r="Y6">
        <v>2420</v>
      </c>
      <c r="Z6" s="6">
        <v>670</v>
      </c>
      <c r="AA6">
        <v>1455</v>
      </c>
      <c r="AB6">
        <v>86</v>
      </c>
      <c r="AC6" s="6">
        <v>138</v>
      </c>
      <c r="AD6" s="6">
        <v>388</v>
      </c>
      <c r="AE6" s="6">
        <v>414</v>
      </c>
      <c r="AF6" s="6">
        <v>880</v>
      </c>
    </row>
    <row r="7" spans="1:32" x14ac:dyDescent="0.3">
      <c r="A7" s="2">
        <v>45933</v>
      </c>
      <c r="B7" s="5">
        <v>6598.21</v>
      </c>
      <c r="C7">
        <v>8925</v>
      </c>
      <c r="D7">
        <v>3760</v>
      </c>
      <c r="E7">
        <v>4710</v>
      </c>
      <c r="F7">
        <v>4450</v>
      </c>
      <c r="G7">
        <v>2390</v>
      </c>
      <c r="H7">
        <v>4770</v>
      </c>
      <c r="I7">
        <v>10600</v>
      </c>
      <c r="J7">
        <v>7550</v>
      </c>
      <c r="K7">
        <v>1915</v>
      </c>
      <c r="L7">
        <v>23850</v>
      </c>
      <c r="M7">
        <v>1490</v>
      </c>
      <c r="N7">
        <v>1400</v>
      </c>
      <c r="O7">
        <v>1485</v>
      </c>
      <c r="P7" s="6">
        <v>525</v>
      </c>
      <c r="Q7">
        <v>2270</v>
      </c>
      <c r="R7">
        <v>1080</v>
      </c>
      <c r="S7">
        <v>4520</v>
      </c>
      <c r="T7">
        <v>2180</v>
      </c>
      <c r="U7">
        <v>2440</v>
      </c>
      <c r="V7">
        <v>23650</v>
      </c>
      <c r="W7" s="6">
        <v>810</v>
      </c>
      <c r="X7">
        <v>1290</v>
      </c>
      <c r="Y7">
        <v>2440</v>
      </c>
      <c r="Z7" s="6">
        <v>675</v>
      </c>
      <c r="AA7">
        <v>1480</v>
      </c>
      <c r="AB7">
        <v>85</v>
      </c>
      <c r="AC7" s="6">
        <v>138</v>
      </c>
      <c r="AD7" s="6">
        <v>388</v>
      </c>
      <c r="AE7" s="6">
        <v>408</v>
      </c>
      <c r="AF7" s="6">
        <v>865</v>
      </c>
    </row>
    <row r="8" spans="1:32" x14ac:dyDescent="0.3">
      <c r="A8" s="1">
        <v>45964</v>
      </c>
      <c r="B8" s="5">
        <v>6545.85</v>
      </c>
      <c r="C8">
        <v>8925</v>
      </c>
      <c r="D8">
        <v>3790</v>
      </c>
      <c r="E8">
        <v>4740</v>
      </c>
      <c r="F8">
        <v>4450</v>
      </c>
      <c r="G8">
        <v>2370</v>
      </c>
      <c r="H8">
        <v>4800</v>
      </c>
      <c r="I8">
        <v>10425</v>
      </c>
      <c r="J8">
        <v>7275</v>
      </c>
      <c r="K8">
        <v>1850</v>
      </c>
      <c r="L8">
        <v>23900</v>
      </c>
      <c r="M8">
        <v>1520</v>
      </c>
      <c r="N8">
        <v>1310</v>
      </c>
      <c r="O8">
        <v>1450</v>
      </c>
      <c r="P8" s="6">
        <v>510</v>
      </c>
      <c r="Q8">
        <v>2260</v>
      </c>
      <c r="R8">
        <v>1060</v>
      </c>
      <c r="S8">
        <v>4310</v>
      </c>
      <c r="T8">
        <v>2120</v>
      </c>
      <c r="U8">
        <v>2330</v>
      </c>
      <c r="V8">
        <v>23700</v>
      </c>
      <c r="W8" s="6">
        <v>800</v>
      </c>
      <c r="X8">
        <v>1280</v>
      </c>
      <c r="Y8">
        <v>2320</v>
      </c>
      <c r="Z8" s="6">
        <v>665</v>
      </c>
      <c r="AA8">
        <v>1465</v>
      </c>
      <c r="AB8">
        <v>80</v>
      </c>
      <c r="AC8" s="6">
        <v>134</v>
      </c>
      <c r="AD8" s="6">
        <v>382</v>
      </c>
      <c r="AE8" s="6">
        <v>398</v>
      </c>
      <c r="AF8" s="6">
        <v>840</v>
      </c>
    </row>
    <row r="9" spans="1:32" x14ac:dyDescent="0.3">
      <c r="A9" s="2">
        <v>45994</v>
      </c>
      <c r="B9" s="5">
        <v>6665.04</v>
      </c>
      <c r="C9">
        <v>9125</v>
      </c>
      <c r="D9">
        <v>3890</v>
      </c>
      <c r="E9">
        <v>4880</v>
      </c>
      <c r="F9">
        <v>4530</v>
      </c>
      <c r="G9">
        <v>2450</v>
      </c>
      <c r="H9">
        <v>4810</v>
      </c>
      <c r="I9">
        <v>10925</v>
      </c>
      <c r="J9">
        <v>7475</v>
      </c>
      <c r="K9">
        <v>1850</v>
      </c>
      <c r="L9">
        <v>23275</v>
      </c>
      <c r="M9">
        <v>1545</v>
      </c>
      <c r="N9">
        <v>1330</v>
      </c>
      <c r="O9">
        <v>1510</v>
      </c>
      <c r="P9" s="6">
        <v>510</v>
      </c>
      <c r="Q9">
        <v>2270</v>
      </c>
      <c r="R9">
        <v>1070</v>
      </c>
      <c r="S9">
        <v>4360</v>
      </c>
      <c r="T9">
        <v>2120</v>
      </c>
      <c r="U9">
        <v>2340</v>
      </c>
      <c r="V9">
        <v>23350</v>
      </c>
      <c r="W9" s="6">
        <v>795</v>
      </c>
      <c r="X9">
        <v>1305</v>
      </c>
      <c r="Y9">
        <v>2400</v>
      </c>
      <c r="Z9" s="6">
        <v>655</v>
      </c>
      <c r="AA9">
        <v>1560</v>
      </c>
      <c r="AB9">
        <v>83</v>
      </c>
      <c r="AC9" s="6">
        <v>133</v>
      </c>
      <c r="AD9" s="6">
        <v>388</v>
      </c>
      <c r="AE9" s="6">
        <v>398</v>
      </c>
      <c r="AF9" s="6">
        <v>845</v>
      </c>
    </row>
    <row r="10" spans="1:32" x14ac:dyDescent="0.3">
      <c r="A10" s="3" t="s">
        <v>1</v>
      </c>
      <c r="B10" s="5">
        <v>6647.42</v>
      </c>
      <c r="C10">
        <v>8975</v>
      </c>
      <c r="D10">
        <v>3800</v>
      </c>
      <c r="E10">
        <v>4740</v>
      </c>
      <c r="F10">
        <v>4530</v>
      </c>
      <c r="G10">
        <v>2430</v>
      </c>
      <c r="H10">
        <v>4730</v>
      </c>
      <c r="I10">
        <v>11000</v>
      </c>
      <c r="J10">
        <v>7300</v>
      </c>
      <c r="K10">
        <v>1865</v>
      </c>
      <c r="L10">
        <v>23400</v>
      </c>
      <c r="M10">
        <v>1535</v>
      </c>
      <c r="N10">
        <v>1340</v>
      </c>
      <c r="O10">
        <v>1555</v>
      </c>
      <c r="P10" s="6">
        <v>515</v>
      </c>
      <c r="Q10">
        <v>2250</v>
      </c>
      <c r="R10">
        <v>1085</v>
      </c>
      <c r="S10">
        <v>4380</v>
      </c>
      <c r="T10">
        <v>2120</v>
      </c>
      <c r="U10">
        <v>2330</v>
      </c>
      <c r="V10">
        <v>23050</v>
      </c>
      <c r="W10" s="6">
        <v>800</v>
      </c>
      <c r="X10">
        <v>1175</v>
      </c>
      <c r="Y10">
        <v>2400</v>
      </c>
      <c r="Z10" s="6">
        <v>645</v>
      </c>
      <c r="AA10">
        <v>1495</v>
      </c>
      <c r="AB10">
        <v>81</v>
      </c>
      <c r="AC10" s="6">
        <v>131</v>
      </c>
      <c r="AD10" s="6">
        <v>390</v>
      </c>
      <c r="AE10" s="6">
        <v>394</v>
      </c>
      <c r="AF10" s="6">
        <v>835</v>
      </c>
    </row>
    <row r="11" spans="1:32" x14ac:dyDescent="0.3">
      <c r="A11" s="4" t="s">
        <v>2</v>
      </c>
      <c r="B11" s="5">
        <v>6515.63</v>
      </c>
      <c r="C11">
        <v>8750</v>
      </c>
      <c r="D11">
        <v>3750</v>
      </c>
      <c r="E11">
        <v>4740</v>
      </c>
      <c r="F11">
        <v>4430</v>
      </c>
      <c r="G11">
        <v>2420</v>
      </c>
      <c r="H11">
        <v>4620</v>
      </c>
      <c r="I11">
        <v>10750</v>
      </c>
      <c r="J11">
        <v>7175</v>
      </c>
      <c r="K11">
        <v>1810</v>
      </c>
      <c r="L11">
        <v>23125</v>
      </c>
      <c r="M11">
        <v>1590</v>
      </c>
      <c r="N11">
        <v>1340</v>
      </c>
      <c r="O11">
        <v>1535</v>
      </c>
      <c r="P11" s="6">
        <v>505</v>
      </c>
      <c r="Q11">
        <v>2260</v>
      </c>
      <c r="R11">
        <v>1050</v>
      </c>
      <c r="S11">
        <v>4240</v>
      </c>
      <c r="T11">
        <v>2090</v>
      </c>
      <c r="U11">
        <v>2260</v>
      </c>
      <c r="V11">
        <v>22725</v>
      </c>
      <c r="W11" s="6">
        <v>780</v>
      </c>
      <c r="X11">
        <v>1140</v>
      </c>
      <c r="Y11">
        <v>2360</v>
      </c>
      <c r="Z11" s="6">
        <v>600</v>
      </c>
      <c r="AA11">
        <v>1500</v>
      </c>
      <c r="AB11">
        <v>80</v>
      </c>
      <c r="AC11" s="6">
        <v>130</v>
      </c>
      <c r="AD11" s="6">
        <v>396</v>
      </c>
      <c r="AE11" s="6">
        <v>388</v>
      </c>
      <c r="AF11" s="6">
        <v>830</v>
      </c>
    </row>
    <row r="12" spans="1:32" x14ac:dyDescent="0.3">
      <c r="A12" s="3" t="s">
        <v>3</v>
      </c>
      <c r="B12" s="5">
        <v>6471.95</v>
      </c>
      <c r="C12">
        <v>8600</v>
      </c>
      <c r="D12">
        <v>3830</v>
      </c>
      <c r="E12">
        <v>4680</v>
      </c>
      <c r="F12">
        <v>4330</v>
      </c>
      <c r="G12">
        <v>2420</v>
      </c>
      <c r="H12">
        <v>4620</v>
      </c>
      <c r="I12">
        <v>10950</v>
      </c>
      <c r="J12">
        <v>7275</v>
      </c>
      <c r="K12">
        <v>1815</v>
      </c>
      <c r="L12">
        <v>22925</v>
      </c>
      <c r="M12">
        <v>1655</v>
      </c>
      <c r="N12">
        <v>1440</v>
      </c>
      <c r="O12">
        <v>1525</v>
      </c>
      <c r="P12" s="6">
        <v>520</v>
      </c>
      <c r="Q12">
        <v>2270</v>
      </c>
      <c r="R12">
        <v>1060</v>
      </c>
      <c r="S12">
        <v>4320</v>
      </c>
      <c r="T12">
        <v>2050</v>
      </c>
      <c r="U12">
        <v>2260</v>
      </c>
      <c r="V12">
        <v>23225</v>
      </c>
      <c r="W12" s="6">
        <v>775</v>
      </c>
      <c r="X12">
        <v>1125</v>
      </c>
      <c r="Y12">
        <v>2430</v>
      </c>
      <c r="Z12" s="6">
        <v>615</v>
      </c>
      <c r="AA12">
        <v>1460</v>
      </c>
      <c r="AB12">
        <v>79</v>
      </c>
      <c r="AC12" s="6">
        <v>134</v>
      </c>
      <c r="AD12" s="6">
        <v>400</v>
      </c>
      <c r="AE12" s="6">
        <v>384</v>
      </c>
      <c r="AF12" s="6">
        <v>850</v>
      </c>
    </row>
    <row r="13" spans="1:32" x14ac:dyDescent="0.3">
      <c r="A13" s="4" t="s">
        <v>4</v>
      </c>
      <c r="B13" s="5">
        <v>6223.39</v>
      </c>
      <c r="C13">
        <v>8300</v>
      </c>
      <c r="D13">
        <v>3680</v>
      </c>
      <c r="E13">
        <v>4530</v>
      </c>
      <c r="F13">
        <v>4190</v>
      </c>
      <c r="G13">
        <v>2420</v>
      </c>
      <c r="H13">
        <v>4650</v>
      </c>
      <c r="I13">
        <v>10825</v>
      </c>
      <c r="J13">
        <v>7075</v>
      </c>
      <c r="K13">
        <v>1795</v>
      </c>
      <c r="L13">
        <v>22500</v>
      </c>
      <c r="M13">
        <v>1635</v>
      </c>
      <c r="N13">
        <v>1420</v>
      </c>
      <c r="O13">
        <v>1510</v>
      </c>
      <c r="P13" s="6">
        <v>515</v>
      </c>
      <c r="Q13">
        <v>2250</v>
      </c>
      <c r="R13">
        <v>1015</v>
      </c>
      <c r="S13">
        <v>4340</v>
      </c>
      <c r="T13">
        <v>1990</v>
      </c>
      <c r="U13">
        <v>2210</v>
      </c>
      <c r="V13">
        <v>22450</v>
      </c>
      <c r="W13" s="6">
        <v>655</v>
      </c>
      <c r="X13">
        <v>1085</v>
      </c>
      <c r="Y13">
        <v>2240</v>
      </c>
      <c r="Z13" s="6">
        <v>580</v>
      </c>
      <c r="AA13">
        <v>1340</v>
      </c>
      <c r="AB13">
        <v>83</v>
      </c>
      <c r="AC13" s="6">
        <v>132</v>
      </c>
      <c r="AD13" s="6">
        <v>384</v>
      </c>
      <c r="AE13" s="6">
        <v>372</v>
      </c>
      <c r="AF13" s="6">
        <v>805</v>
      </c>
    </row>
    <row r="14" spans="1:32" x14ac:dyDescent="0.3">
      <c r="A14" s="3" t="s">
        <v>5</v>
      </c>
      <c r="B14" s="5">
        <v>6311.66</v>
      </c>
      <c r="C14">
        <v>8325</v>
      </c>
      <c r="D14">
        <v>3710</v>
      </c>
      <c r="E14">
        <v>4680</v>
      </c>
      <c r="F14">
        <v>4170</v>
      </c>
      <c r="G14">
        <v>2430</v>
      </c>
      <c r="H14">
        <v>4690</v>
      </c>
      <c r="I14">
        <v>10725</v>
      </c>
      <c r="J14">
        <v>7200</v>
      </c>
      <c r="K14">
        <v>1800</v>
      </c>
      <c r="L14">
        <v>22650</v>
      </c>
      <c r="M14">
        <v>1660</v>
      </c>
      <c r="N14">
        <v>1410</v>
      </c>
      <c r="O14">
        <v>1500</v>
      </c>
      <c r="P14" s="6">
        <v>520</v>
      </c>
      <c r="Q14">
        <v>2270</v>
      </c>
      <c r="R14">
        <v>1030</v>
      </c>
      <c r="S14">
        <v>4500</v>
      </c>
      <c r="T14">
        <v>1985</v>
      </c>
      <c r="U14">
        <v>2230</v>
      </c>
      <c r="V14">
        <v>22325</v>
      </c>
      <c r="W14" s="6">
        <v>670</v>
      </c>
      <c r="X14">
        <v>1095</v>
      </c>
      <c r="Y14">
        <v>2170</v>
      </c>
      <c r="Z14" s="6">
        <v>595</v>
      </c>
      <c r="AA14">
        <v>1330</v>
      </c>
      <c r="AB14">
        <v>82</v>
      </c>
      <c r="AC14" s="6">
        <v>137</v>
      </c>
      <c r="AD14" s="6">
        <v>400</v>
      </c>
      <c r="AE14" s="6">
        <v>380</v>
      </c>
      <c r="AF14" s="6">
        <v>810</v>
      </c>
    </row>
    <row r="15" spans="1:32" x14ac:dyDescent="0.3">
      <c r="A15" s="4" t="s">
        <v>6</v>
      </c>
      <c r="B15" s="5">
        <v>6381.67</v>
      </c>
      <c r="C15">
        <v>8375</v>
      </c>
      <c r="D15">
        <v>3660</v>
      </c>
      <c r="E15">
        <v>4620</v>
      </c>
      <c r="F15">
        <v>4080</v>
      </c>
      <c r="G15">
        <v>2390</v>
      </c>
      <c r="H15">
        <v>4710</v>
      </c>
      <c r="I15">
        <v>10600</v>
      </c>
      <c r="J15">
        <v>7025</v>
      </c>
      <c r="K15">
        <v>1800</v>
      </c>
      <c r="L15">
        <v>22900</v>
      </c>
      <c r="M15">
        <v>1645</v>
      </c>
      <c r="N15">
        <v>1430</v>
      </c>
      <c r="O15">
        <v>1540</v>
      </c>
      <c r="P15" s="6">
        <v>520</v>
      </c>
      <c r="Q15">
        <v>2270</v>
      </c>
      <c r="R15">
        <v>1090</v>
      </c>
      <c r="S15">
        <v>4500</v>
      </c>
      <c r="T15">
        <v>1995</v>
      </c>
      <c r="U15">
        <v>2250</v>
      </c>
      <c r="V15">
        <v>22625</v>
      </c>
      <c r="W15" s="6">
        <v>675</v>
      </c>
      <c r="X15">
        <v>1100</v>
      </c>
      <c r="Y15">
        <v>2130</v>
      </c>
      <c r="Z15" s="6">
        <v>505</v>
      </c>
      <c r="AA15">
        <v>1285</v>
      </c>
      <c r="AB15">
        <v>81</v>
      </c>
      <c r="AC15" s="6">
        <v>144</v>
      </c>
      <c r="AD15" s="6">
        <v>398</v>
      </c>
      <c r="AE15" s="6">
        <v>370</v>
      </c>
      <c r="AF15" s="6">
        <v>790</v>
      </c>
    </row>
    <row r="16" spans="1:32" x14ac:dyDescent="0.3">
      <c r="A16" s="3" t="s">
        <v>7</v>
      </c>
      <c r="B16" s="5">
        <v>6258.18</v>
      </c>
      <c r="C16">
        <v>7900</v>
      </c>
      <c r="D16">
        <v>3700</v>
      </c>
      <c r="E16">
        <v>4410</v>
      </c>
      <c r="F16">
        <v>3770</v>
      </c>
      <c r="G16">
        <v>2310</v>
      </c>
      <c r="H16">
        <v>4840</v>
      </c>
      <c r="I16">
        <v>10575</v>
      </c>
      <c r="J16">
        <v>6975</v>
      </c>
      <c r="K16">
        <v>1800</v>
      </c>
      <c r="L16">
        <v>22475</v>
      </c>
      <c r="M16">
        <v>1585</v>
      </c>
      <c r="N16">
        <v>1375</v>
      </c>
      <c r="O16">
        <v>1540</v>
      </c>
      <c r="P16" s="6">
        <v>525</v>
      </c>
      <c r="Q16">
        <v>2260</v>
      </c>
      <c r="R16">
        <v>1120</v>
      </c>
      <c r="S16">
        <v>4480</v>
      </c>
      <c r="T16">
        <v>1980</v>
      </c>
      <c r="U16">
        <v>2120</v>
      </c>
      <c r="V16">
        <v>22875</v>
      </c>
      <c r="W16" s="6">
        <v>700</v>
      </c>
      <c r="X16">
        <v>1100</v>
      </c>
      <c r="Y16">
        <v>1940</v>
      </c>
      <c r="Z16" s="6">
        <v>500</v>
      </c>
      <c r="AA16">
        <v>1250</v>
      </c>
      <c r="AB16">
        <v>81</v>
      </c>
      <c r="AC16" s="6">
        <v>142</v>
      </c>
      <c r="AD16" s="6">
        <v>386</v>
      </c>
      <c r="AE16" s="6">
        <v>352</v>
      </c>
      <c r="AF16" s="6">
        <v>735</v>
      </c>
    </row>
    <row r="17" spans="1:32" x14ac:dyDescent="0.3">
      <c r="A17" s="4" t="s">
        <v>8</v>
      </c>
      <c r="B17" s="5">
        <v>6161.22</v>
      </c>
      <c r="C17">
        <v>7950</v>
      </c>
      <c r="D17">
        <v>3610</v>
      </c>
      <c r="E17">
        <v>4460</v>
      </c>
      <c r="F17">
        <v>3720</v>
      </c>
      <c r="G17">
        <v>2330</v>
      </c>
      <c r="H17">
        <v>4690</v>
      </c>
      <c r="I17">
        <v>10425</v>
      </c>
      <c r="J17">
        <v>6800</v>
      </c>
      <c r="K17">
        <v>1750</v>
      </c>
      <c r="L17">
        <v>21875</v>
      </c>
      <c r="M17">
        <v>1590</v>
      </c>
      <c r="N17">
        <v>1345</v>
      </c>
      <c r="O17">
        <v>1525</v>
      </c>
      <c r="P17" s="6">
        <v>505</v>
      </c>
      <c r="Q17">
        <v>2260</v>
      </c>
      <c r="R17">
        <v>1105</v>
      </c>
      <c r="S17">
        <v>4400</v>
      </c>
      <c r="T17">
        <v>1980</v>
      </c>
      <c r="U17">
        <v>2220</v>
      </c>
      <c r="V17">
        <v>22700</v>
      </c>
      <c r="W17" s="6">
        <v>655</v>
      </c>
      <c r="X17">
        <v>1095</v>
      </c>
      <c r="Y17">
        <v>1820</v>
      </c>
      <c r="Z17" s="6">
        <v>500</v>
      </c>
      <c r="AA17">
        <v>1260</v>
      </c>
      <c r="AB17">
        <v>80</v>
      </c>
      <c r="AC17" s="6">
        <v>140</v>
      </c>
      <c r="AD17" s="6">
        <v>378</v>
      </c>
      <c r="AE17" s="6">
        <v>338</v>
      </c>
      <c r="AF17" s="6">
        <v>720</v>
      </c>
    </row>
    <row r="18" spans="1:32" x14ac:dyDescent="0.3">
      <c r="A18" s="3" t="s">
        <v>9</v>
      </c>
      <c r="B18" s="5">
        <v>6235.62</v>
      </c>
      <c r="C18">
        <v>8050</v>
      </c>
      <c r="D18">
        <v>3800</v>
      </c>
      <c r="E18">
        <v>4740</v>
      </c>
      <c r="F18">
        <v>3900</v>
      </c>
      <c r="G18">
        <v>2340</v>
      </c>
      <c r="H18">
        <v>4650</v>
      </c>
      <c r="I18">
        <v>10375</v>
      </c>
      <c r="J18">
        <v>6800</v>
      </c>
      <c r="K18">
        <v>1745</v>
      </c>
      <c r="L18">
        <v>22450</v>
      </c>
      <c r="M18">
        <v>1600</v>
      </c>
      <c r="N18">
        <v>1350</v>
      </c>
      <c r="O18">
        <v>1500</v>
      </c>
      <c r="P18" s="6">
        <v>505</v>
      </c>
      <c r="Q18">
        <v>2230</v>
      </c>
      <c r="R18">
        <v>1135</v>
      </c>
      <c r="S18">
        <v>4400</v>
      </c>
      <c r="T18">
        <v>1955</v>
      </c>
      <c r="U18">
        <v>2510</v>
      </c>
      <c r="V18">
        <v>22825</v>
      </c>
      <c r="W18" s="6">
        <v>645</v>
      </c>
      <c r="X18">
        <v>1135</v>
      </c>
      <c r="Y18">
        <v>1870</v>
      </c>
      <c r="Z18" s="6">
        <v>505</v>
      </c>
      <c r="AA18">
        <v>1305</v>
      </c>
      <c r="AB18">
        <v>79</v>
      </c>
      <c r="AC18" s="6">
        <v>137</v>
      </c>
      <c r="AD18" s="6">
        <v>380</v>
      </c>
      <c r="AE18" s="6">
        <v>340</v>
      </c>
      <c r="AF18" s="6">
        <v>745</v>
      </c>
    </row>
    <row r="19" spans="1:32" x14ac:dyDescent="0.3">
      <c r="A19" s="4" t="s">
        <v>10</v>
      </c>
      <c r="B19" s="5">
        <v>6472.36</v>
      </c>
      <c r="C19">
        <v>8525</v>
      </c>
      <c r="D19">
        <v>4000</v>
      </c>
      <c r="E19">
        <v>5150</v>
      </c>
      <c r="F19">
        <v>4250</v>
      </c>
      <c r="G19">
        <v>2440</v>
      </c>
      <c r="H19">
        <v>4800</v>
      </c>
      <c r="I19">
        <v>10550</v>
      </c>
      <c r="J19">
        <v>6925</v>
      </c>
      <c r="K19">
        <v>1840</v>
      </c>
      <c r="L19">
        <v>22950</v>
      </c>
      <c r="M19">
        <v>1650</v>
      </c>
      <c r="N19">
        <v>1450</v>
      </c>
      <c r="O19">
        <v>1550</v>
      </c>
      <c r="P19" s="6">
        <v>525</v>
      </c>
      <c r="Q19">
        <v>2250</v>
      </c>
      <c r="R19">
        <v>1100</v>
      </c>
      <c r="S19">
        <v>4480</v>
      </c>
      <c r="T19">
        <v>2010</v>
      </c>
      <c r="U19">
        <v>2750</v>
      </c>
      <c r="V19">
        <v>23500</v>
      </c>
      <c r="W19" s="6">
        <v>680</v>
      </c>
      <c r="X19">
        <v>1105</v>
      </c>
      <c r="Y19">
        <v>2010</v>
      </c>
      <c r="Z19" s="6">
        <v>520</v>
      </c>
      <c r="AA19">
        <v>1325</v>
      </c>
      <c r="AB19">
        <v>83</v>
      </c>
      <c r="AC19" s="6">
        <v>143</v>
      </c>
      <c r="AD19" s="6">
        <v>392</v>
      </c>
      <c r="AE19" s="6">
        <v>348</v>
      </c>
      <c r="AF19" s="6">
        <v>770</v>
      </c>
    </row>
    <row r="20" spans="1:32" x14ac:dyDescent="0.3">
      <c r="A20" s="3" t="s">
        <v>11</v>
      </c>
      <c r="B20" s="5">
        <v>6510.62</v>
      </c>
      <c r="C20">
        <v>8500</v>
      </c>
      <c r="D20">
        <v>4050</v>
      </c>
      <c r="E20">
        <v>5200</v>
      </c>
      <c r="F20">
        <v>4240</v>
      </c>
      <c r="G20">
        <v>2410</v>
      </c>
      <c r="H20">
        <v>4920</v>
      </c>
      <c r="I20">
        <v>10175</v>
      </c>
      <c r="J20">
        <v>7100</v>
      </c>
      <c r="K20">
        <v>1845</v>
      </c>
      <c r="L20">
        <v>22950</v>
      </c>
      <c r="M20">
        <v>1635</v>
      </c>
      <c r="N20">
        <v>1430</v>
      </c>
      <c r="O20">
        <v>1555</v>
      </c>
      <c r="P20" s="6">
        <v>505</v>
      </c>
      <c r="Q20">
        <v>2280</v>
      </c>
      <c r="R20">
        <v>1135</v>
      </c>
      <c r="S20">
        <v>4390</v>
      </c>
      <c r="T20">
        <v>2010</v>
      </c>
      <c r="U20">
        <v>2650</v>
      </c>
      <c r="V20">
        <v>23550</v>
      </c>
      <c r="W20" s="6">
        <v>710</v>
      </c>
      <c r="X20">
        <v>1095</v>
      </c>
      <c r="Y20">
        <v>2050</v>
      </c>
      <c r="Z20" s="6">
        <v>500</v>
      </c>
      <c r="AA20">
        <v>1350</v>
      </c>
      <c r="AB20">
        <v>83</v>
      </c>
      <c r="AC20" s="6">
        <v>143</v>
      </c>
      <c r="AD20" s="6">
        <v>394</v>
      </c>
      <c r="AE20" s="6">
        <v>340</v>
      </c>
      <c r="AF20" s="6">
        <v>750</v>
      </c>
    </row>
    <row r="21" spans="1:32" x14ac:dyDescent="0.3">
      <c r="A21" s="2">
        <v>45873</v>
      </c>
      <c r="B21" s="5">
        <v>5996.14</v>
      </c>
      <c r="C21">
        <v>7775</v>
      </c>
      <c r="D21">
        <v>3640</v>
      </c>
      <c r="E21">
        <v>4670</v>
      </c>
      <c r="F21">
        <v>4030</v>
      </c>
      <c r="G21">
        <v>2290</v>
      </c>
      <c r="H21">
        <v>4480</v>
      </c>
      <c r="I21">
        <v>9700</v>
      </c>
      <c r="J21">
        <v>7200</v>
      </c>
      <c r="K21">
        <v>1645</v>
      </c>
      <c r="L21">
        <v>21825</v>
      </c>
      <c r="M21">
        <v>1400</v>
      </c>
      <c r="N21">
        <v>1220</v>
      </c>
      <c r="O21">
        <v>1445</v>
      </c>
      <c r="P21" s="6">
        <v>460</v>
      </c>
      <c r="Q21">
        <v>2200</v>
      </c>
      <c r="R21">
        <v>1055</v>
      </c>
      <c r="S21">
        <v>3980</v>
      </c>
      <c r="T21">
        <v>1895</v>
      </c>
      <c r="U21">
        <v>2260</v>
      </c>
      <c r="V21">
        <v>20100</v>
      </c>
      <c r="W21" s="6">
        <v>645</v>
      </c>
      <c r="X21">
        <v>970</v>
      </c>
      <c r="Y21">
        <v>2030</v>
      </c>
      <c r="Z21" s="6">
        <v>450</v>
      </c>
      <c r="AA21">
        <v>1150</v>
      </c>
      <c r="AB21">
        <v>71</v>
      </c>
      <c r="AC21" s="6">
        <v>126</v>
      </c>
      <c r="AD21" s="6">
        <v>352</v>
      </c>
      <c r="AE21" s="6">
        <v>312</v>
      </c>
      <c r="AF21" s="6">
        <v>720</v>
      </c>
    </row>
    <row r="22" spans="1:32" x14ac:dyDescent="0.3">
      <c r="A22" s="1">
        <v>45904</v>
      </c>
      <c r="B22" s="5">
        <v>5967.99</v>
      </c>
      <c r="C22">
        <v>7925</v>
      </c>
      <c r="D22">
        <v>3630</v>
      </c>
      <c r="E22">
        <v>4710</v>
      </c>
      <c r="F22">
        <v>4040</v>
      </c>
      <c r="G22">
        <v>2320</v>
      </c>
      <c r="H22">
        <v>4620</v>
      </c>
      <c r="I22">
        <v>9575</v>
      </c>
      <c r="J22">
        <v>6675</v>
      </c>
      <c r="K22">
        <v>1650</v>
      </c>
      <c r="L22">
        <v>22775</v>
      </c>
      <c r="M22">
        <v>1475</v>
      </c>
      <c r="N22">
        <v>1040</v>
      </c>
      <c r="O22">
        <v>1490</v>
      </c>
      <c r="P22" s="6">
        <v>468</v>
      </c>
      <c r="Q22">
        <v>2250</v>
      </c>
      <c r="R22">
        <v>1105</v>
      </c>
      <c r="S22">
        <v>4050</v>
      </c>
      <c r="T22">
        <v>1880</v>
      </c>
      <c r="U22">
        <v>2090</v>
      </c>
      <c r="V22">
        <v>20550</v>
      </c>
      <c r="W22" s="6">
        <v>600</v>
      </c>
      <c r="X22">
        <v>900</v>
      </c>
      <c r="Y22">
        <v>2070</v>
      </c>
      <c r="Z22" s="6">
        <v>462</v>
      </c>
      <c r="AA22">
        <v>1100</v>
      </c>
      <c r="AB22">
        <v>67</v>
      </c>
      <c r="AC22" s="6">
        <v>124</v>
      </c>
      <c r="AD22" s="6">
        <v>352</v>
      </c>
      <c r="AE22" s="6">
        <v>312</v>
      </c>
      <c r="AF22" s="6">
        <v>745</v>
      </c>
    </row>
    <row r="23" spans="1:32" x14ac:dyDescent="0.3">
      <c r="A23" s="2">
        <v>45934</v>
      </c>
      <c r="B23" s="5">
        <v>6254.02</v>
      </c>
      <c r="C23">
        <v>8225</v>
      </c>
      <c r="D23">
        <v>3800</v>
      </c>
      <c r="E23">
        <v>5025</v>
      </c>
      <c r="F23">
        <v>4260</v>
      </c>
      <c r="G23">
        <v>2350</v>
      </c>
      <c r="H23">
        <v>4710</v>
      </c>
      <c r="I23">
        <v>10000</v>
      </c>
      <c r="J23">
        <v>7075</v>
      </c>
      <c r="K23">
        <v>1700</v>
      </c>
      <c r="L23">
        <v>23275</v>
      </c>
      <c r="M23">
        <v>1630</v>
      </c>
      <c r="N23">
        <v>1220</v>
      </c>
      <c r="O23">
        <v>1550</v>
      </c>
      <c r="P23" s="6">
        <v>515</v>
      </c>
      <c r="Q23">
        <v>2280</v>
      </c>
      <c r="R23">
        <v>1145</v>
      </c>
      <c r="S23">
        <v>4180</v>
      </c>
      <c r="T23">
        <v>1970</v>
      </c>
      <c r="U23">
        <v>2160</v>
      </c>
      <c r="V23">
        <v>21800</v>
      </c>
      <c r="W23" s="6">
        <v>655</v>
      </c>
      <c r="X23">
        <v>1100</v>
      </c>
      <c r="Y23">
        <v>2290</v>
      </c>
      <c r="Z23" s="6">
        <v>500</v>
      </c>
      <c r="AA23">
        <v>1275</v>
      </c>
      <c r="AB23">
        <v>76</v>
      </c>
      <c r="AC23" s="6">
        <v>129</v>
      </c>
      <c r="AD23" s="6">
        <v>366</v>
      </c>
      <c r="AE23" s="6">
        <v>328</v>
      </c>
      <c r="AF23" s="6">
        <v>795</v>
      </c>
    </row>
    <row r="24" spans="1:32" x14ac:dyDescent="0.3">
      <c r="A24" s="1">
        <v>45965</v>
      </c>
      <c r="B24" s="5">
        <v>6262.23</v>
      </c>
      <c r="C24">
        <v>8275</v>
      </c>
      <c r="D24">
        <v>3630</v>
      </c>
      <c r="E24">
        <v>5100</v>
      </c>
      <c r="F24">
        <v>4390</v>
      </c>
      <c r="G24">
        <v>2330</v>
      </c>
      <c r="H24">
        <v>4710</v>
      </c>
      <c r="I24">
        <v>9925</v>
      </c>
      <c r="J24">
        <v>6900</v>
      </c>
      <c r="K24">
        <v>1715</v>
      </c>
      <c r="L24">
        <v>23400</v>
      </c>
      <c r="M24">
        <v>1690</v>
      </c>
      <c r="N24">
        <v>1305</v>
      </c>
      <c r="O24">
        <v>1580</v>
      </c>
      <c r="P24" s="6">
        <v>510</v>
      </c>
      <c r="Q24">
        <v>2200</v>
      </c>
      <c r="R24">
        <v>1180</v>
      </c>
      <c r="S24">
        <v>4120</v>
      </c>
      <c r="T24">
        <v>1945</v>
      </c>
      <c r="U24">
        <v>2140</v>
      </c>
      <c r="V24">
        <v>21850</v>
      </c>
      <c r="W24" s="6">
        <v>665</v>
      </c>
      <c r="X24">
        <v>1050</v>
      </c>
      <c r="Y24">
        <v>2210</v>
      </c>
      <c r="Z24" s="6">
        <v>492</v>
      </c>
      <c r="AA24">
        <v>1305</v>
      </c>
      <c r="AB24">
        <v>77</v>
      </c>
      <c r="AC24" s="6">
        <v>130</v>
      </c>
      <c r="AD24" s="6">
        <v>368</v>
      </c>
      <c r="AE24" s="6">
        <v>330</v>
      </c>
      <c r="AF24" s="6">
        <v>790</v>
      </c>
    </row>
    <row r="25" spans="1:32" x14ac:dyDescent="0.3">
      <c r="A25" s="4" t="s">
        <v>12</v>
      </c>
      <c r="B25" s="5">
        <v>6368.52</v>
      </c>
      <c r="C25">
        <v>8400</v>
      </c>
      <c r="D25">
        <v>3690</v>
      </c>
      <c r="E25">
        <v>4750</v>
      </c>
      <c r="F25">
        <v>4550</v>
      </c>
      <c r="G25">
        <v>2430</v>
      </c>
      <c r="H25">
        <v>4930</v>
      </c>
      <c r="I25">
        <v>10325</v>
      </c>
      <c r="J25">
        <v>7125</v>
      </c>
      <c r="K25">
        <v>1765</v>
      </c>
      <c r="L25">
        <v>24800</v>
      </c>
      <c r="M25">
        <v>1830</v>
      </c>
      <c r="N25">
        <v>1440</v>
      </c>
      <c r="O25">
        <v>1640</v>
      </c>
      <c r="P25" s="6">
        <v>525</v>
      </c>
      <c r="Q25">
        <v>2190</v>
      </c>
      <c r="R25">
        <v>1240</v>
      </c>
      <c r="S25">
        <v>4320</v>
      </c>
      <c r="T25">
        <v>2050</v>
      </c>
      <c r="U25">
        <v>2460</v>
      </c>
      <c r="V25">
        <v>22650</v>
      </c>
      <c r="W25" s="6">
        <v>695</v>
      </c>
      <c r="X25">
        <v>1075</v>
      </c>
      <c r="Y25">
        <v>2170</v>
      </c>
      <c r="Z25" s="6">
        <v>530</v>
      </c>
      <c r="AA25">
        <v>1360</v>
      </c>
      <c r="AB25">
        <v>80</v>
      </c>
      <c r="AC25" s="6">
        <v>131</v>
      </c>
      <c r="AD25" s="6">
        <v>382</v>
      </c>
      <c r="AE25" s="6">
        <v>352</v>
      </c>
      <c r="AF25" s="6">
        <v>840</v>
      </c>
    </row>
    <row r="26" spans="1:32" x14ac:dyDescent="0.3">
      <c r="A26" s="3" t="s">
        <v>13</v>
      </c>
      <c r="B26" s="5">
        <v>6441.68</v>
      </c>
      <c r="C26">
        <v>8575</v>
      </c>
      <c r="D26">
        <v>3690</v>
      </c>
      <c r="E26">
        <v>4710</v>
      </c>
      <c r="F26">
        <v>4280</v>
      </c>
      <c r="G26">
        <v>2450</v>
      </c>
      <c r="H26">
        <v>4870</v>
      </c>
      <c r="I26">
        <v>10475</v>
      </c>
      <c r="J26">
        <v>7300</v>
      </c>
      <c r="K26">
        <v>1800</v>
      </c>
      <c r="L26">
        <v>24700</v>
      </c>
      <c r="M26">
        <v>1860</v>
      </c>
      <c r="N26">
        <v>1430</v>
      </c>
      <c r="O26">
        <v>1685</v>
      </c>
      <c r="P26" s="6">
        <v>525</v>
      </c>
      <c r="Q26">
        <v>2170</v>
      </c>
      <c r="R26">
        <v>1195</v>
      </c>
      <c r="S26">
        <v>4250</v>
      </c>
      <c r="T26">
        <v>2000</v>
      </c>
      <c r="U26">
        <v>2500</v>
      </c>
      <c r="V26">
        <v>22825</v>
      </c>
      <c r="W26" s="6">
        <v>705</v>
      </c>
      <c r="X26">
        <v>1050</v>
      </c>
      <c r="Y26">
        <v>2080</v>
      </c>
      <c r="Z26" s="6">
        <v>496</v>
      </c>
      <c r="AA26">
        <v>1365</v>
      </c>
      <c r="AB26">
        <v>79</v>
      </c>
      <c r="AC26" s="6">
        <v>131</v>
      </c>
      <c r="AD26" s="6">
        <v>388</v>
      </c>
      <c r="AE26" s="6">
        <v>352</v>
      </c>
      <c r="AF26" s="6">
        <v>845</v>
      </c>
    </row>
    <row r="27" spans="1:32" x14ac:dyDescent="0.3">
      <c r="A27" s="4" t="s">
        <v>14</v>
      </c>
      <c r="B27" s="5">
        <v>6400.05</v>
      </c>
      <c r="C27">
        <v>8475</v>
      </c>
      <c r="D27">
        <v>3650</v>
      </c>
      <c r="E27">
        <v>4630</v>
      </c>
      <c r="F27">
        <v>4100</v>
      </c>
      <c r="G27">
        <v>2480</v>
      </c>
      <c r="H27">
        <v>4780</v>
      </c>
      <c r="I27">
        <v>10250</v>
      </c>
      <c r="J27">
        <v>7400</v>
      </c>
      <c r="K27">
        <v>1800</v>
      </c>
      <c r="L27">
        <v>24600</v>
      </c>
      <c r="M27">
        <v>1925</v>
      </c>
      <c r="N27">
        <v>1415</v>
      </c>
      <c r="O27">
        <v>1670</v>
      </c>
      <c r="P27" s="6">
        <v>515</v>
      </c>
      <c r="Q27">
        <v>2190</v>
      </c>
      <c r="R27">
        <v>1255</v>
      </c>
      <c r="S27">
        <v>4260</v>
      </c>
      <c r="T27">
        <v>2050</v>
      </c>
      <c r="U27">
        <v>2450</v>
      </c>
      <c r="V27">
        <v>22225</v>
      </c>
      <c r="W27" s="6">
        <v>730</v>
      </c>
      <c r="X27">
        <v>1045</v>
      </c>
      <c r="Y27">
        <v>1955</v>
      </c>
      <c r="Z27" s="6">
        <v>488</v>
      </c>
      <c r="AA27">
        <v>1365</v>
      </c>
      <c r="AB27">
        <v>80</v>
      </c>
      <c r="AC27" s="6">
        <v>129</v>
      </c>
      <c r="AD27" s="6">
        <v>378</v>
      </c>
      <c r="AE27" s="6">
        <v>348</v>
      </c>
      <c r="AF27" s="6">
        <v>815</v>
      </c>
    </row>
    <row r="28" spans="1:32" x14ac:dyDescent="0.3">
      <c r="A28" s="3" t="s">
        <v>15</v>
      </c>
      <c r="B28" s="5">
        <v>6438.27</v>
      </c>
      <c r="C28">
        <v>8500</v>
      </c>
      <c r="D28">
        <v>3640</v>
      </c>
      <c r="E28">
        <v>4600</v>
      </c>
      <c r="F28">
        <v>4040</v>
      </c>
      <c r="G28">
        <v>2550</v>
      </c>
      <c r="H28">
        <v>4750</v>
      </c>
      <c r="I28">
        <v>10600</v>
      </c>
      <c r="J28">
        <v>7300</v>
      </c>
      <c r="K28">
        <v>1800</v>
      </c>
      <c r="L28">
        <v>24800</v>
      </c>
      <c r="M28">
        <v>1945</v>
      </c>
      <c r="N28">
        <v>1645</v>
      </c>
      <c r="O28">
        <v>1675</v>
      </c>
      <c r="P28" s="6">
        <v>535</v>
      </c>
      <c r="Q28">
        <v>2180</v>
      </c>
      <c r="R28">
        <v>1200</v>
      </c>
      <c r="S28">
        <v>4240</v>
      </c>
      <c r="T28">
        <v>2010</v>
      </c>
      <c r="U28">
        <v>2450</v>
      </c>
      <c r="V28">
        <v>22225</v>
      </c>
      <c r="W28" s="6">
        <v>765</v>
      </c>
      <c r="X28">
        <v>1050</v>
      </c>
      <c r="Y28">
        <v>1960</v>
      </c>
      <c r="Z28" s="6">
        <v>472</v>
      </c>
      <c r="AA28">
        <v>1370</v>
      </c>
      <c r="AB28">
        <v>80</v>
      </c>
      <c r="AC28" s="6">
        <v>135</v>
      </c>
      <c r="AD28" s="6">
        <v>388</v>
      </c>
      <c r="AE28" s="6">
        <v>356</v>
      </c>
      <c r="AF28" s="6">
        <v>840</v>
      </c>
    </row>
    <row r="29" spans="1:32" x14ac:dyDescent="0.3">
      <c r="A29" s="4" t="s">
        <v>16</v>
      </c>
      <c r="B29" s="5">
        <v>6445.97</v>
      </c>
      <c r="C29">
        <v>8300</v>
      </c>
      <c r="D29">
        <v>3620</v>
      </c>
      <c r="E29">
        <v>4610</v>
      </c>
      <c r="F29">
        <v>3990</v>
      </c>
      <c r="G29">
        <v>2570</v>
      </c>
      <c r="H29">
        <v>4790</v>
      </c>
      <c r="I29">
        <v>10550</v>
      </c>
      <c r="J29">
        <v>7350</v>
      </c>
      <c r="K29">
        <v>1805</v>
      </c>
      <c r="L29">
        <v>22175</v>
      </c>
      <c r="M29">
        <v>2090</v>
      </c>
      <c r="N29">
        <v>1695</v>
      </c>
      <c r="O29">
        <v>1680</v>
      </c>
      <c r="P29" s="6">
        <v>535</v>
      </c>
      <c r="Q29">
        <v>2120</v>
      </c>
      <c r="R29">
        <v>1225</v>
      </c>
      <c r="S29">
        <v>4160</v>
      </c>
      <c r="T29">
        <v>1905</v>
      </c>
      <c r="U29">
        <v>2370</v>
      </c>
      <c r="V29">
        <v>22900</v>
      </c>
      <c r="W29" s="6">
        <v>765</v>
      </c>
      <c r="X29">
        <v>1075</v>
      </c>
      <c r="Y29">
        <v>1935</v>
      </c>
      <c r="Z29" s="6">
        <v>478</v>
      </c>
      <c r="AA29">
        <v>1380</v>
      </c>
      <c r="AB29">
        <v>79</v>
      </c>
      <c r="AC29" s="6">
        <v>140</v>
      </c>
      <c r="AD29" s="6">
        <v>392</v>
      </c>
      <c r="AE29" s="6">
        <v>352</v>
      </c>
      <c r="AF29" s="6">
        <v>845</v>
      </c>
    </row>
    <row r="30" spans="1:32" x14ac:dyDescent="0.3">
      <c r="A30" s="3" t="s">
        <v>17</v>
      </c>
      <c r="B30" s="5">
        <v>6538.27</v>
      </c>
      <c r="C30">
        <v>8500</v>
      </c>
      <c r="D30">
        <v>3630</v>
      </c>
      <c r="E30">
        <v>4720</v>
      </c>
      <c r="F30">
        <v>4010</v>
      </c>
      <c r="G30">
        <v>2550</v>
      </c>
      <c r="H30">
        <v>4740</v>
      </c>
      <c r="I30">
        <v>10475</v>
      </c>
      <c r="J30">
        <v>7200</v>
      </c>
      <c r="K30">
        <v>1880</v>
      </c>
      <c r="L30">
        <v>22325</v>
      </c>
      <c r="M30">
        <v>2190</v>
      </c>
      <c r="N30">
        <v>1665</v>
      </c>
      <c r="O30">
        <v>1675</v>
      </c>
      <c r="P30" s="6">
        <v>540</v>
      </c>
      <c r="Q30">
        <v>2100</v>
      </c>
      <c r="R30">
        <v>1200</v>
      </c>
      <c r="S30">
        <v>4050</v>
      </c>
      <c r="T30">
        <v>1715</v>
      </c>
      <c r="U30">
        <v>2540</v>
      </c>
      <c r="V30">
        <v>23025</v>
      </c>
      <c r="W30" s="6">
        <v>770</v>
      </c>
      <c r="X30">
        <v>1105</v>
      </c>
      <c r="Y30">
        <v>1910</v>
      </c>
      <c r="Z30" s="6">
        <v>484</v>
      </c>
      <c r="AA30">
        <v>1380</v>
      </c>
      <c r="AB30">
        <v>79</v>
      </c>
      <c r="AC30" s="6">
        <v>138</v>
      </c>
      <c r="AD30" s="6">
        <v>404</v>
      </c>
      <c r="AE30" s="6">
        <v>366</v>
      </c>
      <c r="AF30" s="6">
        <v>845</v>
      </c>
    </row>
    <row r="31" spans="1:32" x14ac:dyDescent="0.3">
      <c r="A31" s="4" t="s">
        <v>18</v>
      </c>
      <c r="B31" s="5">
        <v>6634.38</v>
      </c>
      <c r="C31">
        <v>8725</v>
      </c>
      <c r="D31">
        <v>3760</v>
      </c>
      <c r="E31">
        <v>4900</v>
      </c>
      <c r="F31">
        <v>4150</v>
      </c>
      <c r="G31">
        <v>2630</v>
      </c>
      <c r="H31">
        <v>4820</v>
      </c>
      <c r="I31">
        <v>10700</v>
      </c>
      <c r="J31">
        <v>7350</v>
      </c>
      <c r="K31">
        <v>1850</v>
      </c>
      <c r="L31">
        <v>22300</v>
      </c>
      <c r="M31">
        <v>2070</v>
      </c>
      <c r="N31">
        <v>1570</v>
      </c>
      <c r="O31">
        <v>1715</v>
      </c>
      <c r="P31" s="6">
        <v>550</v>
      </c>
      <c r="Q31">
        <v>2110</v>
      </c>
      <c r="R31">
        <v>1280</v>
      </c>
      <c r="S31">
        <v>4190</v>
      </c>
      <c r="T31">
        <v>1720</v>
      </c>
      <c r="U31">
        <v>2550</v>
      </c>
      <c r="V31">
        <v>23050</v>
      </c>
      <c r="W31" s="6">
        <v>775</v>
      </c>
      <c r="X31">
        <v>1135</v>
      </c>
      <c r="Y31">
        <v>2000</v>
      </c>
      <c r="Z31" s="6">
        <v>505</v>
      </c>
      <c r="AA31">
        <v>1355</v>
      </c>
      <c r="AB31">
        <v>80</v>
      </c>
      <c r="AC31" s="6">
        <v>140</v>
      </c>
      <c r="AD31" s="6">
        <v>412</v>
      </c>
      <c r="AE31" s="6">
        <v>368</v>
      </c>
      <c r="AF31" s="6">
        <v>855</v>
      </c>
    </row>
    <row r="32" spans="1:32" x14ac:dyDescent="0.3">
      <c r="A32" s="3" t="s">
        <v>19</v>
      </c>
      <c r="B32" s="5">
        <v>6613.48</v>
      </c>
      <c r="C32">
        <v>8475</v>
      </c>
      <c r="D32">
        <v>3730</v>
      </c>
      <c r="E32">
        <v>4890</v>
      </c>
      <c r="F32">
        <v>4170</v>
      </c>
      <c r="G32">
        <v>2630</v>
      </c>
      <c r="H32">
        <v>4770</v>
      </c>
      <c r="I32">
        <v>11000</v>
      </c>
      <c r="J32">
        <v>7250</v>
      </c>
      <c r="K32">
        <v>1875</v>
      </c>
      <c r="L32">
        <v>22050</v>
      </c>
      <c r="M32">
        <v>2150</v>
      </c>
      <c r="N32">
        <v>1610</v>
      </c>
      <c r="O32">
        <v>1770</v>
      </c>
      <c r="P32" s="6">
        <v>545</v>
      </c>
      <c r="Q32">
        <v>2090</v>
      </c>
      <c r="R32">
        <v>1265</v>
      </c>
      <c r="S32">
        <v>4280</v>
      </c>
      <c r="T32">
        <v>1730</v>
      </c>
      <c r="U32">
        <v>2530</v>
      </c>
      <c r="V32">
        <v>23050</v>
      </c>
      <c r="W32" s="6">
        <v>765</v>
      </c>
      <c r="X32">
        <v>1195</v>
      </c>
      <c r="Y32">
        <v>2030</v>
      </c>
      <c r="Z32" s="6">
        <v>500</v>
      </c>
      <c r="AA32">
        <v>1335</v>
      </c>
      <c r="AB32">
        <v>80</v>
      </c>
      <c r="AC32" s="6">
        <v>140</v>
      </c>
      <c r="AD32" s="6">
        <v>416</v>
      </c>
      <c r="AE32" s="6">
        <v>364</v>
      </c>
      <c r="AF32" s="6">
        <v>870</v>
      </c>
    </row>
    <row r="33" spans="1:32" x14ac:dyDescent="0.3">
      <c r="A33" s="4" t="s">
        <v>20</v>
      </c>
      <c r="B33" s="5">
        <v>6678.92</v>
      </c>
      <c r="C33">
        <v>8600</v>
      </c>
      <c r="D33">
        <v>3740</v>
      </c>
      <c r="E33">
        <v>4900</v>
      </c>
      <c r="F33">
        <v>4200</v>
      </c>
      <c r="G33">
        <v>2600</v>
      </c>
      <c r="H33">
        <v>4860</v>
      </c>
      <c r="I33">
        <v>11000</v>
      </c>
      <c r="J33">
        <v>7475</v>
      </c>
      <c r="K33">
        <v>1880</v>
      </c>
      <c r="L33">
        <v>22100</v>
      </c>
      <c r="M33">
        <v>2140</v>
      </c>
      <c r="N33">
        <v>1680</v>
      </c>
      <c r="O33">
        <v>1725</v>
      </c>
      <c r="P33" s="6">
        <v>555</v>
      </c>
      <c r="Q33">
        <v>2100</v>
      </c>
      <c r="R33">
        <v>1240</v>
      </c>
      <c r="S33">
        <v>4420</v>
      </c>
      <c r="T33">
        <v>1780</v>
      </c>
      <c r="U33">
        <v>2600</v>
      </c>
      <c r="V33">
        <v>23100</v>
      </c>
      <c r="W33" s="6">
        <v>750</v>
      </c>
      <c r="X33">
        <v>1185</v>
      </c>
      <c r="Y33">
        <v>2090</v>
      </c>
      <c r="Z33" s="6">
        <v>525</v>
      </c>
      <c r="AA33">
        <v>1345</v>
      </c>
      <c r="AB33">
        <v>84</v>
      </c>
      <c r="AC33" s="6">
        <v>150</v>
      </c>
      <c r="AD33" s="6">
        <v>434</v>
      </c>
      <c r="AE33" s="6">
        <v>374</v>
      </c>
      <c r="AF33" s="6">
        <v>925</v>
      </c>
    </row>
    <row r="34" spans="1:32" x14ac:dyDescent="0.3">
      <c r="A34" s="3" t="s">
        <v>21</v>
      </c>
      <c r="B34" s="5">
        <v>6722.97</v>
      </c>
      <c r="C34">
        <v>8775</v>
      </c>
      <c r="D34">
        <v>3840</v>
      </c>
      <c r="E34">
        <v>4920</v>
      </c>
      <c r="F34">
        <v>4190</v>
      </c>
      <c r="G34">
        <v>2560</v>
      </c>
      <c r="H34">
        <v>4890</v>
      </c>
      <c r="I34">
        <v>11000</v>
      </c>
      <c r="J34">
        <v>7425</v>
      </c>
      <c r="K34">
        <v>1900</v>
      </c>
      <c r="L34">
        <v>22075</v>
      </c>
      <c r="M34">
        <v>2130</v>
      </c>
      <c r="N34">
        <v>1660</v>
      </c>
      <c r="O34">
        <v>1710</v>
      </c>
      <c r="P34" s="6">
        <v>565</v>
      </c>
      <c r="Q34">
        <v>2100</v>
      </c>
      <c r="R34">
        <v>1260</v>
      </c>
      <c r="S34">
        <v>4460</v>
      </c>
      <c r="T34">
        <v>1885</v>
      </c>
      <c r="U34">
        <v>2570</v>
      </c>
      <c r="V34">
        <v>22900</v>
      </c>
      <c r="W34" s="6">
        <v>755</v>
      </c>
      <c r="X34">
        <v>1200</v>
      </c>
      <c r="Y34">
        <v>2040</v>
      </c>
      <c r="Z34" s="6">
        <v>515</v>
      </c>
      <c r="AA34">
        <v>1345</v>
      </c>
      <c r="AB34">
        <v>82</v>
      </c>
      <c r="AC34" s="6">
        <v>145</v>
      </c>
      <c r="AD34" s="6">
        <v>432</v>
      </c>
      <c r="AE34" s="6">
        <v>374</v>
      </c>
      <c r="AF34" s="6">
        <v>905</v>
      </c>
    </row>
    <row r="35" spans="1:32" x14ac:dyDescent="0.3">
      <c r="A35" s="4" t="s">
        <v>22</v>
      </c>
      <c r="B35" s="5">
        <v>6749.08</v>
      </c>
      <c r="C35">
        <v>8725</v>
      </c>
      <c r="D35">
        <v>3850</v>
      </c>
      <c r="E35">
        <v>4940</v>
      </c>
      <c r="F35">
        <v>4140</v>
      </c>
      <c r="G35">
        <v>2590</v>
      </c>
      <c r="H35">
        <v>4800</v>
      </c>
      <c r="I35">
        <v>11250</v>
      </c>
      <c r="J35">
        <v>7500</v>
      </c>
      <c r="K35">
        <v>1900</v>
      </c>
      <c r="L35">
        <v>22050</v>
      </c>
      <c r="M35">
        <v>2180</v>
      </c>
      <c r="N35">
        <v>1720</v>
      </c>
      <c r="O35">
        <v>1720</v>
      </c>
      <c r="P35" s="6">
        <v>590</v>
      </c>
      <c r="Q35">
        <v>2130</v>
      </c>
      <c r="R35">
        <v>1260</v>
      </c>
      <c r="S35">
        <v>4440</v>
      </c>
      <c r="T35">
        <v>1845</v>
      </c>
      <c r="U35">
        <v>2560</v>
      </c>
      <c r="V35">
        <v>22675</v>
      </c>
      <c r="W35" s="6">
        <v>755</v>
      </c>
      <c r="X35">
        <v>1240</v>
      </c>
      <c r="Y35">
        <v>2090</v>
      </c>
      <c r="Z35" s="6">
        <v>545</v>
      </c>
      <c r="AA35">
        <v>1355</v>
      </c>
      <c r="AB35">
        <v>85</v>
      </c>
      <c r="AC35" s="6">
        <v>144</v>
      </c>
      <c r="AD35" s="6">
        <v>428</v>
      </c>
      <c r="AE35" s="6">
        <v>378</v>
      </c>
      <c r="AF35" s="6">
        <v>905</v>
      </c>
    </row>
    <row r="36" spans="1:32" x14ac:dyDescent="0.3">
      <c r="A36" s="3" t="s">
        <v>23</v>
      </c>
      <c r="B36" s="5">
        <v>6766.79</v>
      </c>
      <c r="C36">
        <v>8825</v>
      </c>
      <c r="D36">
        <v>3850</v>
      </c>
      <c r="E36">
        <v>4890</v>
      </c>
      <c r="F36">
        <v>4180</v>
      </c>
      <c r="G36">
        <v>2640</v>
      </c>
      <c r="H36">
        <v>4800</v>
      </c>
      <c r="I36">
        <v>11350</v>
      </c>
      <c r="J36">
        <v>8000</v>
      </c>
      <c r="K36">
        <v>1900</v>
      </c>
      <c r="L36">
        <v>22000</v>
      </c>
      <c r="M36">
        <v>2170</v>
      </c>
      <c r="N36">
        <v>1670</v>
      </c>
      <c r="O36">
        <v>1685</v>
      </c>
      <c r="P36" s="6">
        <v>570</v>
      </c>
      <c r="Q36">
        <v>2150</v>
      </c>
      <c r="R36">
        <v>1365</v>
      </c>
      <c r="S36">
        <v>4730</v>
      </c>
      <c r="T36">
        <v>1820</v>
      </c>
      <c r="U36">
        <v>2610</v>
      </c>
      <c r="V36">
        <v>22700</v>
      </c>
      <c r="W36" s="6">
        <v>745</v>
      </c>
      <c r="X36">
        <v>1260</v>
      </c>
      <c r="Y36">
        <v>2160</v>
      </c>
      <c r="Z36" s="6">
        <v>535</v>
      </c>
      <c r="AA36">
        <v>1365</v>
      </c>
      <c r="AB36">
        <v>85</v>
      </c>
      <c r="AC36" s="6">
        <v>145</v>
      </c>
      <c r="AD36" s="6">
        <v>432</v>
      </c>
      <c r="AE36" s="6">
        <v>382</v>
      </c>
      <c r="AF36" s="6">
        <v>920</v>
      </c>
    </row>
    <row r="37" spans="1:32" x14ac:dyDescent="0.3">
      <c r="A37" s="2">
        <v>45693</v>
      </c>
      <c r="B37" s="5">
        <v>6815.73</v>
      </c>
      <c r="C37">
        <v>8975</v>
      </c>
      <c r="D37">
        <v>3880</v>
      </c>
      <c r="E37">
        <v>4960</v>
      </c>
      <c r="F37">
        <v>4200</v>
      </c>
      <c r="G37">
        <v>2680</v>
      </c>
      <c r="H37">
        <v>4790</v>
      </c>
      <c r="I37">
        <v>11000</v>
      </c>
      <c r="J37">
        <v>7700</v>
      </c>
      <c r="K37">
        <v>1885</v>
      </c>
      <c r="L37">
        <v>21950</v>
      </c>
      <c r="M37">
        <v>2290</v>
      </c>
      <c r="N37">
        <v>1690</v>
      </c>
      <c r="O37">
        <v>1635</v>
      </c>
      <c r="P37" s="6">
        <v>585</v>
      </c>
      <c r="Q37">
        <v>2220</v>
      </c>
      <c r="R37">
        <v>1315</v>
      </c>
      <c r="S37">
        <v>4740</v>
      </c>
      <c r="T37">
        <v>1750</v>
      </c>
      <c r="U37">
        <v>2540</v>
      </c>
      <c r="V37">
        <v>22775</v>
      </c>
      <c r="W37" s="6">
        <v>755</v>
      </c>
      <c r="X37">
        <v>1245</v>
      </c>
      <c r="Y37">
        <v>2120</v>
      </c>
      <c r="Z37" s="6">
        <v>520</v>
      </c>
      <c r="AA37">
        <v>1335</v>
      </c>
      <c r="AB37">
        <v>82</v>
      </c>
      <c r="AC37" s="6">
        <v>147</v>
      </c>
      <c r="AD37" s="6">
        <v>418</v>
      </c>
      <c r="AE37" s="6">
        <v>380</v>
      </c>
      <c r="AF37" s="6">
        <v>930</v>
      </c>
    </row>
    <row r="38" spans="1:32" x14ac:dyDescent="0.3">
      <c r="A38" s="1">
        <v>45782</v>
      </c>
      <c r="B38" s="5">
        <v>6831.95</v>
      </c>
      <c r="C38">
        <v>8975</v>
      </c>
      <c r="D38">
        <v>3860</v>
      </c>
      <c r="E38">
        <v>4980</v>
      </c>
      <c r="F38">
        <v>4210</v>
      </c>
      <c r="G38">
        <v>2700</v>
      </c>
      <c r="H38">
        <v>4780</v>
      </c>
      <c r="I38">
        <v>11200</v>
      </c>
      <c r="J38">
        <v>7600</v>
      </c>
      <c r="K38">
        <v>1860</v>
      </c>
      <c r="L38">
        <v>22050</v>
      </c>
      <c r="M38">
        <v>2320</v>
      </c>
      <c r="N38">
        <v>1680</v>
      </c>
      <c r="O38">
        <v>1630</v>
      </c>
      <c r="P38" s="6">
        <v>580</v>
      </c>
      <c r="Q38">
        <v>2200</v>
      </c>
      <c r="R38">
        <v>1390</v>
      </c>
      <c r="S38">
        <v>4650</v>
      </c>
      <c r="T38">
        <v>1745</v>
      </c>
      <c r="U38">
        <v>2550</v>
      </c>
      <c r="V38">
        <v>22800</v>
      </c>
      <c r="W38" s="6">
        <v>770</v>
      </c>
      <c r="X38">
        <v>1270</v>
      </c>
      <c r="Y38">
        <v>2180</v>
      </c>
      <c r="Z38" s="6">
        <v>525</v>
      </c>
      <c r="AA38">
        <v>1335</v>
      </c>
      <c r="AB38">
        <v>83</v>
      </c>
      <c r="AC38" s="6">
        <v>145</v>
      </c>
      <c r="AD38" s="6">
        <v>430</v>
      </c>
      <c r="AE38" s="6">
        <v>386</v>
      </c>
      <c r="AF38" s="6">
        <v>950</v>
      </c>
    </row>
    <row r="39" spans="1:32" x14ac:dyDescent="0.3">
      <c r="A39" s="2">
        <v>45813</v>
      </c>
      <c r="B39" s="5">
        <v>6898.2</v>
      </c>
      <c r="C39">
        <v>9025</v>
      </c>
      <c r="D39">
        <v>3880</v>
      </c>
      <c r="E39">
        <v>4980</v>
      </c>
      <c r="F39">
        <v>4180</v>
      </c>
      <c r="G39">
        <v>2680</v>
      </c>
      <c r="H39">
        <v>4750</v>
      </c>
      <c r="I39">
        <v>11275</v>
      </c>
      <c r="J39">
        <v>7525</v>
      </c>
      <c r="K39">
        <v>1875</v>
      </c>
      <c r="L39">
        <v>22275</v>
      </c>
      <c r="M39">
        <v>2540</v>
      </c>
      <c r="N39">
        <v>1780</v>
      </c>
      <c r="O39">
        <v>1620</v>
      </c>
      <c r="P39" s="6">
        <v>575</v>
      </c>
      <c r="Q39">
        <v>2180</v>
      </c>
      <c r="R39">
        <v>1410</v>
      </c>
      <c r="S39">
        <v>4800</v>
      </c>
      <c r="T39">
        <v>1765</v>
      </c>
      <c r="U39">
        <v>2550</v>
      </c>
      <c r="V39">
        <v>22875</v>
      </c>
      <c r="W39" s="6">
        <v>780</v>
      </c>
      <c r="X39">
        <v>1270</v>
      </c>
      <c r="Y39">
        <v>2280</v>
      </c>
      <c r="Z39" s="6">
        <v>525</v>
      </c>
      <c r="AA39">
        <v>1350</v>
      </c>
      <c r="AB39">
        <v>83</v>
      </c>
      <c r="AC39" s="6">
        <v>147</v>
      </c>
      <c r="AD39" s="6">
        <v>436</v>
      </c>
      <c r="AE39" s="6">
        <v>384</v>
      </c>
      <c r="AF39" s="6">
        <v>950</v>
      </c>
    </row>
    <row r="40" spans="1:32" x14ac:dyDescent="0.3">
      <c r="A40" s="1">
        <v>45843</v>
      </c>
      <c r="B40" s="5">
        <v>6926.23</v>
      </c>
      <c r="C40">
        <v>9075</v>
      </c>
      <c r="D40">
        <v>3910</v>
      </c>
      <c r="E40">
        <v>4950</v>
      </c>
      <c r="F40">
        <v>4160</v>
      </c>
      <c r="G40">
        <v>2620</v>
      </c>
      <c r="H40">
        <v>4830</v>
      </c>
      <c r="I40">
        <v>11075</v>
      </c>
      <c r="J40">
        <v>7750</v>
      </c>
      <c r="K40">
        <v>1900</v>
      </c>
      <c r="L40">
        <v>22350</v>
      </c>
      <c r="M40">
        <v>2750</v>
      </c>
      <c r="N40">
        <v>1855</v>
      </c>
      <c r="O40">
        <v>1635</v>
      </c>
      <c r="P40" s="6">
        <v>590</v>
      </c>
      <c r="Q40">
        <v>2180</v>
      </c>
      <c r="R40">
        <v>1405</v>
      </c>
      <c r="S40">
        <v>4850</v>
      </c>
      <c r="T40">
        <v>1795</v>
      </c>
      <c r="U40">
        <v>2510</v>
      </c>
      <c r="V40">
        <v>21750</v>
      </c>
      <c r="W40" s="6">
        <v>845</v>
      </c>
      <c r="X40">
        <v>1290</v>
      </c>
      <c r="Y40">
        <v>2310</v>
      </c>
      <c r="Z40" s="6">
        <v>545</v>
      </c>
      <c r="AA40">
        <v>1360</v>
      </c>
      <c r="AB40">
        <v>84</v>
      </c>
      <c r="AC40" s="6">
        <v>146</v>
      </c>
      <c r="AD40" s="6">
        <v>450</v>
      </c>
      <c r="AE40" s="6">
        <v>398</v>
      </c>
      <c r="AF40" s="6">
        <v>985</v>
      </c>
    </row>
    <row r="41" spans="1:32" x14ac:dyDescent="0.3">
      <c r="A41" s="2">
        <v>45874</v>
      </c>
      <c r="B41" s="5">
        <v>6827.75</v>
      </c>
      <c r="C41">
        <v>8975</v>
      </c>
      <c r="D41">
        <v>3790</v>
      </c>
      <c r="E41">
        <v>4790</v>
      </c>
      <c r="F41">
        <v>4120</v>
      </c>
      <c r="G41">
        <v>2570</v>
      </c>
      <c r="H41">
        <v>4780</v>
      </c>
      <c r="I41">
        <v>11400</v>
      </c>
      <c r="J41">
        <v>7775</v>
      </c>
      <c r="K41">
        <v>1895</v>
      </c>
      <c r="L41">
        <v>22125</v>
      </c>
      <c r="M41">
        <v>2610</v>
      </c>
      <c r="N41">
        <v>1800</v>
      </c>
      <c r="O41">
        <v>1600</v>
      </c>
      <c r="P41" s="6">
        <v>600</v>
      </c>
      <c r="Q41">
        <v>2130</v>
      </c>
      <c r="R41">
        <v>1440</v>
      </c>
      <c r="S41">
        <v>4850</v>
      </c>
      <c r="T41">
        <v>1755</v>
      </c>
      <c r="U41">
        <v>2490</v>
      </c>
      <c r="V41">
        <v>21475</v>
      </c>
      <c r="W41" s="6">
        <v>820</v>
      </c>
      <c r="X41">
        <v>1240</v>
      </c>
      <c r="Y41">
        <v>2350</v>
      </c>
      <c r="Z41" s="6">
        <v>525</v>
      </c>
      <c r="AA41">
        <v>1340</v>
      </c>
      <c r="AB41">
        <v>81</v>
      </c>
      <c r="AC41" s="6">
        <v>146</v>
      </c>
      <c r="AD41" s="6">
        <v>430</v>
      </c>
      <c r="AE41" s="6">
        <v>392</v>
      </c>
      <c r="AF41" s="6">
        <v>960</v>
      </c>
    </row>
    <row r="42" spans="1:32" x14ac:dyDescent="0.3">
      <c r="A42" s="1">
        <v>45905</v>
      </c>
      <c r="B42" s="5">
        <v>6832.8</v>
      </c>
      <c r="C42">
        <v>9000</v>
      </c>
      <c r="D42">
        <v>3840</v>
      </c>
      <c r="E42">
        <v>4770</v>
      </c>
      <c r="F42">
        <v>4100</v>
      </c>
      <c r="G42">
        <v>2600</v>
      </c>
      <c r="H42">
        <v>4780</v>
      </c>
      <c r="I42">
        <v>11200</v>
      </c>
      <c r="J42">
        <v>7975</v>
      </c>
      <c r="K42">
        <v>1855</v>
      </c>
      <c r="L42">
        <v>22100</v>
      </c>
      <c r="M42">
        <v>2680</v>
      </c>
      <c r="N42">
        <v>1805</v>
      </c>
      <c r="O42">
        <v>1605</v>
      </c>
      <c r="P42" s="6">
        <v>600</v>
      </c>
      <c r="Q42">
        <v>2160</v>
      </c>
      <c r="R42">
        <v>1450</v>
      </c>
      <c r="S42">
        <v>4800</v>
      </c>
      <c r="T42">
        <v>1780</v>
      </c>
      <c r="U42">
        <v>2410</v>
      </c>
      <c r="V42">
        <v>21250</v>
      </c>
      <c r="W42" s="6">
        <v>820</v>
      </c>
      <c r="X42">
        <v>1245</v>
      </c>
      <c r="Y42">
        <v>2360</v>
      </c>
      <c r="Z42" s="6">
        <v>525</v>
      </c>
      <c r="AA42">
        <v>1310</v>
      </c>
      <c r="AB42">
        <v>81</v>
      </c>
      <c r="AC42" s="6">
        <v>145</v>
      </c>
      <c r="AD42" s="6">
        <v>450</v>
      </c>
      <c r="AE42" s="6">
        <v>390</v>
      </c>
      <c r="AF42" s="6">
        <v>965</v>
      </c>
    </row>
    <row r="43" spans="1:32" x14ac:dyDescent="0.3">
      <c r="A43" s="4" t="s">
        <v>24</v>
      </c>
      <c r="B43" s="5">
        <v>6979.88</v>
      </c>
      <c r="C43">
        <v>9275</v>
      </c>
      <c r="D43">
        <v>4090</v>
      </c>
      <c r="E43">
        <v>5050</v>
      </c>
      <c r="F43">
        <v>4370</v>
      </c>
      <c r="G43">
        <v>2590</v>
      </c>
      <c r="H43">
        <v>4810</v>
      </c>
      <c r="I43">
        <v>11175</v>
      </c>
      <c r="J43">
        <v>7875</v>
      </c>
      <c r="K43">
        <v>1915</v>
      </c>
      <c r="L43">
        <v>22475</v>
      </c>
      <c r="M43">
        <v>2550</v>
      </c>
      <c r="N43">
        <v>1770</v>
      </c>
      <c r="O43">
        <v>1660</v>
      </c>
      <c r="P43" s="6">
        <v>625</v>
      </c>
      <c r="Q43">
        <v>2210</v>
      </c>
      <c r="R43">
        <v>1480</v>
      </c>
      <c r="S43">
        <v>4940</v>
      </c>
      <c r="T43">
        <v>1765</v>
      </c>
      <c r="U43">
        <v>2520</v>
      </c>
      <c r="V43">
        <v>21950</v>
      </c>
      <c r="W43" s="6">
        <v>855</v>
      </c>
      <c r="X43">
        <v>1255</v>
      </c>
      <c r="Y43">
        <v>2480</v>
      </c>
      <c r="Z43" s="6">
        <v>545</v>
      </c>
      <c r="AA43">
        <v>1350</v>
      </c>
      <c r="AB43">
        <v>79</v>
      </c>
      <c r="AC43" s="6">
        <v>145</v>
      </c>
      <c r="AD43" s="6">
        <v>442</v>
      </c>
      <c r="AE43" s="6">
        <v>390</v>
      </c>
      <c r="AF43" s="6">
        <v>1.02</v>
      </c>
    </row>
    <row r="44" spans="1:32" x14ac:dyDescent="0.3">
      <c r="A44" s="3" t="s">
        <v>25</v>
      </c>
      <c r="B44" s="5">
        <v>7040.16</v>
      </c>
      <c r="C44">
        <v>9275</v>
      </c>
      <c r="D44">
        <v>4270</v>
      </c>
      <c r="E44">
        <v>5325</v>
      </c>
      <c r="F44">
        <v>4500</v>
      </c>
      <c r="G44">
        <v>2660</v>
      </c>
      <c r="H44">
        <v>4820</v>
      </c>
      <c r="I44">
        <v>11050</v>
      </c>
      <c r="J44">
        <v>8100</v>
      </c>
      <c r="K44">
        <v>1915</v>
      </c>
      <c r="L44">
        <v>22450</v>
      </c>
      <c r="M44">
        <v>2550</v>
      </c>
      <c r="N44">
        <v>1830</v>
      </c>
      <c r="O44">
        <v>1665</v>
      </c>
      <c r="P44" s="6">
        <v>615</v>
      </c>
      <c r="Q44">
        <v>2160</v>
      </c>
      <c r="R44">
        <v>1525</v>
      </c>
      <c r="S44">
        <v>4910</v>
      </c>
      <c r="T44">
        <v>1835</v>
      </c>
      <c r="U44">
        <v>2520</v>
      </c>
      <c r="V44">
        <v>21625</v>
      </c>
      <c r="W44" s="6">
        <v>860</v>
      </c>
      <c r="X44">
        <v>1250</v>
      </c>
      <c r="Y44">
        <v>2410</v>
      </c>
      <c r="Z44" s="6">
        <v>535</v>
      </c>
      <c r="AA44">
        <v>1310</v>
      </c>
      <c r="AB44">
        <v>73</v>
      </c>
      <c r="AC44" s="6">
        <v>142</v>
      </c>
      <c r="AD44" s="6">
        <v>434</v>
      </c>
      <c r="AE44" s="6">
        <v>394</v>
      </c>
      <c r="AF44" s="6">
        <v>1.0149999999999999</v>
      </c>
    </row>
    <row r="45" spans="1:32" x14ac:dyDescent="0.3">
      <c r="A45" s="4" t="s">
        <v>26</v>
      </c>
      <c r="B45" s="5">
        <v>7106.53</v>
      </c>
      <c r="C45">
        <v>9300</v>
      </c>
      <c r="D45">
        <v>4250</v>
      </c>
      <c r="E45">
        <v>5475</v>
      </c>
      <c r="F45">
        <v>4500</v>
      </c>
      <c r="G45">
        <v>2740</v>
      </c>
      <c r="H45">
        <v>4880</v>
      </c>
      <c r="I45">
        <v>11075</v>
      </c>
      <c r="J45">
        <v>8450</v>
      </c>
      <c r="K45">
        <v>2150</v>
      </c>
      <c r="L45">
        <v>22600</v>
      </c>
      <c r="M45">
        <v>2640</v>
      </c>
      <c r="N45">
        <v>1935</v>
      </c>
      <c r="O45">
        <v>1690</v>
      </c>
      <c r="P45" s="6">
        <v>615</v>
      </c>
      <c r="Q45">
        <v>2180</v>
      </c>
      <c r="R45">
        <v>1505</v>
      </c>
      <c r="S45">
        <v>4930</v>
      </c>
      <c r="T45">
        <v>1795</v>
      </c>
      <c r="U45">
        <v>2570</v>
      </c>
      <c r="V45">
        <v>21900</v>
      </c>
      <c r="W45" s="6">
        <v>875</v>
      </c>
      <c r="X45">
        <v>1275</v>
      </c>
      <c r="Y45">
        <v>2500</v>
      </c>
      <c r="Z45" s="6">
        <v>510</v>
      </c>
      <c r="AA45">
        <v>1340</v>
      </c>
      <c r="AB45">
        <v>73</v>
      </c>
      <c r="AC45" s="6">
        <v>140</v>
      </c>
      <c r="AD45" s="6">
        <v>436</v>
      </c>
      <c r="AE45" s="6">
        <v>400</v>
      </c>
      <c r="AF45" s="6">
        <v>1.0149999999999999</v>
      </c>
    </row>
    <row r="46" spans="1:32" x14ac:dyDescent="0.3">
      <c r="A46" s="3" t="s">
        <v>27</v>
      </c>
      <c r="B46" s="5">
        <v>7141.09</v>
      </c>
      <c r="C46">
        <v>9500</v>
      </c>
      <c r="D46">
        <v>4230</v>
      </c>
      <c r="E46">
        <v>5525</v>
      </c>
      <c r="F46">
        <v>4460</v>
      </c>
      <c r="G46">
        <v>2820</v>
      </c>
      <c r="H46">
        <v>4940</v>
      </c>
      <c r="I46">
        <v>10950</v>
      </c>
      <c r="J46">
        <v>8225</v>
      </c>
      <c r="K46">
        <v>2320</v>
      </c>
      <c r="L46">
        <v>22800</v>
      </c>
      <c r="M46">
        <v>2720</v>
      </c>
      <c r="N46">
        <v>2070</v>
      </c>
      <c r="O46">
        <v>1740</v>
      </c>
      <c r="P46" s="6">
        <v>600</v>
      </c>
      <c r="Q46">
        <v>2210</v>
      </c>
      <c r="R46">
        <v>1455</v>
      </c>
      <c r="S46">
        <v>4860</v>
      </c>
      <c r="T46">
        <v>1800</v>
      </c>
      <c r="U46">
        <v>2710</v>
      </c>
      <c r="V46">
        <v>22100</v>
      </c>
      <c r="W46" s="6">
        <v>880</v>
      </c>
      <c r="X46">
        <v>1270</v>
      </c>
      <c r="Y46">
        <v>2500</v>
      </c>
      <c r="Z46" s="6">
        <v>530</v>
      </c>
      <c r="AA46">
        <v>1320</v>
      </c>
      <c r="AB46">
        <v>71</v>
      </c>
      <c r="AC46" s="6">
        <v>136</v>
      </c>
      <c r="AD46" s="6">
        <v>438</v>
      </c>
      <c r="AE46" s="6">
        <v>398</v>
      </c>
      <c r="AF46" s="6">
        <v>1.0249999999999999</v>
      </c>
    </row>
    <row r="47" spans="1:32" x14ac:dyDescent="0.3">
      <c r="A47" s="4" t="s">
        <v>28</v>
      </c>
      <c r="B47" s="5">
        <v>7094.6</v>
      </c>
      <c r="C47">
        <v>9475</v>
      </c>
      <c r="D47">
        <v>4210</v>
      </c>
      <c r="E47">
        <v>5400</v>
      </c>
      <c r="F47">
        <v>4450</v>
      </c>
      <c r="G47">
        <v>2740</v>
      </c>
      <c r="H47">
        <v>4860</v>
      </c>
      <c r="I47">
        <v>10750</v>
      </c>
      <c r="J47">
        <v>7875</v>
      </c>
      <c r="K47">
        <v>2210</v>
      </c>
      <c r="L47">
        <v>22325</v>
      </c>
      <c r="M47">
        <v>2730</v>
      </c>
      <c r="N47">
        <v>2020</v>
      </c>
      <c r="O47">
        <v>1725</v>
      </c>
      <c r="P47" s="6">
        <v>610</v>
      </c>
      <c r="Q47">
        <v>2170</v>
      </c>
      <c r="R47">
        <v>1500</v>
      </c>
      <c r="S47">
        <v>4820</v>
      </c>
      <c r="T47">
        <v>1800</v>
      </c>
      <c r="U47">
        <v>2530</v>
      </c>
      <c r="V47">
        <v>21750</v>
      </c>
      <c r="W47" s="6">
        <v>930</v>
      </c>
      <c r="X47">
        <v>1270</v>
      </c>
      <c r="Y47">
        <v>2500</v>
      </c>
      <c r="Z47" s="6">
        <v>525</v>
      </c>
      <c r="AA47">
        <v>1295</v>
      </c>
      <c r="AB47">
        <v>72</v>
      </c>
      <c r="AC47" s="6">
        <v>135</v>
      </c>
      <c r="AD47" s="6">
        <v>432</v>
      </c>
      <c r="AE47" s="6">
        <v>394</v>
      </c>
      <c r="AF47" s="6">
        <v>1</v>
      </c>
    </row>
    <row r="48" spans="1:32" x14ac:dyDescent="0.3">
      <c r="A48" s="3" t="s">
        <v>29</v>
      </c>
      <c r="B48" s="5">
        <v>7142.46</v>
      </c>
      <c r="C48">
        <v>9700</v>
      </c>
      <c r="D48">
        <v>4260</v>
      </c>
      <c r="E48">
        <v>5450</v>
      </c>
      <c r="F48">
        <v>4520</v>
      </c>
      <c r="G48">
        <v>2750</v>
      </c>
      <c r="H48">
        <v>4670</v>
      </c>
      <c r="I48">
        <v>10825</v>
      </c>
      <c r="J48">
        <v>7975</v>
      </c>
      <c r="K48">
        <v>2160</v>
      </c>
      <c r="L48">
        <v>22550</v>
      </c>
      <c r="M48">
        <v>2910</v>
      </c>
      <c r="N48">
        <v>2050</v>
      </c>
      <c r="O48">
        <v>1745</v>
      </c>
      <c r="P48" s="6">
        <v>615</v>
      </c>
      <c r="Q48">
        <v>2180</v>
      </c>
      <c r="R48">
        <v>1530</v>
      </c>
      <c r="S48">
        <v>4890</v>
      </c>
      <c r="T48">
        <v>1765</v>
      </c>
      <c r="U48">
        <v>2570</v>
      </c>
      <c r="V48">
        <v>21800</v>
      </c>
      <c r="W48" s="6">
        <v>980</v>
      </c>
      <c r="X48">
        <v>1375</v>
      </c>
      <c r="Y48">
        <v>2610</v>
      </c>
      <c r="Z48" s="6">
        <v>525</v>
      </c>
      <c r="AA48">
        <v>1305</v>
      </c>
      <c r="AB48">
        <v>70</v>
      </c>
      <c r="AC48" s="6">
        <v>134</v>
      </c>
      <c r="AD48" s="6">
        <v>446</v>
      </c>
      <c r="AE48" s="6">
        <v>410</v>
      </c>
      <c r="AF48" s="6">
        <v>990</v>
      </c>
    </row>
    <row r="49" spans="1:32" x14ac:dyDescent="0.3">
      <c r="A49" s="4" t="s">
        <v>30</v>
      </c>
      <c r="B49" s="5">
        <v>7166.98</v>
      </c>
      <c r="C49">
        <v>9650</v>
      </c>
      <c r="D49">
        <v>4300</v>
      </c>
      <c r="E49">
        <v>5450</v>
      </c>
      <c r="F49">
        <v>4470</v>
      </c>
      <c r="G49">
        <v>2800</v>
      </c>
      <c r="H49">
        <v>4630</v>
      </c>
      <c r="I49">
        <v>10800</v>
      </c>
      <c r="J49">
        <v>7900</v>
      </c>
      <c r="K49">
        <v>2150</v>
      </c>
      <c r="L49">
        <v>22650</v>
      </c>
      <c r="M49">
        <v>2960</v>
      </c>
      <c r="N49">
        <v>2030</v>
      </c>
      <c r="O49">
        <v>1800</v>
      </c>
      <c r="P49" s="6">
        <v>600</v>
      </c>
      <c r="Q49">
        <v>2170</v>
      </c>
      <c r="R49">
        <v>1440</v>
      </c>
      <c r="S49">
        <v>4880</v>
      </c>
      <c r="T49">
        <v>1715</v>
      </c>
      <c r="U49">
        <v>2670</v>
      </c>
      <c r="V49">
        <v>21875</v>
      </c>
      <c r="W49" s="6">
        <v>1080</v>
      </c>
      <c r="X49">
        <v>1340</v>
      </c>
      <c r="Y49">
        <v>2600</v>
      </c>
      <c r="Z49" s="6">
        <v>595</v>
      </c>
      <c r="AA49">
        <v>1350</v>
      </c>
      <c r="AB49">
        <v>72</v>
      </c>
      <c r="AC49" s="6">
        <v>137</v>
      </c>
      <c r="AD49" s="6">
        <v>438</v>
      </c>
      <c r="AE49" s="6">
        <v>420</v>
      </c>
      <c r="AF49" s="6">
        <v>975</v>
      </c>
    </row>
    <row r="50" spans="1:32" x14ac:dyDescent="0.3">
      <c r="A50" s="3" t="s">
        <v>31</v>
      </c>
      <c r="B50" s="5">
        <v>7214.16</v>
      </c>
      <c r="C50">
        <v>9675</v>
      </c>
      <c r="D50">
        <v>4350</v>
      </c>
      <c r="E50">
        <v>5425</v>
      </c>
      <c r="F50">
        <v>4510</v>
      </c>
      <c r="G50">
        <v>2690</v>
      </c>
      <c r="H50">
        <v>4740</v>
      </c>
      <c r="I50">
        <v>10825</v>
      </c>
      <c r="J50">
        <v>7850</v>
      </c>
      <c r="K50">
        <v>2100</v>
      </c>
      <c r="L50">
        <v>22500</v>
      </c>
      <c r="M50">
        <v>3130</v>
      </c>
      <c r="N50">
        <v>2040</v>
      </c>
      <c r="O50">
        <v>1770</v>
      </c>
      <c r="P50" s="6">
        <v>595</v>
      </c>
      <c r="Q50">
        <v>2170</v>
      </c>
      <c r="R50">
        <v>1460</v>
      </c>
      <c r="S50">
        <v>4880</v>
      </c>
      <c r="T50">
        <v>1650</v>
      </c>
      <c r="U50">
        <v>2720</v>
      </c>
      <c r="V50">
        <v>21950</v>
      </c>
      <c r="W50" s="6">
        <v>1155</v>
      </c>
      <c r="X50">
        <v>1300</v>
      </c>
      <c r="Y50">
        <v>2600</v>
      </c>
      <c r="Z50" s="6">
        <v>575</v>
      </c>
      <c r="AA50">
        <v>1340</v>
      </c>
      <c r="AB50">
        <v>72</v>
      </c>
      <c r="AC50" s="6">
        <v>138</v>
      </c>
      <c r="AD50" s="6">
        <v>434</v>
      </c>
      <c r="AE50" s="6">
        <v>422</v>
      </c>
      <c r="AF50" s="6">
        <v>985</v>
      </c>
    </row>
    <row r="51" spans="1:32" x14ac:dyDescent="0.3">
      <c r="A51" s="4" t="s">
        <v>32</v>
      </c>
      <c r="B51" s="5">
        <v>7188.35</v>
      </c>
      <c r="C51">
        <v>9625</v>
      </c>
      <c r="D51">
        <v>4320</v>
      </c>
      <c r="E51">
        <v>5475</v>
      </c>
      <c r="F51">
        <v>4500</v>
      </c>
      <c r="G51">
        <v>2800</v>
      </c>
      <c r="H51">
        <v>4730</v>
      </c>
      <c r="I51">
        <v>11025</v>
      </c>
      <c r="J51">
        <v>7850</v>
      </c>
      <c r="K51">
        <v>2090</v>
      </c>
      <c r="L51">
        <v>22400</v>
      </c>
      <c r="M51">
        <v>3110</v>
      </c>
      <c r="N51">
        <v>2060</v>
      </c>
      <c r="O51">
        <v>1815</v>
      </c>
      <c r="P51" s="6">
        <v>580</v>
      </c>
      <c r="Q51">
        <v>2170</v>
      </c>
      <c r="R51">
        <v>1520</v>
      </c>
      <c r="S51">
        <v>4830</v>
      </c>
      <c r="T51">
        <v>1620</v>
      </c>
      <c r="U51">
        <v>2860</v>
      </c>
      <c r="V51">
        <v>21725</v>
      </c>
      <c r="W51" s="6">
        <v>1220</v>
      </c>
      <c r="X51">
        <v>1295</v>
      </c>
      <c r="Y51">
        <v>2600</v>
      </c>
      <c r="Z51" s="6">
        <v>580</v>
      </c>
      <c r="AA51">
        <v>1305</v>
      </c>
      <c r="AB51">
        <v>68</v>
      </c>
      <c r="AC51" s="6">
        <v>137</v>
      </c>
      <c r="AD51" s="6">
        <v>418</v>
      </c>
      <c r="AE51" s="6">
        <v>400</v>
      </c>
      <c r="AF51" s="6">
        <v>985</v>
      </c>
    </row>
    <row r="52" spans="1:32" x14ac:dyDescent="0.3">
      <c r="A52" s="3" t="s">
        <v>33</v>
      </c>
      <c r="B52" s="5">
        <v>7198.97</v>
      </c>
      <c r="C52">
        <v>9450</v>
      </c>
      <c r="D52">
        <v>4370</v>
      </c>
      <c r="E52">
        <v>5400</v>
      </c>
      <c r="F52">
        <v>4530</v>
      </c>
      <c r="G52">
        <v>2830</v>
      </c>
      <c r="H52">
        <v>4700</v>
      </c>
      <c r="I52">
        <v>11125</v>
      </c>
      <c r="J52">
        <v>7875</v>
      </c>
      <c r="K52">
        <v>2290</v>
      </c>
      <c r="L52">
        <v>22525</v>
      </c>
      <c r="M52">
        <v>3030</v>
      </c>
      <c r="N52">
        <v>2040</v>
      </c>
      <c r="O52">
        <v>1825</v>
      </c>
      <c r="P52" s="6">
        <v>580</v>
      </c>
      <c r="Q52">
        <v>2180</v>
      </c>
      <c r="R52">
        <v>1570</v>
      </c>
      <c r="S52">
        <v>4840</v>
      </c>
      <c r="T52">
        <v>1675</v>
      </c>
      <c r="U52">
        <v>2840</v>
      </c>
      <c r="V52">
        <v>21900</v>
      </c>
      <c r="W52" s="6">
        <v>1350</v>
      </c>
      <c r="X52">
        <v>1290</v>
      </c>
      <c r="Y52">
        <v>2550</v>
      </c>
      <c r="Z52" s="6">
        <v>590</v>
      </c>
      <c r="AA52">
        <v>1350</v>
      </c>
      <c r="AB52">
        <v>66</v>
      </c>
      <c r="AC52" s="6">
        <v>138</v>
      </c>
      <c r="AD52" s="6">
        <v>416</v>
      </c>
      <c r="AE52" s="6">
        <v>396</v>
      </c>
      <c r="AF52" s="6">
        <v>985</v>
      </c>
    </row>
    <row r="53" spans="1:32" x14ac:dyDescent="0.3">
      <c r="A53" s="4" t="s">
        <v>34</v>
      </c>
      <c r="B53" s="5">
        <v>7175.82</v>
      </c>
      <c r="C53">
        <v>9400</v>
      </c>
      <c r="D53">
        <v>4450</v>
      </c>
      <c r="E53">
        <v>5300</v>
      </c>
      <c r="F53">
        <v>4490</v>
      </c>
      <c r="G53">
        <v>2820</v>
      </c>
      <c r="H53">
        <v>4850</v>
      </c>
      <c r="I53">
        <v>10900</v>
      </c>
      <c r="J53">
        <v>7875</v>
      </c>
      <c r="K53">
        <v>2200</v>
      </c>
      <c r="L53">
        <v>22575</v>
      </c>
      <c r="M53">
        <v>3110</v>
      </c>
      <c r="N53">
        <v>2020</v>
      </c>
      <c r="O53">
        <v>1820</v>
      </c>
      <c r="P53" s="6">
        <v>585</v>
      </c>
      <c r="Q53">
        <v>2200</v>
      </c>
      <c r="R53">
        <v>1515</v>
      </c>
      <c r="S53">
        <v>4840</v>
      </c>
      <c r="T53">
        <v>1605</v>
      </c>
      <c r="U53">
        <v>2810</v>
      </c>
      <c r="V53">
        <v>22450</v>
      </c>
      <c r="W53" s="6">
        <v>1260</v>
      </c>
      <c r="X53">
        <v>1275</v>
      </c>
      <c r="Y53">
        <v>2430</v>
      </c>
      <c r="Z53" s="6">
        <v>575</v>
      </c>
      <c r="AA53">
        <v>1300</v>
      </c>
      <c r="AB53">
        <v>64</v>
      </c>
      <c r="AC53" s="6">
        <v>137</v>
      </c>
      <c r="AD53" s="6">
        <v>404</v>
      </c>
      <c r="AE53" s="6">
        <v>400</v>
      </c>
      <c r="AF53" s="6">
        <v>985</v>
      </c>
    </row>
    <row r="54" spans="1:32" x14ac:dyDescent="0.3">
      <c r="A54" s="1">
        <v>45694</v>
      </c>
      <c r="B54" s="5">
        <v>7065.07</v>
      </c>
      <c r="C54">
        <v>9100</v>
      </c>
      <c r="D54">
        <v>4200</v>
      </c>
      <c r="E54">
        <v>5075</v>
      </c>
      <c r="F54">
        <v>4370</v>
      </c>
      <c r="G54">
        <v>2780</v>
      </c>
      <c r="H54">
        <v>4780</v>
      </c>
      <c r="I54">
        <v>10800</v>
      </c>
      <c r="J54">
        <v>7675</v>
      </c>
      <c r="K54">
        <v>2130</v>
      </c>
      <c r="L54">
        <v>22225</v>
      </c>
      <c r="M54">
        <v>3320</v>
      </c>
      <c r="N54">
        <v>2120</v>
      </c>
      <c r="O54">
        <v>1820</v>
      </c>
      <c r="P54" s="6">
        <v>570</v>
      </c>
      <c r="Q54">
        <v>2180</v>
      </c>
      <c r="R54">
        <v>1560</v>
      </c>
      <c r="S54">
        <v>4890</v>
      </c>
      <c r="T54">
        <v>1575</v>
      </c>
      <c r="U54">
        <v>2760</v>
      </c>
      <c r="V54">
        <v>21900</v>
      </c>
      <c r="W54" s="6">
        <v>1250</v>
      </c>
      <c r="X54">
        <v>1235</v>
      </c>
      <c r="Y54">
        <v>2530</v>
      </c>
      <c r="Z54" s="6">
        <v>550</v>
      </c>
      <c r="AA54">
        <v>1285</v>
      </c>
      <c r="AB54">
        <v>62</v>
      </c>
      <c r="AC54" s="6">
        <v>136</v>
      </c>
      <c r="AD54" s="6">
        <v>410</v>
      </c>
      <c r="AE54" s="6">
        <v>388</v>
      </c>
      <c r="AF54" s="6">
        <v>975</v>
      </c>
    </row>
    <row r="55" spans="1:32" x14ac:dyDescent="0.3">
      <c r="A55" s="2">
        <v>45722</v>
      </c>
      <c r="B55" s="5">
        <v>7044.82</v>
      </c>
      <c r="C55">
        <v>9050</v>
      </c>
      <c r="D55">
        <v>4200</v>
      </c>
      <c r="E55">
        <v>5050</v>
      </c>
      <c r="F55">
        <v>4370</v>
      </c>
      <c r="G55">
        <v>2800</v>
      </c>
      <c r="H55">
        <v>4700</v>
      </c>
      <c r="I55">
        <v>10625</v>
      </c>
      <c r="J55">
        <v>7825</v>
      </c>
      <c r="K55">
        <v>2100</v>
      </c>
      <c r="L55">
        <v>22200</v>
      </c>
      <c r="M55">
        <v>3360</v>
      </c>
      <c r="N55">
        <v>2070</v>
      </c>
      <c r="O55">
        <v>1855</v>
      </c>
      <c r="P55" s="6">
        <v>550</v>
      </c>
      <c r="Q55">
        <v>2160</v>
      </c>
      <c r="R55">
        <v>1550</v>
      </c>
      <c r="S55">
        <v>4790</v>
      </c>
      <c r="T55">
        <v>1580</v>
      </c>
      <c r="U55">
        <v>2830</v>
      </c>
      <c r="V55">
        <v>21400</v>
      </c>
      <c r="W55" s="6">
        <v>1290</v>
      </c>
      <c r="X55">
        <v>1265</v>
      </c>
      <c r="Y55">
        <v>2620</v>
      </c>
      <c r="Z55" s="6">
        <v>550</v>
      </c>
      <c r="AA55">
        <v>1270</v>
      </c>
      <c r="AB55">
        <v>62</v>
      </c>
      <c r="AC55" s="6">
        <v>136</v>
      </c>
      <c r="AD55" s="6">
        <v>406</v>
      </c>
      <c r="AE55" s="6">
        <v>384</v>
      </c>
      <c r="AF55" s="6">
        <v>975</v>
      </c>
    </row>
    <row r="56" spans="1:32" x14ac:dyDescent="0.3">
      <c r="A56" s="1">
        <v>45753</v>
      </c>
      <c r="B56" s="5">
        <v>7069.04</v>
      </c>
      <c r="C56">
        <v>8975</v>
      </c>
      <c r="D56">
        <v>4080</v>
      </c>
      <c r="E56">
        <v>5025</v>
      </c>
      <c r="F56">
        <v>4300</v>
      </c>
      <c r="G56">
        <v>2820</v>
      </c>
      <c r="H56">
        <v>4610</v>
      </c>
      <c r="I56">
        <v>10825</v>
      </c>
      <c r="J56">
        <v>8225</v>
      </c>
      <c r="K56">
        <v>2100</v>
      </c>
      <c r="L56">
        <v>22300</v>
      </c>
      <c r="M56">
        <v>3550</v>
      </c>
      <c r="N56">
        <v>2240</v>
      </c>
      <c r="O56">
        <v>1840</v>
      </c>
      <c r="P56" s="6">
        <v>555</v>
      </c>
      <c r="Q56">
        <v>2190</v>
      </c>
      <c r="R56">
        <v>1600</v>
      </c>
      <c r="S56">
        <v>4940</v>
      </c>
      <c r="T56">
        <v>1550</v>
      </c>
      <c r="U56">
        <v>2790</v>
      </c>
      <c r="V56">
        <v>21400</v>
      </c>
      <c r="W56" s="6">
        <v>1290</v>
      </c>
      <c r="X56">
        <v>1235</v>
      </c>
      <c r="Y56">
        <v>2550</v>
      </c>
      <c r="Z56" s="6">
        <v>545</v>
      </c>
      <c r="AA56">
        <v>1270</v>
      </c>
      <c r="AB56">
        <v>62</v>
      </c>
      <c r="AC56" s="6">
        <v>139</v>
      </c>
      <c r="AD56" s="6">
        <v>410</v>
      </c>
      <c r="AE56" s="6">
        <v>386</v>
      </c>
      <c r="AF56" s="6">
        <v>975</v>
      </c>
    </row>
    <row r="57" spans="1:32" x14ac:dyDescent="0.3">
      <c r="A57" s="2">
        <v>45783</v>
      </c>
      <c r="B57" s="5">
        <v>7113.42</v>
      </c>
      <c r="C57">
        <v>8925</v>
      </c>
      <c r="D57">
        <v>4100</v>
      </c>
      <c r="E57">
        <v>5075</v>
      </c>
      <c r="F57">
        <v>4420</v>
      </c>
      <c r="G57">
        <v>2840</v>
      </c>
      <c r="H57">
        <v>4610</v>
      </c>
      <c r="I57">
        <v>10700</v>
      </c>
      <c r="J57">
        <v>8150</v>
      </c>
      <c r="K57">
        <v>2120</v>
      </c>
      <c r="L57">
        <v>22200</v>
      </c>
      <c r="M57">
        <v>3450</v>
      </c>
      <c r="N57">
        <v>2160</v>
      </c>
      <c r="O57">
        <v>1835</v>
      </c>
      <c r="P57" s="6">
        <v>530</v>
      </c>
      <c r="Q57">
        <v>2200</v>
      </c>
      <c r="R57">
        <v>1600</v>
      </c>
      <c r="S57">
        <v>4860</v>
      </c>
      <c r="T57">
        <v>1550</v>
      </c>
      <c r="U57">
        <v>2740</v>
      </c>
      <c r="V57">
        <v>21425</v>
      </c>
      <c r="W57" s="6">
        <v>1510</v>
      </c>
      <c r="X57">
        <v>1210</v>
      </c>
      <c r="Y57">
        <v>2540</v>
      </c>
      <c r="Z57" s="6">
        <v>535</v>
      </c>
      <c r="AA57">
        <v>1260</v>
      </c>
      <c r="AB57">
        <v>61</v>
      </c>
      <c r="AC57" s="6">
        <v>137</v>
      </c>
      <c r="AD57" s="6">
        <v>406</v>
      </c>
      <c r="AE57" s="6">
        <v>384</v>
      </c>
      <c r="AF57" s="6">
        <v>985</v>
      </c>
    </row>
    <row r="58" spans="1:32" x14ac:dyDescent="0.3">
      <c r="A58" s="1">
        <v>45936</v>
      </c>
      <c r="B58" s="5">
        <v>7230.75</v>
      </c>
      <c r="C58">
        <v>9100</v>
      </c>
      <c r="D58">
        <v>4150</v>
      </c>
      <c r="E58">
        <v>5250</v>
      </c>
      <c r="F58">
        <v>4520</v>
      </c>
      <c r="G58">
        <v>2910</v>
      </c>
      <c r="H58">
        <v>4600</v>
      </c>
      <c r="I58">
        <v>10650</v>
      </c>
      <c r="J58">
        <v>8200</v>
      </c>
      <c r="K58">
        <v>2110</v>
      </c>
      <c r="L58">
        <v>22450</v>
      </c>
      <c r="M58">
        <v>3260</v>
      </c>
      <c r="N58">
        <v>2140</v>
      </c>
      <c r="O58">
        <v>1875</v>
      </c>
      <c r="P58" s="6">
        <v>525</v>
      </c>
      <c r="Q58">
        <v>2180</v>
      </c>
      <c r="R58">
        <v>1580</v>
      </c>
      <c r="S58">
        <v>4830</v>
      </c>
      <c r="T58">
        <v>1600</v>
      </c>
      <c r="U58">
        <v>2870</v>
      </c>
      <c r="V58">
        <v>21475</v>
      </c>
      <c r="W58" s="6">
        <v>1505</v>
      </c>
      <c r="X58">
        <v>1220</v>
      </c>
      <c r="Y58">
        <v>2520</v>
      </c>
      <c r="Z58" s="6">
        <v>545</v>
      </c>
      <c r="AA58">
        <v>1280</v>
      </c>
      <c r="AB58">
        <v>66</v>
      </c>
      <c r="AC58" s="6">
        <v>140</v>
      </c>
      <c r="AD58" s="6">
        <v>422</v>
      </c>
      <c r="AE58" s="6">
        <v>382</v>
      </c>
      <c r="AF58" s="6">
        <v>995</v>
      </c>
    </row>
    <row r="59" spans="1:32" x14ac:dyDescent="0.3">
      <c r="A59" s="2">
        <v>45967</v>
      </c>
      <c r="B59" s="5">
        <v>7222.46</v>
      </c>
      <c r="C59">
        <v>9050</v>
      </c>
      <c r="D59">
        <v>4070</v>
      </c>
      <c r="E59">
        <v>5200</v>
      </c>
      <c r="F59">
        <v>4540</v>
      </c>
      <c r="G59">
        <v>2800</v>
      </c>
      <c r="H59">
        <v>4610</v>
      </c>
      <c r="I59">
        <v>10700</v>
      </c>
      <c r="J59">
        <v>8500</v>
      </c>
      <c r="K59">
        <v>2120</v>
      </c>
      <c r="L59">
        <v>22600</v>
      </c>
      <c r="M59">
        <v>3280</v>
      </c>
      <c r="N59">
        <v>2230</v>
      </c>
      <c r="O59">
        <v>1885</v>
      </c>
      <c r="P59" s="6">
        <v>550</v>
      </c>
      <c r="Q59">
        <v>2220</v>
      </c>
      <c r="R59">
        <v>1540</v>
      </c>
      <c r="S59">
        <v>4920</v>
      </c>
      <c r="T59">
        <v>1625</v>
      </c>
      <c r="U59">
        <v>2830</v>
      </c>
      <c r="V59">
        <v>21625</v>
      </c>
      <c r="W59" s="6">
        <v>1495</v>
      </c>
      <c r="X59">
        <v>1250</v>
      </c>
      <c r="Y59">
        <v>2480</v>
      </c>
      <c r="Z59" s="6">
        <v>555</v>
      </c>
      <c r="AA59">
        <v>1260</v>
      </c>
      <c r="AB59">
        <v>68</v>
      </c>
      <c r="AC59" s="6">
        <v>142</v>
      </c>
      <c r="AD59" s="6">
        <v>420</v>
      </c>
      <c r="AE59" s="6">
        <v>392</v>
      </c>
      <c r="AF59" s="6">
        <v>1.0049999999999999</v>
      </c>
    </row>
    <row r="60" spans="1:32" x14ac:dyDescent="0.3">
      <c r="A60" s="1">
        <v>45997</v>
      </c>
      <c r="B60" s="5">
        <v>7204.37</v>
      </c>
      <c r="C60">
        <v>9125</v>
      </c>
      <c r="D60">
        <v>4070</v>
      </c>
      <c r="E60">
        <v>5175</v>
      </c>
      <c r="F60">
        <v>4540</v>
      </c>
      <c r="G60">
        <v>2780</v>
      </c>
      <c r="H60">
        <v>4560</v>
      </c>
      <c r="I60">
        <v>10675</v>
      </c>
      <c r="J60">
        <v>8225</v>
      </c>
      <c r="K60">
        <v>2120</v>
      </c>
      <c r="L60">
        <v>22675</v>
      </c>
      <c r="M60">
        <v>3170</v>
      </c>
      <c r="N60">
        <v>2190</v>
      </c>
      <c r="O60">
        <v>1680</v>
      </c>
      <c r="P60" s="6">
        <v>545</v>
      </c>
      <c r="Q60">
        <v>2190</v>
      </c>
      <c r="R60">
        <v>1535</v>
      </c>
      <c r="S60">
        <v>4970</v>
      </c>
      <c r="T60">
        <v>1595</v>
      </c>
      <c r="U60">
        <v>2920</v>
      </c>
      <c r="V60">
        <v>21625</v>
      </c>
      <c r="W60" s="6">
        <v>1485</v>
      </c>
      <c r="X60">
        <v>1285</v>
      </c>
      <c r="Y60">
        <v>2480</v>
      </c>
      <c r="Z60" s="6">
        <v>545</v>
      </c>
      <c r="AA60">
        <v>1265</v>
      </c>
      <c r="AB60">
        <v>67</v>
      </c>
      <c r="AC60" s="6">
        <v>142</v>
      </c>
      <c r="AD60" s="6">
        <v>422</v>
      </c>
      <c r="AE60" s="6">
        <v>394</v>
      </c>
      <c r="AF60" s="6">
        <v>975</v>
      </c>
    </row>
    <row r="61" spans="1:32" x14ac:dyDescent="0.3">
      <c r="A61" s="4" t="s">
        <v>35</v>
      </c>
      <c r="B61" s="5">
        <v>7166.06</v>
      </c>
      <c r="C61">
        <v>9025</v>
      </c>
      <c r="D61">
        <v>4000</v>
      </c>
      <c r="E61">
        <v>5150</v>
      </c>
      <c r="F61">
        <v>4540</v>
      </c>
      <c r="G61">
        <v>2740</v>
      </c>
      <c r="H61">
        <v>4570</v>
      </c>
      <c r="I61">
        <v>10600</v>
      </c>
      <c r="J61">
        <v>8325</v>
      </c>
      <c r="K61">
        <v>1995</v>
      </c>
      <c r="L61">
        <v>22950</v>
      </c>
      <c r="M61">
        <v>3300</v>
      </c>
      <c r="N61">
        <v>2230</v>
      </c>
      <c r="O61">
        <v>1670</v>
      </c>
      <c r="P61" s="6">
        <v>535</v>
      </c>
      <c r="Q61">
        <v>2190</v>
      </c>
      <c r="R61">
        <v>1530</v>
      </c>
      <c r="S61">
        <v>4900</v>
      </c>
      <c r="T61">
        <v>1580</v>
      </c>
      <c r="U61">
        <v>2900</v>
      </c>
      <c r="V61">
        <v>21975</v>
      </c>
      <c r="W61" s="6">
        <v>1525</v>
      </c>
      <c r="X61">
        <v>1315</v>
      </c>
      <c r="Y61">
        <v>2440</v>
      </c>
      <c r="Z61" s="6">
        <v>530</v>
      </c>
      <c r="AA61">
        <v>1260</v>
      </c>
      <c r="AB61">
        <v>64</v>
      </c>
      <c r="AC61" s="6">
        <v>138</v>
      </c>
      <c r="AD61" s="6">
        <v>412</v>
      </c>
      <c r="AE61" s="6">
        <v>386</v>
      </c>
      <c r="AF61" s="6">
        <v>990</v>
      </c>
    </row>
    <row r="62" spans="1:32" x14ac:dyDescent="0.3">
      <c r="A62" s="3" t="s">
        <v>36</v>
      </c>
      <c r="B62" s="5">
        <v>7117.59</v>
      </c>
      <c r="C62">
        <v>8925</v>
      </c>
      <c r="D62">
        <v>3990</v>
      </c>
      <c r="E62">
        <v>5150</v>
      </c>
      <c r="F62">
        <v>4400</v>
      </c>
      <c r="G62">
        <v>2740</v>
      </c>
      <c r="H62">
        <v>4610</v>
      </c>
      <c r="I62">
        <v>10575</v>
      </c>
      <c r="J62">
        <v>8225</v>
      </c>
      <c r="K62">
        <v>2000</v>
      </c>
      <c r="L62">
        <v>23600</v>
      </c>
      <c r="M62">
        <v>3280</v>
      </c>
      <c r="N62">
        <v>2200</v>
      </c>
      <c r="O62">
        <v>1685</v>
      </c>
      <c r="P62" s="6">
        <v>530</v>
      </c>
      <c r="Q62">
        <v>2220</v>
      </c>
      <c r="R62">
        <v>1530</v>
      </c>
      <c r="S62">
        <v>4800</v>
      </c>
      <c r="T62">
        <v>1550</v>
      </c>
      <c r="U62">
        <v>2880</v>
      </c>
      <c r="V62">
        <v>22100</v>
      </c>
      <c r="W62" s="6">
        <v>1560</v>
      </c>
      <c r="X62">
        <v>1280</v>
      </c>
      <c r="Y62">
        <v>2400</v>
      </c>
      <c r="Z62" s="6">
        <v>525</v>
      </c>
      <c r="AA62">
        <v>1210</v>
      </c>
      <c r="AB62">
        <v>64</v>
      </c>
      <c r="AC62" s="6">
        <v>135</v>
      </c>
      <c r="AD62" s="6">
        <v>402</v>
      </c>
      <c r="AE62" s="6">
        <v>380</v>
      </c>
      <c r="AF62" s="6">
        <v>960</v>
      </c>
    </row>
    <row r="63" spans="1:32" x14ac:dyDescent="0.3">
      <c r="A63" s="4" t="s">
        <v>37</v>
      </c>
      <c r="B63" s="5">
        <v>7155.85</v>
      </c>
      <c r="C63">
        <v>9075</v>
      </c>
      <c r="D63">
        <v>3960</v>
      </c>
      <c r="E63">
        <v>5100</v>
      </c>
      <c r="F63">
        <v>4360</v>
      </c>
      <c r="G63">
        <v>2760</v>
      </c>
      <c r="H63">
        <v>4600</v>
      </c>
      <c r="I63">
        <v>10625</v>
      </c>
      <c r="J63">
        <v>8200</v>
      </c>
      <c r="K63">
        <v>2000</v>
      </c>
      <c r="L63">
        <v>23425</v>
      </c>
      <c r="M63">
        <v>3470</v>
      </c>
      <c r="N63">
        <v>2250</v>
      </c>
      <c r="O63">
        <v>1685</v>
      </c>
      <c r="P63" s="6">
        <v>535</v>
      </c>
      <c r="Q63">
        <v>2240</v>
      </c>
      <c r="R63">
        <v>1595</v>
      </c>
      <c r="S63">
        <v>4860</v>
      </c>
      <c r="T63">
        <v>1560</v>
      </c>
      <c r="U63">
        <v>2910</v>
      </c>
      <c r="V63">
        <v>21850</v>
      </c>
      <c r="W63" s="6">
        <v>1525</v>
      </c>
      <c r="X63">
        <v>1295</v>
      </c>
      <c r="Y63">
        <v>2310</v>
      </c>
      <c r="Z63" s="6">
        <v>540</v>
      </c>
      <c r="AA63">
        <v>1225</v>
      </c>
      <c r="AB63">
        <v>64</v>
      </c>
      <c r="AC63" s="6">
        <v>143</v>
      </c>
      <c r="AD63" s="6">
        <v>406</v>
      </c>
      <c r="AE63" s="6">
        <v>388</v>
      </c>
      <c r="AF63" s="6">
        <v>990</v>
      </c>
    </row>
    <row r="64" spans="1:32" x14ac:dyDescent="0.3">
      <c r="A64" s="3" t="s">
        <v>38</v>
      </c>
      <c r="B64" s="5">
        <v>7107.79</v>
      </c>
      <c r="C64">
        <v>8900</v>
      </c>
      <c r="D64">
        <v>3940</v>
      </c>
      <c r="E64">
        <v>5075</v>
      </c>
      <c r="F64">
        <v>4300</v>
      </c>
      <c r="G64">
        <v>2770</v>
      </c>
      <c r="H64">
        <v>4590</v>
      </c>
      <c r="I64">
        <v>10650</v>
      </c>
      <c r="J64">
        <v>8125</v>
      </c>
      <c r="K64">
        <v>1990</v>
      </c>
      <c r="L64">
        <v>23575</v>
      </c>
      <c r="M64">
        <v>3550</v>
      </c>
      <c r="N64">
        <v>2240</v>
      </c>
      <c r="O64">
        <v>1670</v>
      </c>
      <c r="P64" s="6">
        <v>510</v>
      </c>
      <c r="Q64">
        <v>2220</v>
      </c>
      <c r="R64">
        <v>1550</v>
      </c>
      <c r="S64">
        <v>4790</v>
      </c>
      <c r="T64">
        <v>1550</v>
      </c>
      <c r="U64">
        <v>2870</v>
      </c>
      <c r="V64">
        <v>21800</v>
      </c>
      <c r="W64" s="6">
        <v>1540</v>
      </c>
      <c r="X64">
        <v>1305</v>
      </c>
      <c r="Y64">
        <v>2330</v>
      </c>
      <c r="Z64" s="6">
        <v>540</v>
      </c>
      <c r="AA64">
        <v>1245</v>
      </c>
      <c r="AB64">
        <v>63</v>
      </c>
      <c r="AC64" s="6">
        <v>139</v>
      </c>
      <c r="AD64" s="6">
        <v>402</v>
      </c>
      <c r="AE64" s="6">
        <v>388</v>
      </c>
      <c r="AF64" s="6">
        <v>970</v>
      </c>
    </row>
    <row r="65" spans="1:32" x14ac:dyDescent="0.3">
      <c r="A65" s="4" t="s">
        <v>39</v>
      </c>
      <c r="B65" s="5">
        <v>6968.64</v>
      </c>
      <c r="C65">
        <v>8775</v>
      </c>
      <c r="D65">
        <v>3800</v>
      </c>
      <c r="E65">
        <v>4970</v>
      </c>
      <c r="F65">
        <v>4130</v>
      </c>
      <c r="G65">
        <v>2690</v>
      </c>
      <c r="H65">
        <v>4530</v>
      </c>
      <c r="I65">
        <v>10450</v>
      </c>
      <c r="J65">
        <v>8050</v>
      </c>
      <c r="K65">
        <v>1925</v>
      </c>
      <c r="L65">
        <v>22775</v>
      </c>
      <c r="M65">
        <v>3330</v>
      </c>
      <c r="N65">
        <v>2140</v>
      </c>
      <c r="O65">
        <v>1645</v>
      </c>
      <c r="P65" s="6">
        <v>500</v>
      </c>
      <c r="Q65">
        <v>2230</v>
      </c>
      <c r="R65">
        <v>1515</v>
      </c>
      <c r="S65">
        <v>4710</v>
      </c>
      <c r="T65">
        <v>1525</v>
      </c>
      <c r="U65">
        <v>2730</v>
      </c>
      <c r="V65">
        <v>21450</v>
      </c>
      <c r="W65" s="6">
        <v>1485</v>
      </c>
      <c r="X65">
        <v>1275</v>
      </c>
      <c r="Y65">
        <v>2290</v>
      </c>
      <c r="Z65" s="6">
        <v>520</v>
      </c>
      <c r="AA65">
        <v>1185</v>
      </c>
      <c r="AB65">
        <v>61</v>
      </c>
      <c r="AC65" s="6">
        <v>137</v>
      </c>
      <c r="AD65" s="6">
        <v>386</v>
      </c>
      <c r="AE65" s="6">
        <v>380</v>
      </c>
      <c r="AF65" s="6">
        <v>970</v>
      </c>
    </row>
    <row r="66" spans="1:32" x14ac:dyDescent="0.3">
      <c r="A66" s="3" t="s">
        <v>40</v>
      </c>
      <c r="B66" s="5">
        <v>6907.14</v>
      </c>
      <c r="C66">
        <v>8700</v>
      </c>
      <c r="D66">
        <v>3790</v>
      </c>
      <c r="E66">
        <v>4930</v>
      </c>
      <c r="F66">
        <v>4110</v>
      </c>
      <c r="G66">
        <v>2640</v>
      </c>
      <c r="H66">
        <v>4490</v>
      </c>
      <c r="I66">
        <v>10425</v>
      </c>
      <c r="J66">
        <v>8050</v>
      </c>
      <c r="K66">
        <v>1860</v>
      </c>
      <c r="L66">
        <v>22375</v>
      </c>
      <c r="M66">
        <v>3200</v>
      </c>
      <c r="N66">
        <v>2020</v>
      </c>
      <c r="O66">
        <v>1590</v>
      </c>
      <c r="P66" s="6">
        <v>486</v>
      </c>
      <c r="Q66">
        <v>2240</v>
      </c>
      <c r="R66">
        <v>1500</v>
      </c>
      <c r="S66">
        <v>4650</v>
      </c>
      <c r="T66">
        <v>1500</v>
      </c>
      <c r="U66">
        <v>2680</v>
      </c>
      <c r="V66">
        <v>21450</v>
      </c>
      <c r="W66" s="6">
        <v>1500</v>
      </c>
      <c r="X66">
        <v>1215</v>
      </c>
      <c r="Y66">
        <v>2280</v>
      </c>
      <c r="Z66" s="6">
        <v>515</v>
      </c>
      <c r="AA66">
        <v>1170</v>
      </c>
      <c r="AB66">
        <v>59</v>
      </c>
      <c r="AC66" s="6">
        <v>132</v>
      </c>
      <c r="AD66" s="6">
        <v>380</v>
      </c>
      <c r="AE66" s="6">
        <v>376</v>
      </c>
      <c r="AF66" s="6">
        <v>960</v>
      </c>
    </row>
    <row r="67" spans="1:32" x14ac:dyDescent="0.3">
      <c r="A67" s="4" t="s">
        <v>41</v>
      </c>
      <c r="B67" s="5">
        <v>6787.14</v>
      </c>
      <c r="C67">
        <v>8625</v>
      </c>
      <c r="D67">
        <v>3720</v>
      </c>
      <c r="E67">
        <v>4920</v>
      </c>
      <c r="F67">
        <v>4060</v>
      </c>
      <c r="G67">
        <v>2580</v>
      </c>
      <c r="H67">
        <v>4430</v>
      </c>
      <c r="I67">
        <v>9950</v>
      </c>
      <c r="J67">
        <v>7925</v>
      </c>
      <c r="K67">
        <v>1800</v>
      </c>
      <c r="L67">
        <v>22325</v>
      </c>
      <c r="M67">
        <v>3190</v>
      </c>
      <c r="N67">
        <v>2040</v>
      </c>
      <c r="O67">
        <v>1615</v>
      </c>
      <c r="P67" s="6">
        <v>480</v>
      </c>
      <c r="Q67">
        <v>2250</v>
      </c>
      <c r="R67">
        <v>1430</v>
      </c>
      <c r="S67">
        <v>4410</v>
      </c>
      <c r="T67">
        <v>1445</v>
      </c>
      <c r="U67">
        <v>2530</v>
      </c>
      <c r="V67">
        <v>20900</v>
      </c>
      <c r="W67" s="6">
        <v>1500</v>
      </c>
      <c r="X67">
        <v>1260</v>
      </c>
      <c r="Y67">
        <v>2230</v>
      </c>
      <c r="Z67" s="6">
        <v>496</v>
      </c>
      <c r="AA67">
        <v>1095</v>
      </c>
      <c r="AB67">
        <v>57</v>
      </c>
      <c r="AC67" s="6">
        <v>127</v>
      </c>
      <c r="AD67" s="6">
        <v>366</v>
      </c>
      <c r="AE67" s="6">
        <v>358</v>
      </c>
      <c r="AF67" s="6">
        <v>880</v>
      </c>
    </row>
    <row r="68" spans="1:32" x14ac:dyDescent="0.3">
      <c r="A68" s="3" t="s">
        <v>42</v>
      </c>
      <c r="B68" s="5">
        <v>6869.17</v>
      </c>
      <c r="C68">
        <v>8775</v>
      </c>
      <c r="D68">
        <v>3780</v>
      </c>
      <c r="E68">
        <v>5025</v>
      </c>
      <c r="F68">
        <v>4140</v>
      </c>
      <c r="G68">
        <v>2590</v>
      </c>
      <c r="H68">
        <v>4470</v>
      </c>
      <c r="I68">
        <v>10225</v>
      </c>
      <c r="J68">
        <v>7925</v>
      </c>
      <c r="K68">
        <v>1815</v>
      </c>
      <c r="L68">
        <v>22200</v>
      </c>
      <c r="M68">
        <v>3090</v>
      </c>
      <c r="N68">
        <v>1995</v>
      </c>
      <c r="O68">
        <v>1585</v>
      </c>
      <c r="P68" s="6">
        <v>488</v>
      </c>
      <c r="Q68">
        <v>2220</v>
      </c>
      <c r="R68">
        <v>1495</v>
      </c>
      <c r="S68">
        <v>4590</v>
      </c>
      <c r="T68">
        <v>1455</v>
      </c>
      <c r="U68">
        <v>2600</v>
      </c>
      <c r="V68">
        <v>21175</v>
      </c>
      <c r="W68" s="6">
        <v>1520</v>
      </c>
      <c r="X68">
        <v>1210</v>
      </c>
      <c r="Y68">
        <v>2260</v>
      </c>
      <c r="Z68" s="6">
        <v>510</v>
      </c>
      <c r="AA68">
        <v>1155</v>
      </c>
      <c r="AB68">
        <v>57</v>
      </c>
      <c r="AC68" s="6">
        <v>129</v>
      </c>
      <c r="AD68" s="6">
        <v>378</v>
      </c>
      <c r="AE68" s="6">
        <v>378</v>
      </c>
      <c r="AF68" s="6">
        <v>950</v>
      </c>
    </row>
    <row r="69" spans="1:32" x14ac:dyDescent="0.3">
      <c r="A69" s="4" t="s">
        <v>43</v>
      </c>
      <c r="B69" s="5">
        <v>6832.14</v>
      </c>
      <c r="C69">
        <v>8600</v>
      </c>
      <c r="D69">
        <v>3760</v>
      </c>
      <c r="E69">
        <v>4880</v>
      </c>
      <c r="F69">
        <v>4110</v>
      </c>
      <c r="G69">
        <v>2620</v>
      </c>
      <c r="H69">
        <v>4470</v>
      </c>
      <c r="I69">
        <v>10225</v>
      </c>
      <c r="J69">
        <v>8050</v>
      </c>
      <c r="K69">
        <v>1785</v>
      </c>
      <c r="L69">
        <v>22100</v>
      </c>
      <c r="M69">
        <v>2930</v>
      </c>
      <c r="N69">
        <v>1805</v>
      </c>
      <c r="O69">
        <v>1530</v>
      </c>
      <c r="P69" s="6">
        <v>494</v>
      </c>
      <c r="Q69">
        <v>2250</v>
      </c>
      <c r="R69">
        <v>1540</v>
      </c>
      <c r="S69">
        <v>4610</v>
      </c>
      <c r="T69">
        <v>1425</v>
      </c>
      <c r="U69">
        <v>2600</v>
      </c>
      <c r="V69">
        <v>21100</v>
      </c>
      <c r="W69" s="6">
        <v>1585</v>
      </c>
      <c r="X69">
        <v>1155</v>
      </c>
      <c r="Y69">
        <v>2280</v>
      </c>
      <c r="Z69" s="6">
        <v>515</v>
      </c>
      <c r="AA69">
        <v>1110</v>
      </c>
      <c r="AB69">
        <v>59</v>
      </c>
      <c r="AC69" s="6">
        <v>126</v>
      </c>
      <c r="AD69" s="6">
        <v>368</v>
      </c>
      <c r="AE69" s="6">
        <v>374</v>
      </c>
      <c r="AF69" s="6">
        <v>925</v>
      </c>
    </row>
    <row r="70" spans="1:32" x14ac:dyDescent="0.3">
      <c r="A70" s="3" t="s">
        <v>44</v>
      </c>
      <c r="B70" s="5">
        <v>6897.4</v>
      </c>
      <c r="C70">
        <v>8650</v>
      </c>
      <c r="D70">
        <v>3830</v>
      </c>
      <c r="E70">
        <v>5025</v>
      </c>
      <c r="F70">
        <v>4120</v>
      </c>
      <c r="G70">
        <v>2710</v>
      </c>
      <c r="H70">
        <v>4450</v>
      </c>
      <c r="I70">
        <v>10150</v>
      </c>
      <c r="J70">
        <v>8050</v>
      </c>
      <c r="K70">
        <v>1790</v>
      </c>
      <c r="L70">
        <v>22025</v>
      </c>
      <c r="M70">
        <v>2940</v>
      </c>
      <c r="N70">
        <v>1830</v>
      </c>
      <c r="O70">
        <v>1550</v>
      </c>
      <c r="P70" s="6">
        <v>496</v>
      </c>
      <c r="Q70">
        <v>2240</v>
      </c>
      <c r="R70">
        <v>1515</v>
      </c>
      <c r="S70">
        <v>4650</v>
      </c>
      <c r="T70">
        <v>1495</v>
      </c>
      <c r="U70">
        <v>2580</v>
      </c>
      <c r="V70">
        <v>21100</v>
      </c>
      <c r="W70" s="6">
        <v>1595</v>
      </c>
      <c r="X70">
        <v>1190</v>
      </c>
      <c r="Y70">
        <v>2320</v>
      </c>
      <c r="Z70" s="6">
        <v>494</v>
      </c>
      <c r="AA70">
        <v>1125</v>
      </c>
      <c r="AB70">
        <v>60</v>
      </c>
      <c r="AC70" s="6">
        <v>124</v>
      </c>
      <c r="AD70" s="6">
        <v>370</v>
      </c>
      <c r="AE70" s="6">
        <v>372</v>
      </c>
      <c r="AF70" s="6">
        <v>955</v>
      </c>
    </row>
    <row r="71" spans="1:32" x14ac:dyDescent="0.3">
      <c r="A71" s="4" t="s">
        <v>45</v>
      </c>
      <c r="B71" s="5">
        <v>6927.68</v>
      </c>
      <c r="C71">
        <v>8675</v>
      </c>
      <c r="D71">
        <v>3740</v>
      </c>
      <c r="E71">
        <v>4880</v>
      </c>
      <c r="F71">
        <v>4120</v>
      </c>
      <c r="G71">
        <v>2780</v>
      </c>
      <c r="H71">
        <v>4500</v>
      </c>
      <c r="I71">
        <v>10500</v>
      </c>
      <c r="J71">
        <v>8125</v>
      </c>
      <c r="K71">
        <v>1830</v>
      </c>
      <c r="L71">
        <v>22000</v>
      </c>
      <c r="M71">
        <v>3040</v>
      </c>
      <c r="N71">
        <v>2000</v>
      </c>
      <c r="O71">
        <v>1615</v>
      </c>
      <c r="P71" s="6">
        <v>494</v>
      </c>
      <c r="Q71">
        <v>2250</v>
      </c>
      <c r="R71">
        <v>1525</v>
      </c>
      <c r="S71">
        <v>4700</v>
      </c>
      <c r="T71">
        <v>1515</v>
      </c>
      <c r="U71">
        <v>2690</v>
      </c>
      <c r="V71">
        <v>21450</v>
      </c>
      <c r="W71" s="6">
        <v>1660</v>
      </c>
      <c r="X71">
        <v>1160</v>
      </c>
      <c r="Y71">
        <v>2390</v>
      </c>
      <c r="Z71" s="6">
        <v>496</v>
      </c>
      <c r="AA71">
        <v>1180</v>
      </c>
      <c r="AB71">
        <v>58</v>
      </c>
      <c r="AC71" s="6">
        <v>125</v>
      </c>
      <c r="AD71" s="6">
        <v>380</v>
      </c>
      <c r="AE71" s="6">
        <v>374</v>
      </c>
      <c r="AF71" s="6">
        <v>955</v>
      </c>
    </row>
    <row r="72" spans="1:32" x14ac:dyDescent="0.3">
      <c r="A72" s="1">
        <v>45664</v>
      </c>
      <c r="B72" s="5">
        <v>6915.36</v>
      </c>
      <c r="C72">
        <v>8700</v>
      </c>
      <c r="D72">
        <v>3700</v>
      </c>
      <c r="E72">
        <v>4750</v>
      </c>
      <c r="F72">
        <v>4010</v>
      </c>
      <c r="G72">
        <v>2810</v>
      </c>
      <c r="H72">
        <v>4450</v>
      </c>
      <c r="I72">
        <v>10625</v>
      </c>
      <c r="J72">
        <v>8200</v>
      </c>
      <c r="K72">
        <v>1830</v>
      </c>
      <c r="L72">
        <v>22075</v>
      </c>
      <c r="M72">
        <v>3070</v>
      </c>
      <c r="N72">
        <v>2030</v>
      </c>
      <c r="O72">
        <v>1585</v>
      </c>
      <c r="P72" s="6">
        <v>494</v>
      </c>
      <c r="Q72">
        <v>2310</v>
      </c>
      <c r="R72">
        <v>1520</v>
      </c>
      <c r="S72">
        <v>4660</v>
      </c>
      <c r="T72">
        <v>1435</v>
      </c>
      <c r="U72">
        <v>2650</v>
      </c>
      <c r="V72">
        <v>21475</v>
      </c>
      <c r="W72" s="6">
        <v>1655</v>
      </c>
      <c r="X72">
        <v>1170</v>
      </c>
      <c r="Y72">
        <v>2380</v>
      </c>
      <c r="Z72" s="6">
        <v>494</v>
      </c>
      <c r="AA72">
        <v>1220</v>
      </c>
      <c r="AB72">
        <v>59</v>
      </c>
      <c r="AC72" s="6">
        <v>125</v>
      </c>
      <c r="AD72" s="6">
        <v>376</v>
      </c>
      <c r="AE72" s="6">
        <v>372</v>
      </c>
      <c r="AF72" s="6">
        <v>965</v>
      </c>
    </row>
    <row r="73" spans="1:32" x14ac:dyDescent="0.3">
      <c r="A73" s="2">
        <v>45695</v>
      </c>
      <c r="B73" s="5">
        <v>6881.25</v>
      </c>
      <c r="C73">
        <v>8675</v>
      </c>
      <c r="D73">
        <v>3680</v>
      </c>
      <c r="E73">
        <v>4770</v>
      </c>
      <c r="F73">
        <v>4020</v>
      </c>
      <c r="G73">
        <v>2780</v>
      </c>
      <c r="H73">
        <v>4540</v>
      </c>
      <c r="I73">
        <v>10500</v>
      </c>
      <c r="J73">
        <v>7975</v>
      </c>
      <c r="K73">
        <v>1775</v>
      </c>
      <c r="L73">
        <v>22275</v>
      </c>
      <c r="M73">
        <v>2990</v>
      </c>
      <c r="N73">
        <v>1995</v>
      </c>
      <c r="O73">
        <v>1580</v>
      </c>
      <c r="P73" s="6">
        <v>550</v>
      </c>
      <c r="Q73">
        <v>2280</v>
      </c>
      <c r="R73">
        <v>1510</v>
      </c>
      <c r="S73">
        <v>4650</v>
      </c>
      <c r="T73">
        <v>1460</v>
      </c>
      <c r="U73">
        <v>2620</v>
      </c>
      <c r="V73">
        <v>21300</v>
      </c>
      <c r="W73" s="6">
        <v>1580</v>
      </c>
      <c r="X73">
        <v>1165</v>
      </c>
      <c r="Y73">
        <v>2410</v>
      </c>
      <c r="Z73" s="6">
        <v>488</v>
      </c>
      <c r="AA73">
        <v>1250</v>
      </c>
      <c r="AB73">
        <v>57</v>
      </c>
      <c r="AC73" s="6">
        <v>124</v>
      </c>
      <c r="AD73" s="6">
        <v>370</v>
      </c>
      <c r="AE73" s="6">
        <v>372</v>
      </c>
      <c r="AF73" s="6">
        <v>955</v>
      </c>
    </row>
    <row r="74" spans="1:32" x14ac:dyDescent="0.3">
      <c r="A74" s="1">
        <v>45723</v>
      </c>
      <c r="B74" s="5">
        <v>6878.05</v>
      </c>
      <c r="C74">
        <v>8600</v>
      </c>
      <c r="D74">
        <v>3680</v>
      </c>
      <c r="E74">
        <v>4740</v>
      </c>
      <c r="F74">
        <v>3970</v>
      </c>
      <c r="G74">
        <v>2710</v>
      </c>
      <c r="H74">
        <v>4570</v>
      </c>
      <c r="I74">
        <v>10750</v>
      </c>
      <c r="J74">
        <v>8100</v>
      </c>
      <c r="K74">
        <v>1760</v>
      </c>
      <c r="L74">
        <v>22075</v>
      </c>
      <c r="M74">
        <v>3120</v>
      </c>
      <c r="N74">
        <v>2090</v>
      </c>
      <c r="O74">
        <v>1595</v>
      </c>
      <c r="P74" s="6">
        <v>535</v>
      </c>
      <c r="Q74">
        <v>2300</v>
      </c>
      <c r="R74">
        <v>1560</v>
      </c>
      <c r="S74">
        <v>4760</v>
      </c>
      <c r="T74">
        <v>1500</v>
      </c>
      <c r="U74">
        <v>2680</v>
      </c>
      <c r="V74">
        <v>21500</v>
      </c>
      <c r="W74" s="6">
        <v>1540</v>
      </c>
      <c r="X74">
        <v>1180</v>
      </c>
      <c r="Y74">
        <v>2380</v>
      </c>
      <c r="Z74" s="6">
        <v>488</v>
      </c>
      <c r="AA74">
        <v>1235</v>
      </c>
      <c r="AB74">
        <v>57</v>
      </c>
      <c r="AC74" s="6">
        <v>120</v>
      </c>
      <c r="AD74" s="6">
        <v>368</v>
      </c>
      <c r="AE74" s="6">
        <v>370</v>
      </c>
      <c r="AF74" s="6">
        <v>975</v>
      </c>
    </row>
    <row r="75" spans="1:32" x14ac:dyDescent="0.3">
      <c r="A75" s="2">
        <v>45754</v>
      </c>
      <c r="B75" s="5">
        <v>6865.19</v>
      </c>
      <c r="C75">
        <v>8650</v>
      </c>
      <c r="D75">
        <v>3670</v>
      </c>
      <c r="E75">
        <v>4740</v>
      </c>
      <c r="F75">
        <v>4000</v>
      </c>
      <c r="G75">
        <v>2630</v>
      </c>
      <c r="H75">
        <v>4620</v>
      </c>
      <c r="I75">
        <v>10650</v>
      </c>
      <c r="J75">
        <v>8100</v>
      </c>
      <c r="K75">
        <v>1755</v>
      </c>
      <c r="L75">
        <v>22100</v>
      </c>
      <c r="M75">
        <v>3000</v>
      </c>
      <c r="N75">
        <v>2070</v>
      </c>
      <c r="O75">
        <v>1605</v>
      </c>
      <c r="P75" s="6">
        <v>520</v>
      </c>
      <c r="Q75">
        <v>2300</v>
      </c>
      <c r="R75">
        <v>1515</v>
      </c>
      <c r="S75">
        <v>4580</v>
      </c>
      <c r="T75">
        <v>1480</v>
      </c>
      <c r="U75">
        <v>2660</v>
      </c>
      <c r="V75">
        <v>21550</v>
      </c>
      <c r="W75" s="6">
        <v>1550</v>
      </c>
      <c r="X75">
        <v>1190</v>
      </c>
      <c r="Y75">
        <v>2330</v>
      </c>
      <c r="Z75" s="6">
        <v>486</v>
      </c>
      <c r="AA75">
        <v>1240</v>
      </c>
      <c r="AB75">
        <v>59</v>
      </c>
      <c r="AC75" s="6">
        <v>125</v>
      </c>
      <c r="AD75" s="6">
        <v>366</v>
      </c>
      <c r="AE75" s="6">
        <v>374</v>
      </c>
      <c r="AF75" s="6">
        <v>985</v>
      </c>
    </row>
    <row r="76" spans="1:32" x14ac:dyDescent="0.3">
      <c r="A76" s="1">
        <v>45845</v>
      </c>
      <c r="B76" s="5">
        <v>6900.93</v>
      </c>
      <c r="C76">
        <v>8625</v>
      </c>
      <c r="D76">
        <v>3700</v>
      </c>
      <c r="E76">
        <v>4740</v>
      </c>
      <c r="F76">
        <v>4000</v>
      </c>
      <c r="G76">
        <v>2700</v>
      </c>
      <c r="H76">
        <v>4680</v>
      </c>
      <c r="I76">
        <v>10500</v>
      </c>
      <c r="J76">
        <v>8100</v>
      </c>
      <c r="K76">
        <v>1740</v>
      </c>
      <c r="L76">
        <v>22100</v>
      </c>
      <c r="M76">
        <v>2910</v>
      </c>
      <c r="N76">
        <v>2050</v>
      </c>
      <c r="O76">
        <v>1585</v>
      </c>
      <c r="P76" s="6">
        <v>520</v>
      </c>
      <c r="Q76">
        <v>2290</v>
      </c>
      <c r="R76">
        <v>1500</v>
      </c>
      <c r="S76">
        <v>4740</v>
      </c>
      <c r="T76">
        <v>1505</v>
      </c>
      <c r="U76">
        <v>2680</v>
      </c>
      <c r="V76">
        <v>21450</v>
      </c>
      <c r="W76" s="6">
        <v>1660</v>
      </c>
      <c r="X76">
        <v>1170</v>
      </c>
      <c r="Y76">
        <v>2400</v>
      </c>
      <c r="Z76" s="6">
        <v>484</v>
      </c>
      <c r="AA76">
        <v>1250</v>
      </c>
      <c r="AB76">
        <v>60</v>
      </c>
      <c r="AC76" s="6">
        <v>125</v>
      </c>
      <c r="AD76" s="6">
        <v>368</v>
      </c>
      <c r="AE76" s="6">
        <v>366</v>
      </c>
      <c r="AF76" s="6">
        <v>980</v>
      </c>
    </row>
    <row r="77" spans="1:32" x14ac:dyDescent="0.3">
      <c r="A77" s="2">
        <v>45876</v>
      </c>
      <c r="B77" s="5">
        <v>6904.39</v>
      </c>
      <c r="C77">
        <v>8500</v>
      </c>
      <c r="D77">
        <v>3670</v>
      </c>
      <c r="E77">
        <v>4720</v>
      </c>
      <c r="F77">
        <v>3970</v>
      </c>
      <c r="G77">
        <v>2650</v>
      </c>
      <c r="H77">
        <v>4660</v>
      </c>
      <c r="I77">
        <v>10500</v>
      </c>
      <c r="J77">
        <v>8025</v>
      </c>
      <c r="K77">
        <v>1745</v>
      </c>
      <c r="L77">
        <v>22025</v>
      </c>
      <c r="M77">
        <v>2930</v>
      </c>
      <c r="N77">
        <v>2080</v>
      </c>
      <c r="O77">
        <v>1575</v>
      </c>
      <c r="P77" s="6">
        <v>535</v>
      </c>
      <c r="Q77">
        <v>2260</v>
      </c>
      <c r="R77">
        <v>1500</v>
      </c>
      <c r="S77">
        <v>4710</v>
      </c>
      <c r="T77">
        <v>1560</v>
      </c>
      <c r="U77">
        <v>2680</v>
      </c>
      <c r="V77">
        <v>21600</v>
      </c>
      <c r="W77" s="6">
        <v>1685</v>
      </c>
      <c r="X77">
        <v>1160</v>
      </c>
      <c r="Y77">
        <v>2370</v>
      </c>
      <c r="Z77" s="6">
        <v>486</v>
      </c>
      <c r="AA77">
        <v>1230</v>
      </c>
      <c r="AB77">
        <v>60</v>
      </c>
      <c r="AC77" s="6">
        <v>124</v>
      </c>
      <c r="AD77" s="6">
        <v>366</v>
      </c>
      <c r="AE77" s="6">
        <v>356</v>
      </c>
      <c r="AF77" s="6">
        <v>960</v>
      </c>
    </row>
    <row r="78" spans="1:32" x14ac:dyDescent="0.3">
      <c r="A78" s="1">
        <v>45907</v>
      </c>
      <c r="B78" s="5">
        <v>6943.92</v>
      </c>
      <c r="C78">
        <v>8500</v>
      </c>
      <c r="D78">
        <v>3680</v>
      </c>
      <c r="E78">
        <v>4710</v>
      </c>
      <c r="F78">
        <v>4000</v>
      </c>
      <c r="G78">
        <v>2670</v>
      </c>
      <c r="H78">
        <v>4720</v>
      </c>
      <c r="I78">
        <v>10525</v>
      </c>
      <c r="J78">
        <v>8175</v>
      </c>
      <c r="K78">
        <v>1740</v>
      </c>
      <c r="L78">
        <v>22050</v>
      </c>
      <c r="M78">
        <v>2920</v>
      </c>
      <c r="N78">
        <v>2110</v>
      </c>
      <c r="O78">
        <v>1565</v>
      </c>
      <c r="P78" s="6">
        <v>525</v>
      </c>
      <c r="Q78">
        <v>2290</v>
      </c>
      <c r="R78">
        <v>1510</v>
      </c>
      <c r="S78">
        <v>4860</v>
      </c>
      <c r="T78">
        <v>1615</v>
      </c>
      <c r="U78">
        <v>2730</v>
      </c>
      <c r="V78">
        <v>21975</v>
      </c>
      <c r="W78" s="6">
        <v>1740</v>
      </c>
      <c r="X78">
        <v>1155</v>
      </c>
      <c r="Y78">
        <v>2370</v>
      </c>
      <c r="Z78" s="6">
        <v>510</v>
      </c>
      <c r="AA78">
        <v>1240</v>
      </c>
      <c r="AB78">
        <v>59</v>
      </c>
      <c r="AC78" s="6">
        <v>125</v>
      </c>
      <c r="AD78" s="6">
        <v>372</v>
      </c>
      <c r="AE78" s="6">
        <v>360</v>
      </c>
      <c r="AF78" s="6">
        <v>975</v>
      </c>
    </row>
    <row r="79" spans="1:32" x14ac:dyDescent="0.3">
      <c r="A79" s="2">
        <v>45937</v>
      </c>
      <c r="B79" s="5">
        <v>7005.37</v>
      </c>
      <c r="C79">
        <v>8600</v>
      </c>
      <c r="D79">
        <v>3870</v>
      </c>
      <c r="E79">
        <v>4820</v>
      </c>
      <c r="F79">
        <v>4110</v>
      </c>
      <c r="G79">
        <v>2690</v>
      </c>
      <c r="H79">
        <v>4680</v>
      </c>
      <c r="I79">
        <v>10450</v>
      </c>
      <c r="J79">
        <v>8150</v>
      </c>
      <c r="K79">
        <v>1840</v>
      </c>
      <c r="L79">
        <v>22275</v>
      </c>
      <c r="M79">
        <v>2990</v>
      </c>
      <c r="N79">
        <v>2110</v>
      </c>
      <c r="O79">
        <v>1595</v>
      </c>
      <c r="P79" s="6">
        <v>545</v>
      </c>
      <c r="Q79">
        <v>2300</v>
      </c>
      <c r="R79">
        <v>1505</v>
      </c>
      <c r="S79">
        <v>4860</v>
      </c>
      <c r="T79">
        <v>1630</v>
      </c>
      <c r="U79">
        <v>2750</v>
      </c>
      <c r="V79">
        <v>22200</v>
      </c>
      <c r="W79" s="6">
        <v>1740</v>
      </c>
      <c r="X79">
        <v>1170</v>
      </c>
      <c r="Y79">
        <v>2270</v>
      </c>
      <c r="Z79" s="6">
        <v>505</v>
      </c>
      <c r="AA79">
        <v>1185</v>
      </c>
      <c r="AB79">
        <v>60</v>
      </c>
      <c r="AC79" s="6">
        <v>125</v>
      </c>
      <c r="AD79" s="6">
        <v>380</v>
      </c>
      <c r="AE79" s="6">
        <v>364</v>
      </c>
      <c r="AF79" s="6">
        <v>980</v>
      </c>
    </row>
    <row r="80" spans="1:32" x14ac:dyDescent="0.3">
      <c r="A80" s="1">
        <v>45968</v>
      </c>
      <c r="B80" s="5">
        <v>7047.44</v>
      </c>
      <c r="C80">
        <v>8625</v>
      </c>
      <c r="D80">
        <v>3880</v>
      </c>
      <c r="E80">
        <v>4970</v>
      </c>
      <c r="F80">
        <v>4180</v>
      </c>
      <c r="G80">
        <v>2730</v>
      </c>
      <c r="H80">
        <v>4710</v>
      </c>
      <c r="I80">
        <v>10325</v>
      </c>
      <c r="J80">
        <v>8250</v>
      </c>
      <c r="K80">
        <v>1870</v>
      </c>
      <c r="L80">
        <v>22500</v>
      </c>
      <c r="M80">
        <v>2990</v>
      </c>
      <c r="N80">
        <v>2110</v>
      </c>
      <c r="O80">
        <v>1595</v>
      </c>
      <c r="P80" s="6">
        <v>545</v>
      </c>
      <c r="Q80">
        <v>2290</v>
      </c>
      <c r="R80">
        <v>1595</v>
      </c>
      <c r="S80">
        <v>4940</v>
      </c>
      <c r="T80">
        <v>1585</v>
      </c>
      <c r="U80">
        <v>2800</v>
      </c>
      <c r="V80">
        <v>22400</v>
      </c>
      <c r="W80" s="6">
        <v>1800</v>
      </c>
      <c r="X80">
        <v>1190</v>
      </c>
      <c r="Y80">
        <v>2300</v>
      </c>
      <c r="Z80" s="6">
        <v>505</v>
      </c>
      <c r="AA80">
        <v>1205</v>
      </c>
      <c r="AB80">
        <v>59</v>
      </c>
      <c r="AC80" s="6">
        <v>126</v>
      </c>
      <c r="AD80" s="6">
        <v>382</v>
      </c>
      <c r="AE80" s="6">
        <v>370</v>
      </c>
      <c r="AF80" s="6">
        <v>980</v>
      </c>
    </row>
    <row r="81" spans="1:32" x14ac:dyDescent="0.3">
      <c r="A81" s="4" t="s">
        <v>46</v>
      </c>
      <c r="B81" s="5">
        <v>7097.15</v>
      </c>
      <c r="C81">
        <v>8525</v>
      </c>
      <c r="D81">
        <v>3780</v>
      </c>
      <c r="E81">
        <v>4690</v>
      </c>
      <c r="F81">
        <v>4040</v>
      </c>
      <c r="G81">
        <v>2690</v>
      </c>
      <c r="H81">
        <v>4700</v>
      </c>
      <c r="I81">
        <v>10400</v>
      </c>
      <c r="J81">
        <v>8350</v>
      </c>
      <c r="K81">
        <v>1825</v>
      </c>
      <c r="L81">
        <v>22450</v>
      </c>
      <c r="M81">
        <v>3030</v>
      </c>
      <c r="N81">
        <v>2090</v>
      </c>
      <c r="O81">
        <v>1580</v>
      </c>
      <c r="P81" s="6">
        <v>555</v>
      </c>
      <c r="Q81">
        <v>2320</v>
      </c>
      <c r="R81">
        <v>1560</v>
      </c>
      <c r="S81">
        <v>4830</v>
      </c>
      <c r="T81">
        <v>1600</v>
      </c>
      <c r="U81">
        <v>2740</v>
      </c>
      <c r="V81">
        <v>22575</v>
      </c>
      <c r="W81" s="6">
        <v>2100</v>
      </c>
      <c r="X81">
        <v>1215</v>
      </c>
      <c r="Y81">
        <v>2290</v>
      </c>
      <c r="Z81" s="6">
        <v>486</v>
      </c>
      <c r="AA81">
        <v>1195</v>
      </c>
      <c r="AB81">
        <v>59</v>
      </c>
      <c r="AC81" s="6">
        <v>127</v>
      </c>
      <c r="AD81" s="6">
        <v>374</v>
      </c>
      <c r="AE81" s="6">
        <v>362</v>
      </c>
      <c r="AF81" s="6">
        <v>935</v>
      </c>
    </row>
    <row r="82" spans="1:32" x14ac:dyDescent="0.3">
      <c r="A82" s="3" t="s">
        <v>47</v>
      </c>
      <c r="B82" s="5">
        <v>7140.47</v>
      </c>
      <c r="C82">
        <v>8550</v>
      </c>
      <c r="D82">
        <v>3880</v>
      </c>
      <c r="E82">
        <v>4700</v>
      </c>
      <c r="F82">
        <v>4050</v>
      </c>
      <c r="G82">
        <v>2640</v>
      </c>
      <c r="H82">
        <v>4700</v>
      </c>
      <c r="I82">
        <v>10400</v>
      </c>
      <c r="J82">
        <v>8325</v>
      </c>
      <c r="K82">
        <v>1815</v>
      </c>
      <c r="L82">
        <v>22400</v>
      </c>
      <c r="M82">
        <v>3000</v>
      </c>
      <c r="N82">
        <v>2150</v>
      </c>
      <c r="O82">
        <v>1565</v>
      </c>
      <c r="P82" s="6">
        <v>585</v>
      </c>
      <c r="Q82">
        <v>2490</v>
      </c>
      <c r="R82">
        <v>1530</v>
      </c>
      <c r="S82">
        <v>4820</v>
      </c>
      <c r="T82">
        <v>1575</v>
      </c>
      <c r="U82">
        <v>2730</v>
      </c>
      <c r="V82">
        <v>22600</v>
      </c>
      <c r="W82" s="6">
        <v>2030</v>
      </c>
      <c r="X82">
        <v>1240</v>
      </c>
      <c r="Y82">
        <v>2220</v>
      </c>
      <c r="Z82" s="6">
        <v>490</v>
      </c>
      <c r="AA82">
        <v>1220</v>
      </c>
      <c r="AB82">
        <v>59</v>
      </c>
      <c r="AC82" s="6">
        <v>132</v>
      </c>
      <c r="AD82" s="6">
        <v>398</v>
      </c>
      <c r="AE82" s="6">
        <v>368</v>
      </c>
      <c r="AF82" s="6">
        <v>980</v>
      </c>
    </row>
    <row r="83" spans="1:32" x14ac:dyDescent="0.3">
      <c r="A83" s="4" t="s">
        <v>48</v>
      </c>
      <c r="B83" s="5">
        <v>7192.02</v>
      </c>
      <c r="C83">
        <v>8525</v>
      </c>
      <c r="D83">
        <v>3880</v>
      </c>
      <c r="E83">
        <v>4690</v>
      </c>
      <c r="F83">
        <v>4130</v>
      </c>
      <c r="G83">
        <v>2650</v>
      </c>
      <c r="H83">
        <v>4750</v>
      </c>
      <c r="I83">
        <v>10350</v>
      </c>
      <c r="J83">
        <v>8275</v>
      </c>
      <c r="K83">
        <v>1840</v>
      </c>
      <c r="L83">
        <v>22475</v>
      </c>
      <c r="M83">
        <v>2990</v>
      </c>
      <c r="N83">
        <v>2130</v>
      </c>
      <c r="O83">
        <v>1570</v>
      </c>
      <c r="P83" s="6">
        <v>580</v>
      </c>
      <c r="Q83">
        <v>2570</v>
      </c>
      <c r="R83">
        <v>1510</v>
      </c>
      <c r="S83">
        <v>4770</v>
      </c>
      <c r="T83">
        <v>1620</v>
      </c>
      <c r="U83">
        <v>2800</v>
      </c>
      <c r="V83">
        <v>22575</v>
      </c>
      <c r="W83" s="6">
        <v>2010</v>
      </c>
      <c r="X83">
        <v>1220</v>
      </c>
      <c r="Y83">
        <v>2150</v>
      </c>
      <c r="Z83" s="6">
        <v>492</v>
      </c>
      <c r="AA83">
        <v>1190</v>
      </c>
      <c r="AB83">
        <v>59</v>
      </c>
      <c r="AC83" s="6">
        <v>131</v>
      </c>
      <c r="AD83" s="6">
        <v>398</v>
      </c>
      <c r="AE83" s="6">
        <v>366</v>
      </c>
      <c r="AF83" s="6">
        <v>985</v>
      </c>
    </row>
    <row r="84" spans="1:32" x14ac:dyDescent="0.3">
      <c r="A84" s="3" t="s">
        <v>49</v>
      </c>
      <c r="B84" s="5">
        <v>7287.02</v>
      </c>
      <c r="C84">
        <v>8525</v>
      </c>
      <c r="D84">
        <v>3890</v>
      </c>
      <c r="E84">
        <v>4720</v>
      </c>
      <c r="F84">
        <v>4110</v>
      </c>
      <c r="G84">
        <v>2770</v>
      </c>
      <c r="H84">
        <v>4790</v>
      </c>
      <c r="I84">
        <v>10350</v>
      </c>
      <c r="J84">
        <v>8225</v>
      </c>
      <c r="K84">
        <v>1830</v>
      </c>
      <c r="L84">
        <v>22450</v>
      </c>
      <c r="M84">
        <v>3010</v>
      </c>
      <c r="N84">
        <v>2210</v>
      </c>
      <c r="O84">
        <v>1575</v>
      </c>
      <c r="P84" s="6">
        <v>590</v>
      </c>
      <c r="Q84">
        <v>2670</v>
      </c>
      <c r="R84">
        <v>1505</v>
      </c>
      <c r="S84">
        <v>5025</v>
      </c>
      <c r="T84">
        <v>1690</v>
      </c>
      <c r="U84">
        <v>2700</v>
      </c>
      <c r="V84">
        <v>22600</v>
      </c>
      <c r="W84" s="6">
        <v>2180</v>
      </c>
      <c r="X84">
        <v>1215</v>
      </c>
      <c r="Y84">
        <v>2260</v>
      </c>
      <c r="Z84" s="6">
        <v>492</v>
      </c>
      <c r="AA84">
        <v>1185</v>
      </c>
      <c r="AB84">
        <v>60</v>
      </c>
      <c r="AC84" s="6">
        <v>134</v>
      </c>
      <c r="AD84" s="6">
        <v>392</v>
      </c>
      <c r="AE84" s="6">
        <v>370</v>
      </c>
      <c r="AF84" s="6">
        <v>980</v>
      </c>
    </row>
    <row r="85" spans="1:32" x14ac:dyDescent="0.3">
      <c r="A85" s="4" t="s">
        <v>50</v>
      </c>
      <c r="B85" s="5">
        <v>7311.92</v>
      </c>
      <c r="C85">
        <v>8425</v>
      </c>
      <c r="D85">
        <v>3860</v>
      </c>
      <c r="E85">
        <v>4740</v>
      </c>
      <c r="F85">
        <v>4120</v>
      </c>
      <c r="G85">
        <v>2770</v>
      </c>
      <c r="H85">
        <v>4750</v>
      </c>
      <c r="I85">
        <v>10400</v>
      </c>
      <c r="J85">
        <v>8225</v>
      </c>
      <c r="K85">
        <v>1835</v>
      </c>
      <c r="L85">
        <v>22525</v>
      </c>
      <c r="M85">
        <v>2970</v>
      </c>
      <c r="N85">
        <v>2420</v>
      </c>
      <c r="O85">
        <v>1635</v>
      </c>
      <c r="P85" s="6">
        <v>575</v>
      </c>
      <c r="Q85">
        <v>2630</v>
      </c>
      <c r="R85">
        <v>1510</v>
      </c>
      <c r="S85">
        <v>4950</v>
      </c>
      <c r="T85">
        <v>1680</v>
      </c>
      <c r="U85">
        <v>2590</v>
      </c>
      <c r="V85">
        <v>22475</v>
      </c>
      <c r="W85" s="6">
        <v>2260</v>
      </c>
      <c r="X85">
        <v>1190</v>
      </c>
      <c r="Y85">
        <v>2250</v>
      </c>
      <c r="Z85" s="6">
        <v>490</v>
      </c>
      <c r="AA85">
        <v>1130</v>
      </c>
      <c r="AB85">
        <v>58</v>
      </c>
      <c r="AC85" s="6">
        <v>142</v>
      </c>
      <c r="AD85" s="6">
        <v>388</v>
      </c>
      <c r="AE85" s="6">
        <v>362</v>
      </c>
      <c r="AF85" s="6">
        <v>980</v>
      </c>
    </row>
    <row r="86" spans="1:32" x14ac:dyDescent="0.3">
      <c r="A86" s="3" t="s">
        <v>51</v>
      </c>
      <c r="B86" s="5">
        <v>7398.19</v>
      </c>
      <c r="C86">
        <v>8450</v>
      </c>
      <c r="D86">
        <v>3830</v>
      </c>
      <c r="E86">
        <v>4680</v>
      </c>
      <c r="F86">
        <v>4070</v>
      </c>
      <c r="G86">
        <v>2800</v>
      </c>
      <c r="H86">
        <v>4760</v>
      </c>
      <c r="I86">
        <v>10500</v>
      </c>
      <c r="J86">
        <v>8300</v>
      </c>
      <c r="K86">
        <v>1885</v>
      </c>
      <c r="L86">
        <v>22550</v>
      </c>
      <c r="M86">
        <v>3190</v>
      </c>
      <c r="N86">
        <v>2450</v>
      </c>
      <c r="O86">
        <v>1630</v>
      </c>
      <c r="P86" s="6">
        <v>660</v>
      </c>
      <c r="Q86">
        <v>2610</v>
      </c>
      <c r="R86">
        <v>1505</v>
      </c>
      <c r="S86">
        <v>4950</v>
      </c>
      <c r="T86">
        <v>1720</v>
      </c>
      <c r="U86">
        <v>2490</v>
      </c>
      <c r="V86">
        <v>22950</v>
      </c>
      <c r="W86" s="6">
        <v>2390</v>
      </c>
      <c r="X86">
        <v>1215</v>
      </c>
      <c r="Y86">
        <v>2230</v>
      </c>
      <c r="Z86" s="6">
        <v>482</v>
      </c>
      <c r="AA86">
        <v>1140</v>
      </c>
      <c r="AB86">
        <v>57</v>
      </c>
      <c r="AC86" s="6">
        <v>142</v>
      </c>
      <c r="AD86" s="6">
        <v>392</v>
      </c>
      <c r="AE86" s="6">
        <v>360</v>
      </c>
      <c r="AF86" s="6">
        <v>940</v>
      </c>
    </row>
    <row r="87" spans="1:32" x14ac:dyDescent="0.3">
      <c r="A87" s="4" t="s">
        <v>52</v>
      </c>
      <c r="B87" s="5">
        <v>7344.74</v>
      </c>
      <c r="C87">
        <v>8400</v>
      </c>
      <c r="D87">
        <v>3840</v>
      </c>
      <c r="E87">
        <v>4660</v>
      </c>
      <c r="F87">
        <v>4050</v>
      </c>
      <c r="G87">
        <v>2850</v>
      </c>
      <c r="H87">
        <v>4690</v>
      </c>
      <c r="I87">
        <v>10350</v>
      </c>
      <c r="J87">
        <v>8225</v>
      </c>
      <c r="K87">
        <v>1965</v>
      </c>
      <c r="L87">
        <v>22800</v>
      </c>
      <c r="M87">
        <v>2960</v>
      </c>
      <c r="N87">
        <v>2340</v>
      </c>
      <c r="O87">
        <v>1605</v>
      </c>
      <c r="P87" s="6">
        <v>650</v>
      </c>
      <c r="Q87">
        <v>2570</v>
      </c>
      <c r="R87">
        <v>1460</v>
      </c>
      <c r="S87">
        <v>4940</v>
      </c>
      <c r="T87">
        <v>1705</v>
      </c>
      <c r="U87">
        <v>2410</v>
      </c>
      <c r="V87">
        <v>23050</v>
      </c>
      <c r="W87" s="6">
        <v>2200</v>
      </c>
      <c r="X87">
        <v>1220</v>
      </c>
      <c r="Y87">
        <v>2210</v>
      </c>
      <c r="Z87" s="6">
        <v>472</v>
      </c>
      <c r="AA87">
        <v>1110</v>
      </c>
      <c r="AB87">
        <v>58</v>
      </c>
      <c r="AC87" s="6">
        <v>140</v>
      </c>
      <c r="AD87" s="6">
        <v>388</v>
      </c>
      <c r="AE87" s="6">
        <v>350</v>
      </c>
      <c r="AF87" s="6">
        <v>940</v>
      </c>
    </row>
    <row r="88" spans="1:32" x14ac:dyDescent="0.3">
      <c r="A88" s="3" t="s">
        <v>53</v>
      </c>
      <c r="B88" s="5">
        <v>7469.23</v>
      </c>
      <c r="C88">
        <v>8425</v>
      </c>
      <c r="D88">
        <v>3800</v>
      </c>
      <c r="E88">
        <v>4680</v>
      </c>
      <c r="F88">
        <v>4100</v>
      </c>
      <c r="G88">
        <v>2850</v>
      </c>
      <c r="H88">
        <v>4950</v>
      </c>
      <c r="I88">
        <v>10450</v>
      </c>
      <c r="J88">
        <v>8350</v>
      </c>
      <c r="K88">
        <v>2020</v>
      </c>
      <c r="L88">
        <v>22925</v>
      </c>
      <c r="M88">
        <v>3040</v>
      </c>
      <c r="N88">
        <v>2440</v>
      </c>
      <c r="O88">
        <v>1610</v>
      </c>
      <c r="P88" s="6">
        <v>675</v>
      </c>
      <c r="Q88">
        <v>2580</v>
      </c>
      <c r="R88">
        <v>1495</v>
      </c>
      <c r="S88">
        <v>5025</v>
      </c>
      <c r="T88">
        <v>1670</v>
      </c>
      <c r="U88">
        <v>2470</v>
      </c>
      <c r="V88">
        <v>24000</v>
      </c>
      <c r="W88" s="6">
        <v>2210</v>
      </c>
      <c r="X88">
        <v>1260</v>
      </c>
      <c r="Y88">
        <v>2250</v>
      </c>
      <c r="Z88" s="6">
        <v>474</v>
      </c>
      <c r="AA88">
        <v>1155</v>
      </c>
      <c r="AB88">
        <v>60</v>
      </c>
      <c r="AC88" s="6">
        <v>140</v>
      </c>
      <c r="AD88" s="6">
        <v>396</v>
      </c>
      <c r="AE88" s="6">
        <v>360</v>
      </c>
      <c r="AF88" s="6">
        <v>945</v>
      </c>
    </row>
    <row r="89" spans="1:32" x14ac:dyDescent="0.3">
      <c r="A89" s="4" t="s">
        <v>54</v>
      </c>
      <c r="B89" s="5">
        <v>7530.9</v>
      </c>
      <c r="C89">
        <v>8500</v>
      </c>
      <c r="D89">
        <v>3950</v>
      </c>
      <c r="E89">
        <v>4800</v>
      </c>
      <c r="F89">
        <v>4220</v>
      </c>
      <c r="G89">
        <v>2840</v>
      </c>
      <c r="H89">
        <v>5050</v>
      </c>
      <c r="I89">
        <v>10350</v>
      </c>
      <c r="J89">
        <v>8350</v>
      </c>
      <c r="K89">
        <v>1975</v>
      </c>
      <c r="L89">
        <v>23100</v>
      </c>
      <c r="M89">
        <v>3030</v>
      </c>
      <c r="N89">
        <v>2420</v>
      </c>
      <c r="O89">
        <v>1625</v>
      </c>
      <c r="P89" s="6">
        <v>660</v>
      </c>
      <c r="Q89">
        <v>2610</v>
      </c>
      <c r="R89">
        <v>1510</v>
      </c>
      <c r="S89">
        <v>4950</v>
      </c>
      <c r="T89">
        <v>1655</v>
      </c>
      <c r="U89">
        <v>2500</v>
      </c>
      <c r="V89">
        <v>24225</v>
      </c>
      <c r="W89" s="6">
        <v>2220</v>
      </c>
      <c r="X89">
        <v>1240</v>
      </c>
      <c r="Y89">
        <v>2190</v>
      </c>
      <c r="Z89" s="6">
        <v>476</v>
      </c>
      <c r="AA89">
        <v>1145</v>
      </c>
      <c r="AB89">
        <v>59</v>
      </c>
      <c r="AC89" s="6">
        <v>140</v>
      </c>
      <c r="AD89" s="6">
        <v>396</v>
      </c>
      <c r="AE89" s="6">
        <v>362</v>
      </c>
      <c r="AF89" s="6">
        <v>935</v>
      </c>
    </row>
    <row r="90" spans="1:32" x14ac:dyDescent="0.3">
      <c r="A90" s="3" t="s">
        <v>55</v>
      </c>
      <c r="B90" s="5">
        <v>7543.5</v>
      </c>
      <c r="C90">
        <v>8450</v>
      </c>
      <c r="D90">
        <v>3880</v>
      </c>
      <c r="E90">
        <v>4690</v>
      </c>
      <c r="F90">
        <v>4090</v>
      </c>
      <c r="G90">
        <v>2820</v>
      </c>
      <c r="H90">
        <v>5000</v>
      </c>
      <c r="I90">
        <v>10550</v>
      </c>
      <c r="J90">
        <v>8400</v>
      </c>
      <c r="K90">
        <v>1915</v>
      </c>
      <c r="L90">
        <v>22950</v>
      </c>
      <c r="M90">
        <v>2970</v>
      </c>
      <c r="N90">
        <v>2370</v>
      </c>
      <c r="O90">
        <v>1605</v>
      </c>
      <c r="P90" s="6">
        <v>660</v>
      </c>
      <c r="Q90">
        <v>2550</v>
      </c>
      <c r="R90">
        <v>1485</v>
      </c>
      <c r="S90">
        <v>4990</v>
      </c>
      <c r="T90">
        <v>1610</v>
      </c>
      <c r="U90">
        <v>2470</v>
      </c>
      <c r="V90">
        <v>23850</v>
      </c>
      <c r="W90" s="6">
        <v>2480</v>
      </c>
      <c r="X90">
        <v>1240</v>
      </c>
      <c r="Y90">
        <v>2200</v>
      </c>
      <c r="Z90" s="6">
        <v>474</v>
      </c>
      <c r="AA90">
        <v>1160</v>
      </c>
      <c r="AB90">
        <v>58</v>
      </c>
      <c r="AC90" s="6">
        <v>141</v>
      </c>
      <c r="AD90" s="6">
        <v>404</v>
      </c>
      <c r="AE90" s="6">
        <v>360</v>
      </c>
      <c r="AF90" s="6">
        <v>940</v>
      </c>
    </row>
    <row r="91" spans="1:32" x14ac:dyDescent="0.3">
      <c r="A91" s="4" t="s">
        <v>56</v>
      </c>
      <c r="B91" s="5">
        <v>7614.77</v>
      </c>
      <c r="C91">
        <v>8500</v>
      </c>
      <c r="D91">
        <v>3940</v>
      </c>
      <c r="E91">
        <v>4700</v>
      </c>
      <c r="F91">
        <v>4210</v>
      </c>
      <c r="G91">
        <v>2860</v>
      </c>
      <c r="H91">
        <v>5100</v>
      </c>
      <c r="I91">
        <v>10225</v>
      </c>
      <c r="J91">
        <v>8375</v>
      </c>
      <c r="K91">
        <v>1925</v>
      </c>
      <c r="L91">
        <v>23250</v>
      </c>
      <c r="M91">
        <v>2970</v>
      </c>
      <c r="N91">
        <v>2590</v>
      </c>
      <c r="O91">
        <v>1610</v>
      </c>
      <c r="P91" s="6">
        <v>675</v>
      </c>
      <c r="Q91">
        <v>2520</v>
      </c>
      <c r="R91">
        <v>1475</v>
      </c>
      <c r="S91">
        <v>4970</v>
      </c>
      <c r="T91">
        <v>1650</v>
      </c>
      <c r="U91">
        <v>2480</v>
      </c>
      <c r="V91">
        <v>24175</v>
      </c>
      <c r="W91" s="6">
        <v>2470</v>
      </c>
      <c r="X91">
        <v>1320</v>
      </c>
      <c r="Y91">
        <v>2210</v>
      </c>
      <c r="Z91" s="6">
        <v>472</v>
      </c>
      <c r="AA91">
        <v>1125</v>
      </c>
      <c r="AB91">
        <v>59</v>
      </c>
      <c r="AC91" s="6">
        <v>143</v>
      </c>
      <c r="AD91" s="6">
        <v>414</v>
      </c>
      <c r="AE91" s="6">
        <v>360</v>
      </c>
      <c r="AF91" s="6">
        <v>940</v>
      </c>
    </row>
    <row r="92" spans="1:32" x14ac:dyDescent="0.3">
      <c r="A92" s="3" t="s">
        <v>57</v>
      </c>
      <c r="B92" s="5">
        <v>7617.91</v>
      </c>
      <c r="C92">
        <v>8400</v>
      </c>
      <c r="D92">
        <v>3920</v>
      </c>
      <c r="E92">
        <v>4710</v>
      </c>
      <c r="F92">
        <v>4150</v>
      </c>
      <c r="G92">
        <v>2880</v>
      </c>
      <c r="H92">
        <v>5100</v>
      </c>
      <c r="I92">
        <v>10000</v>
      </c>
      <c r="J92">
        <v>8300</v>
      </c>
      <c r="K92">
        <v>1920</v>
      </c>
      <c r="L92">
        <v>23225</v>
      </c>
      <c r="M92">
        <v>3000</v>
      </c>
      <c r="N92">
        <v>2640</v>
      </c>
      <c r="O92">
        <v>1630</v>
      </c>
      <c r="P92" s="6">
        <v>675</v>
      </c>
      <c r="Q92">
        <v>2550</v>
      </c>
      <c r="R92">
        <v>1490</v>
      </c>
      <c r="S92">
        <v>4910</v>
      </c>
      <c r="T92">
        <v>1685</v>
      </c>
      <c r="U92">
        <v>2560</v>
      </c>
      <c r="V92">
        <v>24150</v>
      </c>
      <c r="W92" s="6">
        <v>2610</v>
      </c>
      <c r="X92">
        <v>1345</v>
      </c>
      <c r="Y92">
        <v>2280</v>
      </c>
      <c r="Z92" s="6">
        <v>478</v>
      </c>
      <c r="AA92">
        <v>1120</v>
      </c>
      <c r="AB92">
        <v>59</v>
      </c>
      <c r="AC92" s="6">
        <v>147</v>
      </c>
      <c r="AD92" s="6">
        <v>418</v>
      </c>
      <c r="AE92" s="6">
        <v>358</v>
      </c>
      <c r="AF92" s="6">
        <v>950</v>
      </c>
    </row>
    <row r="93" spans="1:32" x14ac:dyDescent="0.3">
      <c r="A93" s="4" t="s">
        <v>58</v>
      </c>
      <c r="B93" s="5">
        <v>7549.89</v>
      </c>
      <c r="C93">
        <v>8375</v>
      </c>
      <c r="D93">
        <v>3780</v>
      </c>
      <c r="E93">
        <v>4620</v>
      </c>
      <c r="F93">
        <v>4120</v>
      </c>
      <c r="G93">
        <v>2880</v>
      </c>
      <c r="H93">
        <v>5150</v>
      </c>
      <c r="I93">
        <v>9925</v>
      </c>
      <c r="J93">
        <v>8375</v>
      </c>
      <c r="K93">
        <v>1900</v>
      </c>
      <c r="L93">
        <v>23450</v>
      </c>
      <c r="M93">
        <v>2990</v>
      </c>
      <c r="N93">
        <v>2550</v>
      </c>
      <c r="O93">
        <v>1620</v>
      </c>
      <c r="P93" s="6">
        <v>660</v>
      </c>
      <c r="Q93">
        <v>2510</v>
      </c>
      <c r="R93">
        <v>1485</v>
      </c>
      <c r="S93">
        <v>4890</v>
      </c>
      <c r="T93">
        <v>1635</v>
      </c>
      <c r="U93">
        <v>2510</v>
      </c>
      <c r="V93">
        <v>24375</v>
      </c>
      <c r="W93" s="6">
        <v>2610</v>
      </c>
      <c r="X93">
        <v>1325</v>
      </c>
      <c r="Y93">
        <v>2180</v>
      </c>
      <c r="Z93" s="6">
        <v>474</v>
      </c>
      <c r="AA93">
        <v>1110</v>
      </c>
      <c r="AB93">
        <v>64</v>
      </c>
      <c r="AC93" s="6">
        <v>150</v>
      </c>
      <c r="AD93" s="6">
        <v>416</v>
      </c>
      <c r="AE93" s="6">
        <v>364</v>
      </c>
      <c r="AF93" s="6">
        <v>940</v>
      </c>
    </row>
    <row r="94" spans="1:32" x14ac:dyDescent="0.3">
      <c r="A94" s="3" t="s">
        <v>59</v>
      </c>
      <c r="B94" s="5">
        <v>7484.34</v>
      </c>
      <c r="C94">
        <v>8275</v>
      </c>
      <c r="D94">
        <v>3710</v>
      </c>
      <c r="E94">
        <v>4510</v>
      </c>
      <c r="F94">
        <v>4010</v>
      </c>
      <c r="G94">
        <v>2880</v>
      </c>
      <c r="H94">
        <v>5100</v>
      </c>
      <c r="I94">
        <v>9800</v>
      </c>
      <c r="J94">
        <v>8525</v>
      </c>
      <c r="K94">
        <v>1850</v>
      </c>
      <c r="L94">
        <v>23000</v>
      </c>
      <c r="M94">
        <v>2850</v>
      </c>
      <c r="N94">
        <v>2360</v>
      </c>
      <c r="O94">
        <v>1630</v>
      </c>
      <c r="P94" s="6">
        <v>610</v>
      </c>
      <c r="Q94">
        <v>2520</v>
      </c>
      <c r="R94">
        <v>1430</v>
      </c>
      <c r="S94">
        <v>4930</v>
      </c>
      <c r="T94">
        <v>1600</v>
      </c>
      <c r="U94">
        <v>2460</v>
      </c>
      <c r="V94">
        <v>24150</v>
      </c>
      <c r="W94" s="6">
        <v>2630</v>
      </c>
      <c r="X94">
        <v>1340</v>
      </c>
      <c r="Y94">
        <v>2320</v>
      </c>
      <c r="Z94" s="6">
        <v>470</v>
      </c>
      <c r="AA94">
        <v>1175</v>
      </c>
      <c r="AB94">
        <v>65</v>
      </c>
      <c r="AC94" s="6">
        <v>151</v>
      </c>
      <c r="AD94" s="6">
        <v>412</v>
      </c>
      <c r="AE94" s="6">
        <v>352</v>
      </c>
      <c r="AF94" s="6">
        <v>920</v>
      </c>
    </row>
    <row r="95" spans="1:32" x14ac:dyDescent="0.3">
      <c r="A95" s="2">
        <v>45665</v>
      </c>
      <c r="B95" s="5">
        <v>7537.77</v>
      </c>
      <c r="C95">
        <v>8300</v>
      </c>
      <c r="D95">
        <v>3740</v>
      </c>
      <c r="E95">
        <v>4530</v>
      </c>
      <c r="F95">
        <v>4010</v>
      </c>
      <c r="G95">
        <v>2980</v>
      </c>
      <c r="H95">
        <v>5000</v>
      </c>
      <c r="I95">
        <v>9900</v>
      </c>
      <c r="J95">
        <v>8475</v>
      </c>
      <c r="K95">
        <v>1865</v>
      </c>
      <c r="L95">
        <v>22925</v>
      </c>
      <c r="M95">
        <v>2880</v>
      </c>
      <c r="N95">
        <v>2450</v>
      </c>
      <c r="O95">
        <v>1620</v>
      </c>
      <c r="P95" s="6">
        <v>630</v>
      </c>
      <c r="Q95">
        <v>2570</v>
      </c>
      <c r="R95">
        <v>1430</v>
      </c>
      <c r="S95">
        <v>4770</v>
      </c>
      <c r="T95">
        <v>1685</v>
      </c>
      <c r="U95">
        <v>2510</v>
      </c>
      <c r="V95">
        <v>24025</v>
      </c>
      <c r="W95" s="6">
        <v>2690</v>
      </c>
      <c r="X95">
        <v>1325</v>
      </c>
      <c r="Y95">
        <v>2320</v>
      </c>
      <c r="Z95" s="6">
        <v>472</v>
      </c>
      <c r="AA95">
        <v>1205</v>
      </c>
      <c r="AB95">
        <v>65</v>
      </c>
      <c r="AC95" s="6">
        <v>157</v>
      </c>
      <c r="AD95" s="6">
        <v>418</v>
      </c>
      <c r="AE95" s="6">
        <v>354</v>
      </c>
      <c r="AF95" s="6">
        <v>900</v>
      </c>
    </row>
    <row r="96" spans="1:32" x14ac:dyDescent="0.3">
      <c r="A96" s="1">
        <v>45755</v>
      </c>
      <c r="B96" s="5">
        <v>7464.65</v>
      </c>
      <c r="C96">
        <v>8275</v>
      </c>
      <c r="D96">
        <v>3710</v>
      </c>
      <c r="E96">
        <v>4620</v>
      </c>
      <c r="F96">
        <v>4010</v>
      </c>
      <c r="G96">
        <v>3030</v>
      </c>
      <c r="H96">
        <v>5025</v>
      </c>
      <c r="I96">
        <v>9550</v>
      </c>
      <c r="J96">
        <v>8375</v>
      </c>
      <c r="K96">
        <v>1900</v>
      </c>
      <c r="L96">
        <v>23100</v>
      </c>
      <c r="M96">
        <v>2910</v>
      </c>
      <c r="N96">
        <v>2360</v>
      </c>
      <c r="O96">
        <v>1635</v>
      </c>
      <c r="P96" s="6">
        <v>635</v>
      </c>
      <c r="Q96">
        <v>2620</v>
      </c>
      <c r="R96">
        <v>1415</v>
      </c>
      <c r="S96">
        <v>4800</v>
      </c>
      <c r="T96">
        <v>1700</v>
      </c>
      <c r="U96">
        <v>2460</v>
      </c>
      <c r="V96">
        <v>24500</v>
      </c>
      <c r="W96" s="6">
        <v>2570</v>
      </c>
      <c r="X96">
        <v>1295</v>
      </c>
      <c r="Y96">
        <v>2290</v>
      </c>
      <c r="Z96" s="6">
        <v>476</v>
      </c>
      <c r="AA96">
        <v>1165</v>
      </c>
      <c r="AB96">
        <v>63</v>
      </c>
      <c r="AC96" s="6">
        <v>166</v>
      </c>
      <c r="AD96" s="6">
        <v>416</v>
      </c>
      <c r="AE96" s="6">
        <v>352</v>
      </c>
      <c r="AF96" s="6">
        <v>890</v>
      </c>
    </row>
    <row r="97" spans="1:32" x14ac:dyDescent="0.3">
      <c r="A97" s="2">
        <v>45785</v>
      </c>
      <c r="B97" s="5">
        <v>7515.19</v>
      </c>
      <c r="C97">
        <v>8425</v>
      </c>
      <c r="D97">
        <v>3740</v>
      </c>
      <c r="E97">
        <v>4750</v>
      </c>
      <c r="F97">
        <v>4220</v>
      </c>
      <c r="G97">
        <v>3030</v>
      </c>
      <c r="H97">
        <v>5025</v>
      </c>
      <c r="I97">
        <v>9575</v>
      </c>
      <c r="J97">
        <v>8325</v>
      </c>
      <c r="K97">
        <v>1865</v>
      </c>
      <c r="L97">
        <v>23025</v>
      </c>
      <c r="M97">
        <v>2940</v>
      </c>
      <c r="N97">
        <v>2330</v>
      </c>
      <c r="O97">
        <v>1625</v>
      </c>
      <c r="P97" s="6">
        <v>620</v>
      </c>
      <c r="Q97">
        <v>2580</v>
      </c>
      <c r="R97">
        <v>1415</v>
      </c>
      <c r="S97">
        <v>4700</v>
      </c>
      <c r="T97">
        <v>1650</v>
      </c>
      <c r="U97">
        <v>2510</v>
      </c>
      <c r="V97">
        <v>24350</v>
      </c>
      <c r="W97" s="6">
        <v>2460</v>
      </c>
      <c r="X97">
        <v>1315</v>
      </c>
      <c r="Y97">
        <v>2420</v>
      </c>
      <c r="Z97" s="6">
        <v>484</v>
      </c>
      <c r="AA97">
        <v>1150</v>
      </c>
      <c r="AB97">
        <v>65</v>
      </c>
      <c r="AC97" s="6">
        <v>171</v>
      </c>
      <c r="AD97" s="6">
        <v>424</v>
      </c>
      <c r="AE97" s="6">
        <v>364</v>
      </c>
      <c r="AF97" s="6">
        <v>910</v>
      </c>
    </row>
    <row r="98" spans="1:32" x14ac:dyDescent="0.3">
      <c r="A98" s="1">
        <v>45816</v>
      </c>
      <c r="B98" s="5">
        <v>7503.75</v>
      </c>
      <c r="C98">
        <v>8300</v>
      </c>
      <c r="D98">
        <v>3710</v>
      </c>
      <c r="E98">
        <v>4700</v>
      </c>
      <c r="F98">
        <v>4100</v>
      </c>
      <c r="G98">
        <v>2990</v>
      </c>
      <c r="H98">
        <v>4900</v>
      </c>
      <c r="I98">
        <v>9550</v>
      </c>
      <c r="J98">
        <v>8200</v>
      </c>
      <c r="K98">
        <v>1860</v>
      </c>
      <c r="L98">
        <v>23075</v>
      </c>
      <c r="M98">
        <v>3080</v>
      </c>
      <c r="N98">
        <v>2400</v>
      </c>
      <c r="O98">
        <v>1690</v>
      </c>
      <c r="P98" s="6">
        <v>610</v>
      </c>
      <c r="Q98">
        <v>2580</v>
      </c>
      <c r="R98">
        <v>1395</v>
      </c>
      <c r="S98">
        <v>4620</v>
      </c>
      <c r="T98">
        <v>1620</v>
      </c>
      <c r="U98">
        <v>2520</v>
      </c>
      <c r="V98">
        <v>24050</v>
      </c>
      <c r="W98" s="6">
        <v>2490</v>
      </c>
      <c r="X98">
        <v>1270</v>
      </c>
      <c r="Y98">
        <v>2320</v>
      </c>
      <c r="Z98" s="6">
        <v>484</v>
      </c>
      <c r="AA98">
        <v>1185</v>
      </c>
      <c r="AB98">
        <v>65</v>
      </c>
      <c r="AC98" s="6">
        <v>171</v>
      </c>
      <c r="AD98" s="6">
        <v>420</v>
      </c>
      <c r="AE98" s="6">
        <v>370</v>
      </c>
      <c r="AF98" s="6">
        <v>910</v>
      </c>
    </row>
    <row r="99" spans="1:32" x14ac:dyDescent="0.3">
      <c r="A99" s="2">
        <v>45846</v>
      </c>
      <c r="B99" s="5">
        <v>7490.18</v>
      </c>
      <c r="C99">
        <v>8300</v>
      </c>
      <c r="D99">
        <v>3710</v>
      </c>
      <c r="E99">
        <v>4680</v>
      </c>
      <c r="F99">
        <v>4120</v>
      </c>
      <c r="G99">
        <v>2950</v>
      </c>
      <c r="H99">
        <v>4960</v>
      </c>
      <c r="I99">
        <v>9500</v>
      </c>
      <c r="J99">
        <v>8200</v>
      </c>
      <c r="K99">
        <v>1870</v>
      </c>
      <c r="L99">
        <v>23125</v>
      </c>
      <c r="M99">
        <v>3150</v>
      </c>
      <c r="N99">
        <v>2490</v>
      </c>
      <c r="O99">
        <v>1690</v>
      </c>
      <c r="P99" s="6">
        <v>620</v>
      </c>
      <c r="Q99">
        <v>2530</v>
      </c>
      <c r="R99">
        <v>1380</v>
      </c>
      <c r="S99">
        <v>4530</v>
      </c>
      <c r="T99">
        <v>1600</v>
      </c>
      <c r="U99">
        <v>2490</v>
      </c>
      <c r="V99">
        <v>24100</v>
      </c>
      <c r="W99" s="6">
        <v>2380</v>
      </c>
      <c r="X99">
        <v>1305</v>
      </c>
      <c r="Y99">
        <v>2380</v>
      </c>
      <c r="Z99" s="6">
        <v>482</v>
      </c>
      <c r="AA99">
        <v>1215</v>
      </c>
      <c r="AB99">
        <v>63</v>
      </c>
      <c r="AC99" s="6">
        <v>172</v>
      </c>
      <c r="AD99" s="6">
        <v>420</v>
      </c>
      <c r="AE99" s="6">
        <v>376</v>
      </c>
      <c r="AF99" s="6">
        <v>935</v>
      </c>
    </row>
    <row r="100" spans="1:32" x14ac:dyDescent="0.3">
      <c r="A100" s="1">
        <v>45877</v>
      </c>
      <c r="B100" s="5">
        <v>7533.38</v>
      </c>
      <c r="C100">
        <v>8300</v>
      </c>
      <c r="D100">
        <v>3700</v>
      </c>
      <c r="E100">
        <v>4670</v>
      </c>
      <c r="F100">
        <v>4070</v>
      </c>
      <c r="G100">
        <v>2940</v>
      </c>
      <c r="H100">
        <v>4920</v>
      </c>
      <c r="I100">
        <v>9350</v>
      </c>
      <c r="J100">
        <v>8150</v>
      </c>
      <c r="K100">
        <v>1790</v>
      </c>
      <c r="L100">
        <v>23350</v>
      </c>
      <c r="M100">
        <v>3090</v>
      </c>
      <c r="N100">
        <v>2470</v>
      </c>
      <c r="O100">
        <v>1685</v>
      </c>
      <c r="P100" s="6">
        <v>620</v>
      </c>
      <c r="Q100">
        <v>2640</v>
      </c>
      <c r="R100">
        <v>1375</v>
      </c>
      <c r="S100">
        <v>4500</v>
      </c>
      <c r="T100">
        <v>1590</v>
      </c>
      <c r="U100">
        <v>2480</v>
      </c>
      <c r="V100">
        <v>24150</v>
      </c>
      <c r="W100" s="6">
        <v>2460</v>
      </c>
      <c r="X100">
        <v>1305</v>
      </c>
      <c r="Y100">
        <v>2350</v>
      </c>
      <c r="Z100" s="6">
        <v>474</v>
      </c>
      <c r="AA100">
        <v>1200</v>
      </c>
      <c r="AB100">
        <v>62</v>
      </c>
      <c r="AC100" s="6">
        <v>175</v>
      </c>
      <c r="AD100" s="6">
        <v>414</v>
      </c>
      <c r="AE100" s="6">
        <v>370</v>
      </c>
      <c r="AF100" s="6">
        <v>955</v>
      </c>
    </row>
    <row r="101" spans="1:32" x14ac:dyDescent="0.3">
      <c r="A101" s="2">
        <v>45969</v>
      </c>
      <c r="B101" s="5">
        <v>7605.92</v>
      </c>
      <c r="C101">
        <v>8550</v>
      </c>
      <c r="D101">
        <v>3810</v>
      </c>
      <c r="E101">
        <v>4720</v>
      </c>
      <c r="F101">
        <v>4200</v>
      </c>
      <c r="G101">
        <v>2990</v>
      </c>
      <c r="H101">
        <v>4900</v>
      </c>
      <c r="I101">
        <v>9550</v>
      </c>
      <c r="J101">
        <v>8075</v>
      </c>
      <c r="K101">
        <v>1810</v>
      </c>
      <c r="L101">
        <v>23700</v>
      </c>
      <c r="M101">
        <v>2940</v>
      </c>
      <c r="N101">
        <v>2390</v>
      </c>
      <c r="O101">
        <v>1670</v>
      </c>
      <c r="P101" s="6">
        <v>645</v>
      </c>
      <c r="Q101">
        <v>2700</v>
      </c>
      <c r="R101">
        <v>1370</v>
      </c>
      <c r="S101">
        <v>4460</v>
      </c>
      <c r="T101">
        <v>1585</v>
      </c>
      <c r="U101">
        <v>2670</v>
      </c>
      <c r="V101">
        <v>24275</v>
      </c>
      <c r="W101" s="6">
        <v>2350</v>
      </c>
      <c r="X101">
        <v>1285</v>
      </c>
      <c r="Y101">
        <v>2380</v>
      </c>
      <c r="Z101" s="6">
        <v>476</v>
      </c>
      <c r="AA101">
        <v>1215</v>
      </c>
      <c r="AB101">
        <v>62</v>
      </c>
      <c r="AC101" s="6">
        <v>174</v>
      </c>
      <c r="AD101" s="6">
        <v>442</v>
      </c>
      <c r="AE101" s="6">
        <v>384</v>
      </c>
      <c r="AF101" s="6">
        <v>1</v>
      </c>
    </row>
    <row r="102" spans="1:32" x14ac:dyDescent="0.3">
      <c r="A102" s="1">
        <v>45999</v>
      </c>
      <c r="B102" s="5">
        <v>7791.7</v>
      </c>
      <c r="C102">
        <v>8850</v>
      </c>
      <c r="D102">
        <v>4050</v>
      </c>
      <c r="E102">
        <v>4910</v>
      </c>
      <c r="F102">
        <v>4360</v>
      </c>
      <c r="G102">
        <v>3180</v>
      </c>
      <c r="H102">
        <v>4990</v>
      </c>
      <c r="I102">
        <v>9550</v>
      </c>
      <c r="J102">
        <v>8050</v>
      </c>
      <c r="K102">
        <v>1860</v>
      </c>
      <c r="L102">
        <v>22550</v>
      </c>
      <c r="M102">
        <v>2900</v>
      </c>
      <c r="N102">
        <v>2280</v>
      </c>
      <c r="O102">
        <v>1680</v>
      </c>
      <c r="P102" s="6">
        <v>640</v>
      </c>
      <c r="Q102">
        <v>2850</v>
      </c>
      <c r="R102">
        <v>1380</v>
      </c>
      <c r="S102">
        <v>4460</v>
      </c>
      <c r="T102">
        <v>1575</v>
      </c>
      <c r="U102">
        <v>2630</v>
      </c>
      <c r="V102">
        <v>24200</v>
      </c>
      <c r="W102" s="6">
        <v>2340</v>
      </c>
      <c r="X102">
        <v>1260</v>
      </c>
      <c r="Y102">
        <v>2390</v>
      </c>
      <c r="Z102" s="6">
        <v>478</v>
      </c>
      <c r="AA102">
        <v>1200</v>
      </c>
      <c r="AB102">
        <v>65</v>
      </c>
      <c r="AC102" s="6">
        <v>174</v>
      </c>
      <c r="AD102" s="6">
        <v>444</v>
      </c>
      <c r="AE102" s="6">
        <v>384</v>
      </c>
      <c r="AF102" s="6">
        <v>1</v>
      </c>
    </row>
    <row r="103" spans="1:32" x14ac:dyDescent="0.3">
      <c r="A103" s="4" t="s">
        <v>60</v>
      </c>
      <c r="B103" s="5">
        <v>7892.91</v>
      </c>
      <c r="C103">
        <v>8925</v>
      </c>
      <c r="D103">
        <v>4080</v>
      </c>
      <c r="E103">
        <v>4870</v>
      </c>
      <c r="F103">
        <v>4370</v>
      </c>
      <c r="G103">
        <v>3360</v>
      </c>
      <c r="H103">
        <v>5175</v>
      </c>
      <c r="I103">
        <v>9475</v>
      </c>
      <c r="J103">
        <v>8025</v>
      </c>
      <c r="K103">
        <v>1830</v>
      </c>
      <c r="L103">
        <v>22475</v>
      </c>
      <c r="M103">
        <v>2910</v>
      </c>
      <c r="N103">
        <v>2280</v>
      </c>
      <c r="O103">
        <v>1680</v>
      </c>
      <c r="P103" s="6">
        <v>645</v>
      </c>
      <c r="Q103">
        <v>2910</v>
      </c>
      <c r="R103">
        <v>1400</v>
      </c>
      <c r="S103">
        <v>4480</v>
      </c>
      <c r="T103">
        <v>1565</v>
      </c>
      <c r="U103">
        <v>2630</v>
      </c>
      <c r="V103">
        <v>24000</v>
      </c>
      <c r="W103" s="6">
        <v>2320</v>
      </c>
      <c r="X103">
        <v>1280</v>
      </c>
      <c r="Y103">
        <v>2350</v>
      </c>
      <c r="Z103" s="6">
        <v>480</v>
      </c>
      <c r="AA103">
        <v>1250</v>
      </c>
      <c r="AB103">
        <v>64</v>
      </c>
      <c r="AC103" s="6">
        <v>174</v>
      </c>
      <c r="AD103" s="6">
        <v>458</v>
      </c>
      <c r="AE103" s="6">
        <v>390</v>
      </c>
      <c r="AF103" s="6">
        <v>1.07</v>
      </c>
    </row>
    <row r="104" spans="1:32" x14ac:dyDescent="0.3">
      <c r="A104" s="3" t="s">
        <v>61</v>
      </c>
      <c r="B104" s="5">
        <v>7931.25</v>
      </c>
      <c r="C104">
        <v>8775</v>
      </c>
      <c r="D104">
        <v>4060</v>
      </c>
      <c r="E104">
        <v>4850</v>
      </c>
      <c r="F104">
        <v>4390</v>
      </c>
      <c r="G104">
        <v>3420</v>
      </c>
      <c r="H104">
        <v>5100</v>
      </c>
      <c r="I104">
        <v>9725</v>
      </c>
      <c r="J104">
        <v>8150</v>
      </c>
      <c r="K104">
        <v>1840</v>
      </c>
      <c r="L104">
        <v>22400</v>
      </c>
      <c r="M104">
        <v>2890</v>
      </c>
      <c r="N104">
        <v>2270</v>
      </c>
      <c r="O104">
        <v>1660</v>
      </c>
      <c r="P104" s="6">
        <v>635</v>
      </c>
      <c r="Q104">
        <v>2960</v>
      </c>
      <c r="R104">
        <v>1435</v>
      </c>
      <c r="S104">
        <v>4450</v>
      </c>
      <c r="T104">
        <v>1535</v>
      </c>
      <c r="U104">
        <v>2650</v>
      </c>
      <c r="V104">
        <v>24175</v>
      </c>
      <c r="W104" s="6">
        <v>2300</v>
      </c>
      <c r="X104">
        <v>1255</v>
      </c>
      <c r="Y104">
        <v>2310</v>
      </c>
      <c r="Z104" s="6">
        <v>482</v>
      </c>
      <c r="AA104">
        <v>1320</v>
      </c>
      <c r="AB104">
        <v>62</v>
      </c>
      <c r="AC104" s="6">
        <v>175</v>
      </c>
      <c r="AD104" s="6">
        <v>450</v>
      </c>
      <c r="AE104" s="6">
        <v>384</v>
      </c>
      <c r="AF104" s="6">
        <v>1.06</v>
      </c>
    </row>
    <row r="105" spans="1:32" x14ac:dyDescent="0.3">
      <c r="A105" s="4" t="s">
        <v>62</v>
      </c>
      <c r="B105" s="5">
        <v>7898.38</v>
      </c>
      <c r="C105">
        <v>8700</v>
      </c>
      <c r="D105">
        <v>4120</v>
      </c>
      <c r="E105">
        <v>4850</v>
      </c>
      <c r="F105">
        <v>4370</v>
      </c>
      <c r="G105">
        <v>3310</v>
      </c>
      <c r="H105">
        <v>5025</v>
      </c>
      <c r="I105">
        <v>9900</v>
      </c>
      <c r="J105">
        <v>8050</v>
      </c>
      <c r="K105">
        <v>1810</v>
      </c>
      <c r="L105">
        <v>22250</v>
      </c>
      <c r="M105">
        <v>2900</v>
      </c>
      <c r="N105">
        <v>2220</v>
      </c>
      <c r="O105">
        <v>1655</v>
      </c>
      <c r="P105" s="6">
        <v>615</v>
      </c>
      <c r="Q105">
        <v>2920</v>
      </c>
      <c r="R105">
        <v>1385</v>
      </c>
      <c r="S105">
        <v>4440</v>
      </c>
      <c r="T105">
        <v>1550</v>
      </c>
      <c r="U105">
        <v>2600</v>
      </c>
      <c r="V105">
        <v>24000</v>
      </c>
      <c r="W105" s="6">
        <v>2280</v>
      </c>
      <c r="X105">
        <v>1260</v>
      </c>
      <c r="Y105">
        <v>2260</v>
      </c>
      <c r="Z105" s="6">
        <v>472</v>
      </c>
      <c r="AA105">
        <v>1360</v>
      </c>
      <c r="AB105">
        <v>62</v>
      </c>
      <c r="AC105" s="6">
        <v>172</v>
      </c>
      <c r="AD105" s="6">
        <v>436</v>
      </c>
      <c r="AE105" s="6">
        <v>376</v>
      </c>
      <c r="AF105" s="6">
        <v>1.0349999999999999</v>
      </c>
    </row>
    <row r="106" spans="1:32" x14ac:dyDescent="0.3">
      <c r="A106" s="3" t="s">
        <v>63</v>
      </c>
      <c r="B106" s="5">
        <v>7862.95</v>
      </c>
      <c r="C106">
        <v>8500</v>
      </c>
      <c r="D106">
        <v>4040</v>
      </c>
      <c r="E106">
        <v>4800</v>
      </c>
      <c r="F106">
        <v>4330</v>
      </c>
      <c r="G106">
        <v>3250</v>
      </c>
      <c r="H106">
        <v>5525</v>
      </c>
      <c r="I106">
        <v>9775</v>
      </c>
      <c r="J106">
        <v>7925</v>
      </c>
      <c r="K106">
        <v>1800</v>
      </c>
      <c r="L106">
        <v>22050</v>
      </c>
      <c r="M106">
        <v>2810</v>
      </c>
      <c r="N106">
        <v>2310</v>
      </c>
      <c r="O106">
        <v>1665</v>
      </c>
      <c r="P106" s="6">
        <v>615</v>
      </c>
      <c r="Q106">
        <v>2960</v>
      </c>
      <c r="R106">
        <v>1365</v>
      </c>
      <c r="S106">
        <v>4520</v>
      </c>
      <c r="T106">
        <v>1530</v>
      </c>
      <c r="U106">
        <v>2700</v>
      </c>
      <c r="V106">
        <v>23675</v>
      </c>
      <c r="W106" s="6">
        <v>2230</v>
      </c>
      <c r="X106">
        <v>1220</v>
      </c>
      <c r="Y106">
        <v>2210</v>
      </c>
      <c r="Z106" s="6">
        <v>458</v>
      </c>
      <c r="AA106">
        <v>1320</v>
      </c>
      <c r="AB106">
        <v>61</v>
      </c>
      <c r="AC106" s="6">
        <v>179</v>
      </c>
      <c r="AD106" s="6">
        <v>446</v>
      </c>
      <c r="AE106" s="6">
        <v>376</v>
      </c>
      <c r="AF106" s="6">
        <v>1.04</v>
      </c>
    </row>
    <row r="107" spans="1:32" x14ac:dyDescent="0.3">
      <c r="A107" s="4" t="s">
        <v>64</v>
      </c>
      <c r="B107" s="5">
        <v>7943.83</v>
      </c>
      <c r="C107">
        <v>8525</v>
      </c>
      <c r="D107">
        <v>4150</v>
      </c>
      <c r="E107">
        <v>4950</v>
      </c>
      <c r="F107">
        <v>4430</v>
      </c>
      <c r="G107">
        <v>3220</v>
      </c>
      <c r="H107">
        <v>5525</v>
      </c>
      <c r="I107">
        <v>9650</v>
      </c>
      <c r="J107">
        <v>7975</v>
      </c>
      <c r="K107">
        <v>1810</v>
      </c>
      <c r="L107">
        <v>22275</v>
      </c>
      <c r="M107">
        <v>2840</v>
      </c>
      <c r="N107">
        <v>2320</v>
      </c>
      <c r="O107">
        <v>1690</v>
      </c>
      <c r="P107" s="6">
        <v>625</v>
      </c>
      <c r="Q107">
        <v>2950</v>
      </c>
      <c r="R107">
        <v>1400</v>
      </c>
      <c r="S107">
        <v>4510</v>
      </c>
      <c r="T107">
        <v>1570</v>
      </c>
      <c r="U107">
        <v>2820</v>
      </c>
      <c r="V107">
        <v>24400</v>
      </c>
      <c r="W107" s="6">
        <v>2350</v>
      </c>
      <c r="X107">
        <v>1230</v>
      </c>
      <c r="Y107">
        <v>2360</v>
      </c>
      <c r="Z107" s="6">
        <v>456</v>
      </c>
      <c r="AA107">
        <v>1315</v>
      </c>
      <c r="AB107">
        <v>61</v>
      </c>
      <c r="AC107" s="6">
        <v>175</v>
      </c>
      <c r="AD107" s="6">
        <v>468</v>
      </c>
      <c r="AE107" s="6">
        <v>388</v>
      </c>
      <c r="AF107" s="6">
        <v>1.0549999999999999</v>
      </c>
    </row>
    <row r="108" spans="1:32" x14ac:dyDescent="0.3">
      <c r="A108" s="3" t="s">
        <v>65</v>
      </c>
      <c r="B108" s="5">
        <v>7890.71</v>
      </c>
      <c r="C108">
        <v>8550</v>
      </c>
      <c r="D108">
        <v>4150</v>
      </c>
      <c r="E108">
        <v>4900</v>
      </c>
      <c r="F108">
        <v>4490</v>
      </c>
      <c r="G108">
        <v>3250</v>
      </c>
      <c r="H108">
        <v>5625</v>
      </c>
      <c r="I108">
        <v>9550</v>
      </c>
      <c r="J108">
        <v>7925</v>
      </c>
      <c r="K108">
        <v>1780</v>
      </c>
      <c r="L108">
        <v>22275</v>
      </c>
      <c r="M108">
        <v>2830</v>
      </c>
      <c r="N108">
        <v>2280</v>
      </c>
      <c r="O108">
        <v>1725</v>
      </c>
      <c r="P108" s="6">
        <v>615</v>
      </c>
      <c r="Q108">
        <v>2930</v>
      </c>
      <c r="R108">
        <v>1410</v>
      </c>
      <c r="S108">
        <v>4530</v>
      </c>
      <c r="T108">
        <v>1645</v>
      </c>
      <c r="U108">
        <v>2770</v>
      </c>
      <c r="V108">
        <v>25800</v>
      </c>
      <c r="W108" s="6">
        <v>2280</v>
      </c>
      <c r="X108">
        <v>1225</v>
      </c>
      <c r="Y108">
        <v>2410</v>
      </c>
      <c r="Z108" s="6">
        <v>460</v>
      </c>
      <c r="AA108">
        <v>1330</v>
      </c>
      <c r="AB108">
        <v>61</v>
      </c>
      <c r="AC108" s="6">
        <v>176</v>
      </c>
      <c r="AD108" s="6">
        <v>460</v>
      </c>
      <c r="AE108" s="6">
        <v>386</v>
      </c>
      <c r="AF108" s="6">
        <v>1.0249999999999999</v>
      </c>
    </row>
    <row r="109" spans="1:32" x14ac:dyDescent="0.3">
      <c r="A109" s="4" t="s">
        <v>66</v>
      </c>
      <c r="B109" s="5">
        <v>7858.85</v>
      </c>
      <c r="C109">
        <v>8450</v>
      </c>
      <c r="D109">
        <v>4100</v>
      </c>
      <c r="E109">
        <v>4890</v>
      </c>
      <c r="F109">
        <v>4390</v>
      </c>
      <c r="G109">
        <v>3240</v>
      </c>
      <c r="H109">
        <v>5700</v>
      </c>
      <c r="I109">
        <v>9575</v>
      </c>
      <c r="J109">
        <v>7850</v>
      </c>
      <c r="K109">
        <v>1775</v>
      </c>
      <c r="L109">
        <v>22300</v>
      </c>
      <c r="M109">
        <v>2820</v>
      </c>
      <c r="N109">
        <v>2280</v>
      </c>
      <c r="O109">
        <v>1720</v>
      </c>
      <c r="P109" s="6">
        <v>605</v>
      </c>
      <c r="Q109">
        <v>2930</v>
      </c>
      <c r="R109">
        <v>1355</v>
      </c>
      <c r="S109">
        <v>4520</v>
      </c>
      <c r="T109">
        <v>1645</v>
      </c>
      <c r="U109">
        <v>2750</v>
      </c>
      <c r="V109">
        <v>25800</v>
      </c>
      <c r="W109" s="6">
        <v>2250</v>
      </c>
      <c r="X109">
        <v>1230</v>
      </c>
      <c r="Y109">
        <v>2300</v>
      </c>
      <c r="Z109" s="6">
        <v>456</v>
      </c>
      <c r="AA109">
        <v>1350</v>
      </c>
      <c r="AB109">
        <v>61</v>
      </c>
      <c r="AC109" s="6">
        <v>180</v>
      </c>
      <c r="AD109" s="6">
        <v>458</v>
      </c>
      <c r="AE109" s="6">
        <v>382</v>
      </c>
      <c r="AF109" s="6">
        <v>1.01</v>
      </c>
    </row>
    <row r="110" spans="1:32" x14ac:dyDescent="0.3">
      <c r="A110" s="3" t="s">
        <v>67</v>
      </c>
      <c r="B110" s="5">
        <v>7926.91</v>
      </c>
      <c r="C110">
        <v>8475</v>
      </c>
      <c r="D110">
        <v>4210</v>
      </c>
      <c r="E110">
        <v>4950</v>
      </c>
      <c r="F110">
        <v>4450</v>
      </c>
      <c r="G110">
        <v>3310</v>
      </c>
      <c r="H110">
        <v>5750</v>
      </c>
      <c r="I110">
        <v>9500</v>
      </c>
      <c r="J110">
        <v>7700</v>
      </c>
      <c r="K110">
        <v>1740</v>
      </c>
      <c r="L110">
        <v>22400</v>
      </c>
      <c r="M110">
        <v>2870</v>
      </c>
      <c r="N110">
        <v>2260</v>
      </c>
      <c r="O110">
        <v>1720</v>
      </c>
      <c r="P110" s="6">
        <v>685</v>
      </c>
      <c r="Q110">
        <v>2930</v>
      </c>
      <c r="R110">
        <v>1300</v>
      </c>
      <c r="S110">
        <v>4480</v>
      </c>
      <c r="T110">
        <v>1615</v>
      </c>
      <c r="U110">
        <v>2810</v>
      </c>
      <c r="V110">
        <v>25225</v>
      </c>
      <c r="W110" s="6">
        <v>2270</v>
      </c>
      <c r="X110">
        <v>1250</v>
      </c>
      <c r="Y110">
        <v>2280</v>
      </c>
      <c r="Z110" s="6">
        <v>460</v>
      </c>
      <c r="AA110">
        <v>1355</v>
      </c>
      <c r="AB110">
        <v>60</v>
      </c>
      <c r="AC110" s="6">
        <v>183</v>
      </c>
      <c r="AD110" s="6">
        <v>474</v>
      </c>
      <c r="AE110" s="6">
        <v>388</v>
      </c>
      <c r="AF110" s="6">
        <v>1.0649999999999999</v>
      </c>
    </row>
    <row r="111" spans="1:32" x14ac:dyDescent="0.3">
      <c r="A111" s="4" t="s">
        <v>68</v>
      </c>
      <c r="B111" s="5">
        <v>7905.76</v>
      </c>
      <c r="C111">
        <v>8250</v>
      </c>
      <c r="D111">
        <v>4170</v>
      </c>
      <c r="E111">
        <v>4900</v>
      </c>
      <c r="F111">
        <v>4540</v>
      </c>
      <c r="G111">
        <v>3260</v>
      </c>
      <c r="H111">
        <v>5625</v>
      </c>
      <c r="I111">
        <v>9375</v>
      </c>
      <c r="J111">
        <v>7800</v>
      </c>
      <c r="K111">
        <v>1735</v>
      </c>
      <c r="L111">
        <v>22375</v>
      </c>
      <c r="M111">
        <v>2880</v>
      </c>
      <c r="N111">
        <v>2230</v>
      </c>
      <c r="O111">
        <v>1705</v>
      </c>
      <c r="P111" s="6">
        <v>635</v>
      </c>
      <c r="Q111">
        <v>2960</v>
      </c>
      <c r="R111">
        <v>1290</v>
      </c>
      <c r="S111">
        <v>4430</v>
      </c>
      <c r="T111">
        <v>1605</v>
      </c>
      <c r="U111">
        <v>2770</v>
      </c>
      <c r="V111">
        <v>24600</v>
      </c>
      <c r="W111" s="6">
        <v>2180</v>
      </c>
      <c r="X111">
        <v>1225</v>
      </c>
      <c r="Y111">
        <v>2280</v>
      </c>
      <c r="Z111" s="6">
        <v>460</v>
      </c>
      <c r="AA111">
        <v>1320</v>
      </c>
      <c r="AB111">
        <v>61</v>
      </c>
      <c r="AC111" s="6">
        <v>180</v>
      </c>
      <c r="AD111" s="6">
        <v>464</v>
      </c>
      <c r="AE111" s="6">
        <v>384</v>
      </c>
      <c r="AF111" s="6">
        <v>1.07</v>
      </c>
    </row>
    <row r="112" spans="1:32" x14ac:dyDescent="0.3">
      <c r="A112" s="3" t="s">
        <v>69</v>
      </c>
      <c r="B112" s="5">
        <v>7936.18</v>
      </c>
      <c r="C112">
        <v>8300</v>
      </c>
      <c r="D112">
        <v>4130</v>
      </c>
      <c r="E112">
        <v>4800</v>
      </c>
      <c r="F112">
        <v>4450</v>
      </c>
      <c r="G112">
        <v>3170</v>
      </c>
      <c r="H112">
        <v>5500</v>
      </c>
      <c r="I112">
        <v>9325</v>
      </c>
      <c r="J112">
        <v>7600</v>
      </c>
      <c r="K112">
        <v>1805</v>
      </c>
      <c r="L112">
        <v>22400</v>
      </c>
      <c r="M112">
        <v>2960</v>
      </c>
      <c r="N112">
        <v>2390</v>
      </c>
      <c r="O112">
        <v>1665</v>
      </c>
      <c r="P112" s="6">
        <v>650</v>
      </c>
      <c r="Q112">
        <v>2760</v>
      </c>
      <c r="R112">
        <v>1290</v>
      </c>
      <c r="S112">
        <v>4380</v>
      </c>
      <c r="T112">
        <v>1665</v>
      </c>
      <c r="U112">
        <v>2730</v>
      </c>
      <c r="V112">
        <v>25000</v>
      </c>
      <c r="W112" s="6">
        <v>2290</v>
      </c>
      <c r="X112">
        <v>1215</v>
      </c>
      <c r="Y112">
        <v>2250</v>
      </c>
      <c r="Z112" s="6">
        <v>458</v>
      </c>
      <c r="AA112">
        <v>1265</v>
      </c>
      <c r="AB112">
        <v>60</v>
      </c>
      <c r="AC112" s="6">
        <v>176</v>
      </c>
      <c r="AD112" s="6">
        <v>464</v>
      </c>
      <c r="AE112" s="6">
        <v>382</v>
      </c>
      <c r="AF112" s="6">
        <v>1.075</v>
      </c>
    </row>
    <row r="113" spans="1:32" x14ac:dyDescent="0.3">
      <c r="A113" s="4" t="s">
        <v>70</v>
      </c>
      <c r="B113" s="5">
        <v>7952.09</v>
      </c>
      <c r="C113">
        <v>8325</v>
      </c>
      <c r="D113">
        <v>4140</v>
      </c>
      <c r="E113">
        <v>4770</v>
      </c>
      <c r="F113">
        <v>4460</v>
      </c>
      <c r="G113">
        <v>3180</v>
      </c>
      <c r="H113">
        <v>5575</v>
      </c>
      <c r="I113">
        <v>9300</v>
      </c>
      <c r="J113">
        <v>7600</v>
      </c>
      <c r="K113">
        <v>1770</v>
      </c>
      <c r="L113">
        <v>22425</v>
      </c>
      <c r="M113">
        <v>2980</v>
      </c>
      <c r="N113">
        <v>2510</v>
      </c>
      <c r="O113">
        <v>1715</v>
      </c>
      <c r="P113" s="6">
        <v>645</v>
      </c>
      <c r="Q113">
        <v>2770</v>
      </c>
      <c r="R113">
        <v>1270</v>
      </c>
      <c r="S113">
        <v>4380</v>
      </c>
      <c r="T113">
        <v>1650</v>
      </c>
      <c r="U113">
        <v>2730</v>
      </c>
      <c r="V113">
        <v>24675</v>
      </c>
      <c r="W113" s="6">
        <v>2260</v>
      </c>
      <c r="X113">
        <v>1225</v>
      </c>
      <c r="Y113">
        <v>2230</v>
      </c>
      <c r="Z113" s="6">
        <v>466</v>
      </c>
      <c r="AA113">
        <v>1250</v>
      </c>
      <c r="AB113">
        <v>59</v>
      </c>
      <c r="AC113" s="6">
        <v>178</v>
      </c>
      <c r="AD113" s="6">
        <v>468</v>
      </c>
      <c r="AE113" s="6">
        <v>378</v>
      </c>
      <c r="AF113" s="6">
        <v>1.06</v>
      </c>
    </row>
    <row r="114" spans="1:32" x14ac:dyDescent="0.3">
      <c r="A114" s="3" t="s">
        <v>71</v>
      </c>
      <c r="B114" s="5">
        <v>7830.49</v>
      </c>
      <c r="C114">
        <v>8075</v>
      </c>
      <c r="D114">
        <v>4050</v>
      </c>
      <c r="E114">
        <v>4730</v>
      </c>
      <c r="F114">
        <v>4380</v>
      </c>
      <c r="G114">
        <v>3130</v>
      </c>
      <c r="H114">
        <v>5500</v>
      </c>
      <c r="I114">
        <v>8975</v>
      </c>
      <c r="J114">
        <v>7450</v>
      </c>
      <c r="K114">
        <v>1755</v>
      </c>
      <c r="L114">
        <v>22125</v>
      </c>
      <c r="M114">
        <v>3040</v>
      </c>
      <c r="N114">
        <v>2470</v>
      </c>
      <c r="O114">
        <v>1710</v>
      </c>
      <c r="P114" s="6">
        <v>615</v>
      </c>
      <c r="Q114">
        <v>2750</v>
      </c>
      <c r="R114">
        <v>1215</v>
      </c>
      <c r="S114">
        <v>4270</v>
      </c>
      <c r="T114">
        <v>1640</v>
      </c>
      <c r="U114">
        <v>2650</v>
      </c>
      <c r="V114">
        <v>24400</v>
      </c>
      <c r="W114" s="6">
        <v>2190</v>
      </c>
      <c r="X114">
        <v>1195</v>
      </c>
      <c r="Y114">
        <v>2200</v>
      </c>
      <c r="Z114" s="6">
        <v>456</v>
      </c>
      <c r="AA114">
        <v>1205</v>
      </c>
      <c r="AB114">
        <v>58</v>
      </c>
      <c r="AC114" s="6">
        <v>174</v>
      </c>
      <c r="AD114" s="6">
        <v>448</v>
      </c>
      <c r="AE114" s="6">
        <v>372</v>
      </c>
      <c r="AF114" s="6">
        <v>1.0149999999999999</v>
      </c>
    </row>
    <row r="115" spans="1:32" x14ac:dyDescent="0.3">
      <c r="A115" s="2">
        <v>45666</v>
      </c>
      <c r="B115" s="5">
        <v>7736.07</v>
      </c>
      <c r="C115">
        <v>8000</v>
      </c>
      <c r="D115">
        <v>3980</v>
      </c>
      <c r="E115">
        <v>4600</v>
      </c>
      <c r="F115">
        <v>4320</v>
      </c>
      <c r="G115">
        <v>3110</v>
      </c>
      <c r="H115">
        <v>5450</v>
      </c>
      <c r="I115">
        <v>9200</v>
      </c>
      <c r="J115">
        <v>7400</v>
      </c>
      <c r="K115">
        <v>1720</v>
      </c>
      <c r="L115">
        <v>22200</v>
      </c>
      <c r="M115">
        <v>3200</v>
      </c>
      <c r="N115">
        <v>2490</v>
      </c>
      <c r="O115">
        <v>1665</v>
      </c>
      <c r="P115" s="6">
        <v>605</v>
      </c>
      <c r="Q115">
        <v>2720</v>
      </c>
      <c r="R115">
        <v>1175</v>
      </c>
      <c r="S115">
        <v>4300</v>
      </c>
      <c r="T115">
        <v>1620</v>
      </c>
      <c r="U115">
        <v>2720</v>
      </c>
      <c r="V115">
        <v>24475</v>
      </c>
      <c r="W115" s="6">
        <v>2130</v>
      </c>
      <c r="X115">
        <v>1190</v>
      </c>
      <c r="Y115">
        <v>2160</v>
      </c>
      <c r="Z115" s="6">
        <v>444</v>
      </c>
      <c r="AA115">
        <v>1190</v>
      </c>
      <c r="AB115">
        <v>58</v>
      </c>
      <c r="AC115" s="6">
        <v>168</v>
      </c>
      <c r="AD115" s="6">
        <v>444</v>
      </c>
      <c r="AE115" s="6">
        <v>354</v>
      </c>
      <c r="AF115" s="6">
        <v>985</v>
      </c>
    </row>
    <row r="116" spans="1:32" x14ac:dyDescent="0.3">
      <c r="A116" s="1">
        <v>45697</v>
      </c>
      <c r="B116" s="5">
        <v>7801.58</v>
      </c>
      <c r="C116">
        <v>8000</v>
      </c>
      <c r="D116">
        <v>3960</v>
      </c>
      <c r="E116">
        <v>4570</v>
      </c>
      <c r="F116">
        <v>4310</v>
      </c>
      <c r="G116">
        <v>3070</v>
      </c>
      <c r="H116">
        <v>5475</v>
      </c>
      <c r="I116">
        <v>9200</v>
      </c>
      <c r="J116">
        <v>7500</v>
      </c>
      <c r="K116">
        <v>1720</v>
      </c>
      <c r="L116">
        <v>22350</v>
      </c>
      <c r="M116">
        <v>3470</v>
      </c>
      <c r="N116">
        <v>2570</v>
      </c>
      <c r="O116">
        <v>1700</v>
      </c>
      <c r="P116" s="6">
        <v>595</v>
      </c>
      <c r="Q116">
        <v>2770</v>
      </c>
      <c r="R116">
        <v>1160</v>
      </c>
      <c r="S116">
        <v>4330</v>
      </c>
      <c r="T116">
        <v>1715</v>
      </c>
      <c r="U116">
        <v>2710</v>
      </c>
      <c r="V116">
        <v>25900</v>
      </c>
      <c r="W116" s="6">
        <v>2280</v>
      </c>
      <c r="X116">
        <v>1200</v>
      </c>
      <c r="Y116">
        <v>2110</v>
      </c>
      <c r="Z116" s="6">
        <v>442</v>
      </c>
      <c r="AA116">
        <v>1180</v>
      </c>
      <c r="AB116">
        <v>58</v>
      </c>
      <c r="AC116" s="6">
        <v>176</v>
      </c>
      <c r="AD116" s="6">
        <v>456</v>
      </c>
      <c r="AE116" s="6">
        <v>368</v>
      </c>
      <c r="AF116" s="6">
        <v>1.01</v>
      </c>
    </row>
    <row r="117" spans="1:32" x14ac:dyDescent="0.3">
      <c r="A117" s="2">
        <v>45725</v>
      </c>
      <c r="B117" s="5">
        <v>7885.86</v>
      </c>
      <c r="C117">
        <v>7975</v>
      </c>
      <c r="D117">
        <v>4030</v>
      </c>
      <c r="E117">
        <v>4620</v>
      </c>
      <c r="F117">
        <v>4410</v>
      </c>
      <c r="G117">
        <v>3110</v>
      </c>
      <c r="H117">
        <v>5500</v>
      </c>
      <c r="I117">
        <v>9300</v>
      </c>
      <c r="J117">
        <v>7700</v>
      </c>
      <c r="K117">
        <v>1730</v>
      </c>
      <c r="L117">
        <v>22275</v>
      </c>
      <c r="M117">
        <v>3480</v>
      </c>
      <c r="N117">
        <v>2550</v>
      </c>
      <c r="O117">
        <v>1760</v>
      </c>
      <c r="P117" s="6">
        <v>595</v>
      </c>
      <c r="Q117">
        <v>2750</v>
      </c>
      <c r="R117">
        <v>1180</v>
      </c>
      <c r="S117">
        <v>4430</v>
      </c>
      <c r="T117">
        <v>1680</v>
      </c>
      <c r="U117">
        <v>2800</v>
      </c>
      <c r="V117">
        <v>25600</v>
      </c>
      <c r="W117" s="6">
        <v>2200</v>
      </c>
      <c r="X117">
        <v>1235</v>
      </c>
      <c r="Y117">
        <v>2140</v>
      </c>
      <c r="Z117" s="6">
        <v>436</v>
      </c>
      <c r="AA117">
        <v>1180</v>
      </c>
      <c r="AB117">
        <v>58</v>
      </c>
      <c r="AC117" s="6">
        <v>174</v>
      </c>
      <c r="AD117" s="6">
        <v>450</v>
      </c>
      <c r="AE117" s="6">
        <v>370</v>
      </c>
      <c r="AF117" s="6">
        <v>990</v>
      </c>
    </row>
    <row r="118" spans="1:32" x14ac:dyDescent="0.3">
      <c r="A118" s="1">
        <v>45756</v>
      </c>
      <c r="B118" s="5">
        <v>7867.35</v>
      </c>
      <c r="C118">
        <v>8000</v>
      </c>
      <c r="D118">
        <v>4000</v>
      </c>
      <c r="E118">
        <v>4680</v>
      </c>
      <c r="F118">
        <v>4370</v>
      </c>
      <c r="G118">
        <v>3150</v>
      </c>
      <c r="H118">
        <v>5500</v>
      </c>
      <c r="I118">
        <v>9250</v>
      </c>
      <c r="J118">
        <v>7525</v>
      </c>
      <c r="K118">
        <v>1760</v>
      </c>
      <c r="L118">
        <v>22350</v>
      </c>
      <c r="M118">
        <v>3390</v>
      </c>
      <c r="N118">
        <v>2620</v>
      </c>
      <c r="O118">
        <v>1770</v>
      </c>
      <c r="P118" s="6">
        <v>600</v>
      </c>
      <c r="Q118">
        <v>2740</v>
      </c>
      <c r="R118">
        <v>1180</v>
      </c>
      <c r="S118">
        <v>4520</v>
      </c>
      <c r="T118">
        <v>1760</v>
      </c>
      <c r="U118">
        <v>2780</v>
      </c>
      <c r="V118">
        <v>25350</v>
      </c>
      <c r="W118" s="6">
        <v>2200</v>
      </c>
      <c r="X118">
        <v>1230</v>
      </c>
      <c r="Y118">
        <v>2080</v>
      </c>
      <c r="Z118" s="6">
        <v>440</v>
      </c>
      <c r="AA118">
        <v>1170</v>
      </c>
      <c r="AB118">
        <v>59</v>
      </c>
      <c r="AC118" s="6">
        <v>175</v>
      </c>
      <c r="AD118" s="6">
        <v>452</v>
      </c>
      <c r="AE118" s="6">
        <v>372</v>
      </c>
      <c r="AF118" s="6">
        <v>990</v>
      </c>
    </row>
    <row r="119" spans="1:32" x14ac:dyDescent="0.3">
      <c r="A119" s="2">
        <v>45878</v>
      </c>
      <c r="B119" s="5">
        <v>7766.85</v>
      </c>
      <c r="C119">
        <v>7700</v>
      </c>
      <c r="D119">
        <v>3900</v>
      </c>
      <c r="E119">
        <v>4490</v>
      </c>
      <c r="F119">
        <v>4180</v>
      </c>
      <c r="G119">
        <v>3090</v>
      </c>
      <c r="H119">
        <v>5425</v>
      </c>
      <c r="I119">
        <v>9375</v>
      </c>
      <c r="J119">
        <v>7425</v>
      </c>
      <c r="K119">
        <v>1720</v>
      </c>
      <c r="L119">
        <v>22275</v>
      </c>
      <c r="M119">
        <v>3610</v>
      </c>
      <c r="N119">
        <v>2640</v>
      </c>
      <c r="O119">
        <v>1725</v>
      </c>
      <c r="P119" s="6">
        <v>590</v>
      </c>
      <c r="Q119">
        <v>2680</v>
      </c>
      <c r="R119">
        <v>1150</v>
      </c>
      <c r="S119">
        <v>4530</v>
      </c>
      <c r="T119">
        <v>1690</v>
      </c>
      <c r="U119">
        <v>2780</v>
      </c>
      <c r="V119">
        <v>26450</v>
      </c>
      <c r="W119" s="6">
        <v>2150</v>
      </c>
      <c r="X119">
        <v>1220</v>
      </c>
      <c r="Y119">
        <v>2080</v>
      </c>
      <c r="Z119" s="6">
        <v>432</v>
      </c>
      <c r="AA119">
        <v>1140</v>
      </c>
      <c r="AB119">
        <v>58</v>
      </c>
      <c r="AC119" s="6">
        <v>171</v>
      </c>
      <c r="AD119" s="6">
        <v>446</v>
      </c>
      <c r="AE119" s="6">
        <v>364</v>
      </c>
      <c r="AF119" s="6">
        <v>960</v>
      </c>
    </row>
    <row r="120" spans="1:32" x14ac:dyDescent="0.3">
      <c r="A120" s="1">
        <v>45909</v>
      </c>
      <c r="B120" s="5">
        <v>7628.6</v>
      </c>
      <c r="C120">
        <v>7525</v>
      </c>
      <c r="D120">
        <v>3790</v>
      </c>
      <c r="E120">
        <v>4310</v>
      </c>
      <c r="F120">
        <v>4080</v>
      </c>
      <c r="G120">
        <v>3050</v>
      </c>
      <c r="H120">
        <v>5525</v>
      </c>
      <c r="I120">
        <v>9225</v>
      </c>
      <c r="J120">
        <v>7350</v>
      </c>
      <c r="K120">
        <v>1685</v>
      </c>
      <c r="L120">
        <v>22250</v>
      </c>
      <c r="M120">
        <v>3660</v>
      </c>
      <c r="N120">
        <v>2700</v>
      </c>
      <c r="O120">
        <v>1725</v>
      </c>
      <c r="P120" s="6">
        <v>590</v>
      </c>
      <c r="Q120">
        <v>2590</v>
      </c>
      <c r="R120">
        <v>1140</v>
      </c>
      <c r="S120">
        <v>4480</v>
      </c>
      <c r="T120">
        <v>1785</v>
      </c>
      <c r="U120">
        <v>2740</v>
      </c>
      <c r="V120">
        <v>27200</v>
      </c>
      <c r="W120" s="6">
        <v>2150</v>
      </c>
      <c r="X120">
        <v>1220</v>
      </c>
      <c r="Y120">
        <v>2050</v>
      </c>
      <c r="Z120" s="6">
        <v>424</v>
      </c>
      <c r="AA120">
        <v>1120</v>
      </c>
      <c r="AB120">
        <v>56</v>
      </c>
      <c r="AC120" s="6">
        <v>169</v>
      </c>
      <c r="AD120" s="6">
        <v>440</v>
      </c>
      <c r="AE120" s="6">
        <v>366</v>
      </c>
      <c r="AF120" s="6">
        <v>945</v>
      </c>
    </row>
    <row r="121" spans="1:32" x14ac:dyDescent="0.3">
      <c r="A121" s="2">
        <v>45939</v>
      </c>
      <c r="B121" s="5">
        <v>7699.01</v>
      </c>
      <c r="C121">
        <v>7800</v>
      </c>
      <c r="D121">
        <v>3880</v>
      </c>
      <c r="E121">
        <v>4400</v>
      </c>
      <c r="F121">
        <v>4100</v>
      </c>
      <c r="G121">
        <v>3150</v>
      </c>
      <c r="H121">
        <v>5475</v>
      </c>
      <c r="I121">
        <v>9225</v>
      </c>
      <c r="J121">
        <v>7425</v>
      </c>
      <c r="K121">
        <v>1685</v>
      </c>
      <c r="L121">
        <v>22200</v>
      </c>
      <c r="M121">
        <v>3510</v>
      </c>
      <c r="N121">
        <v>2600</v>
      </c>
      <c r="O121">
        <v>1710</v>
      </c>
      <c r="P121" s="6">
        <v>580</v>
      </c>
      <c r="Q121">
        <v>2600</v>
      </c>
      <c r="R121">
        <v>1160</v>
      </c>
      <c r="S121">
        <v>4490</v>
      </c>
      <c r="T121">
        <v>1770</v>
      </c>
      <c r="U121">
        <v>2710</v>
      </c>
      <c r="V121">
        <v>26350</v>
      </c>
      <c r="W121" s="6">
        <v>2260</v>
      </c>
      <c r="X121">
        <v>1230</v>
      </c>
      <c r="Y121">
        <v>2130</v>
      </c>
      <c r="Z121" s="6">
        <v>430</v>
      </c>
      <c r="AA121">
        <v>1175</v>
      </c>
      <c r="AB121">
        <v>56</v>
      </c>
      <c r="AC121" s="6">
        <v>163</v>
      </c>
      <c r="AD121" s="6">
        <v>426</v>
      </c>
      <c r="AE121" s="6">
        <v>362</v>
      </c>
      <c r="AF121" s="6">
        <v>940</v>
      </c>
    </row>
    <row r="122" spans="1:32" x14ac:dyDescent="0.3">
      <c r="A122" s="1">
        <v>45970</v>
      </c>
      <c r="B122" s="5">
        <v>7747.9</v>
      </c>
      <c r="C122">
        <v>7850</v>
      </c>
      <c r="D122">
        <v>4080</v>
      </c>
      <c r="E122">
        <v>4480</v>
      </c>
      <c r="F122">
        <v>4420</v>
      </c>
      <c r="G122">
        <v>3080</v>
      </c>
      <c r="H122">
        <v>5550</v>
      </c>
      <c r="I122">
        <v>9300</v>
      </c>
      <c r="J122">
        <v>7475</v>
      </c>
      <c r="K122">
        <v>1680</v>
      </c>
      <c r="L122">
        <v>22325</v>
      </c>
      <c r="M122">
        <v>3390</v>
      </c>
      <c r="N122">
        <v>2500</v>
      </c>
      <c r="O122">
        <v>1750</v>
      </c>
      <c r="P122" s="6">
        <v>585</v>
      </c>
      <c r="Q122">
        <v>2590</v>
      </c>
      <c r="R122">
        <v>1200</v>
      </c>
      <c r="S122">
        <v>4680</v>
      </c>
      <c r="T122">
        <v>1885</v>
      </c>
      <c r="U122">
        <v>2780</v>
      </c>
      <c r="V122">
        <v>26525</v>
      </c>
      <c r="W122" s="6">
        <v>2250</v>
      </c>
      <c r="X122">
        <v>1220</v>
      </c>
      <c r="Y122">
        <v>2170</v>
      </c>
      <c r="Z122" s="6">
        <v>434</v>
      </c>
      <c r="AA122">
        <v>1175</v>
      </c>
      <c r="AB122">
        <v>57</v>
      </c>
      <c r="AC122" s="6">
        <v>158</v>
      </c>
      <c r="AD122" s="6">
        <v>448</v>
      </c>
      <c r="AE122" s="6">
        <v>362</v>
      </c>
      <c r="AF122" s="6">
        <v>960</v>
      </c>
    </row>
    <row r="123" spans="1:32" x14ac:dyDescent="0.3">
      <c r="A123" s="2">
        <v>46000</v>
      </c>
      <c r="B123" s="5">
        <v>7854.06</v>
      </c>
      <c r="C123">
        <v>7925</v>
      </c>
      <c r="D123">
        <v>4180</v>
      </c>
      <c r="E123">
        <v>4520</v>
      </c>
      <c r="F123">
        <v>4520</v>
      </c>
      <c r="G123">
        <v>3100</v>
      </c>
      <c r="H123">
        <v>5675</v>
      </c>
      <c r="I123">
        <v>9250</v>
      </c>
      <c r="J123">
        <v>7550</v>
      </c>
      <c r="K123">
        <v>1670</v>
      </c>
      <c r="L123">
        <v>22325</v>
      </c>
      <c r="M123">
        <v>3490</v>
      </c>
      <c r="N123">
        <v>2530</v>
      </c>
      <c r="O123">
        <v>1795</v>
      </c>
      <c r="P123" s="6">
        <v>585</v>
      </c>
      <c r="Q123">
        <v>2590</v>
      </c>
      <c r="R123">
        <v>1180</v>
      </c>
      <c r="S123">
        <v>4700</v>
      </c>
      <c r="T123">
        <v>1935</v>
      </c>
      <c r="U123">
        <v>2870</v>
      </c>
      <c r="V123">
        <v>26475</v>
      </c>
      <c r="W123" s="6">
        <v>2260</v>
      </c>
      <c r="X123">
        <v>1205</v>
      </c>
      <c r="Y123">
        <v>2150</v>
      </c>
      <c r="Z123" s="6">
        <v>434</v>
      </c>
      <c r="AA123">
        <v>1180</v>
      </c>
      <c r="AB123">
        <v>57</v>
      </c>
      <c r="AC123" s="6">
        <v>156</v>
      </c>
      <c r="AD123" s="6">
        <v>452</v>
      </c>
      <c r="AE123" s="6">
        <v>366</v>
      </c>
      <c r="AF123" s="6">
        <v>945</v>
      </c>
    </row>
    <row r="124" spans="1:32" x14ac:dyDescent="0.3">
      <c r="A124" s="3" t="s">
        <v>72</v>
      </c>
      <c r="B124" s="5">
        <v>7937.12</v>
      </c>
      <c r="C124">
        <v>8025</v>
      </c>
      <c r="D124">
        <v>4140</v>
      </c>
      <c r="E124">
        <v>4530</v>
      </c>
      <c r="F124">
        <v>4410</v>
      </c>
      <c r="G124">
        <v>3260</v>
      </c>
      <c r="H124">
        <v>5625</v>
      </c>
      <c r="I124">
        <v>9225</v>
      </c>
      <c r="J124">
        <v>7650</v>
      </c>
      <c r="K124">
        <v>1680</v>
      </c>
      <c r="L124">
        <v>22450</v>
      </c>
      <c r="M124">
        <v>3490</v>
      </c>
      <c r="N124">
        <v>2520</v>
      </c>
      <c r="O124">
        <v>1770</v>
      </c>
      <c r="P124" s="6">
        <v>590</v>
      </c>
      <c r="Q124">
        <v>2590</v>
      </c>
      <c r="R124">
        <v>1175</v>
      </c>
      <c r="S124">
        <v>4750</v>
      </c>
      <c r="T124">
        <v>1895</v>
      </c>
      <c r="U124">
        <v>2890</v>
      </c>
      <c r="V124">
        <v>26300</v>
      </c>
      <c r="W124" s="6">
        <v>2340</v>
      </c>
      <c r="X124">
        <v>1200</v>
      </c>
      <c r="Y124">
        <v>2130</v>
      </c>
      <c r="Z124" s="6">
        <v>440</v>
      </c>
      <c r="AA124">
        <v>1200</v>
      </c>
      <c r="AB124">
        <v>57</v>
      </c>
      <c r="AC124" s="6">
        <v>155</v>
      </c>
      <c r="AD124" s="6">
        <v>464</v>
      </c>
      <c r="AE124" s="6">
        <v>374</v>
      </c>
      <c r="AF124" s="6">
        <v>980</v>
      </c>
    </row>
    <row r="125" spans="1:32" x14ac:dyDescent="0.3">
      <c r="A125" s="4" t="s">
        <v>73</v>
      </c>
      <c r="B125" s="5">
        <v>7957.7</v>
      </c>
      <c r="C125">
        <v>7925</v>
      </c>
      <c r="D125">
        <v>4130</v>
      </c>
      <c r="E125">
        <v>4480</v>
      </c>
      <c r="F125">
        <v>4370</v>
      </c>
      <c r="G125">
        <v>3300</v>
      </c>
      <c r="H125">
        <v>5650</v>
      </c>
      <c r="I125">
        <v>9300</v>
      </c>
      <c r="J125">
        <v>7650</v>
      </c>
      <c r="K125">
        <v>1650</v>
      </c>
      <c r="L125">
        <v>22350</v>
      </c>
      <c r="M125">
        <v>3600</v>
      </c>
      <c r="N125">
        <v>2540</v>
      </c>
      <c r="O125">
        <v>1745</v>
      </c>
      <c r="P125" s="6">
        <v>600</v>
      </c>
      <c r="Q125">
        <v>2650</v>
      </c>
      <c r="R125">
        <v>1190</v>
      </c>
      <c r="S125">
        <v>4810</v>
      </c>
      <c r="T125">
        <v>1950</v>
      </c>
      <c r="U125">
        <v>2930</v>
      </c>
      <c r="V125">
        <v>26700</v>
      </c>
      <c r="W125" s="6">
        <v>2320</v>
      </c>
      <c r="X125">
        <v>1240</v>
      </c>
      <c r="Y125">
        <v>2110</v>
      </c>
      <c r="Z125" s="6">
        <v>436</v>
      </c>
      <c r="AA125">
        <v>1230</v>
      </c>
      <c r="AB125">
        <v>57</v>
      </c>
      <c r="AC125" s="6">
        <v>151</v>
      </c>
      <c r="AD125" s="6">
        <v>458</v>
      </c>
      <c r="AE125" s="6">
        <v>376</v>
      </c>
      <c r="AF125" s="6">
        <v>975</v>
      </c>
    </row>
    <row r="126" spans="1:32" x14ac:dyDescent="0.3">
      <c r="A126" s="3" t="s">
        <v>74</v>
      </c>
      <c r="B126" s="5">
        <v>8025.18</v>
      </c>
      <c r="C126">
        <v>7850</v>
      </c>
      <c r="D126">
        <v>4220</v>
      </c>
      <c r="E126">
        <v>4510</v>
      </c>
      <c r="F126">
        <v>4450</v>
      </c>
      <c r="G126">
        <v>3340</v>
      </c>
      <c r="H126">
        <v>5700</v>
      </c>
      <c r="I126">
        <v>9500</v>
      </c>
      <c r="J126">
        <v>7775</v>
      </c>
      <c r="K126">
        <v>1675</v>
      </c>
      <c r="L126">
        <v>22575</v>
      </c>
      <c r="M126">
        <v>3460</v>
      </c>
      <c r="N126">
        <v>2490</v>
      </c>
      <c r="O126">
        <v>1760</v>
      </c>
      <c r="P126" s="6">
        <v>610</v>
      </c>
      <c r="Q126">
        <v>2760</v>
      </c>
      <c r="R126">
        <v>1190</v>
      </c>
      <c r="S126">
        <v>4860</v>
      </c>
      <c r="T126">
        <v>1990</v>
      </c>
      <c r="U126">
        <v>2940</v>
      </c>
      <c r="V126">
        <v>27000</v>
      </c>
      <c r="W126" s="6">
        <v>2480</v>
      </c>
      <c r="X126">
        <v>1245</v>
      </c>
      <c r="Y126">
        <v>2160</v>
      </c>
      <c r="Z126" s="6">
        <v>446</v>
      </c>
      <c r="AA126">
        <v>1270</v>
      </c>
      <c r="AB126">
        <v>57</v>
      </c>
      <c r="AC126" s="6">
        <v>155</v>
      </c>
      <c r="AD126" s="6">
        <v>464</v>
      </c>
      <c r="AE126" s="6">
        <v>392</v>
      </c>
      <c r="AF126" s="6">
        <v>985</v>
      </c>
    </row>
    <row r="127" spans="1:32" x14ac:dyDescent="0.3">
      <c r="A127" s="4" t="s">
        <v>75</v>
      </c>
      <c r="B127" s="5">
        <v>8008.43</v>
      </c>
      <c r="C127">
        <v>7700</v>
      </c>
      <c r="D127">
        <v>4250</v>
      </c>
      <c r="E127">
        <v>4420</v>
      </c>
      <c r="F127">
        <v>4340</v>
      </c>
      <c r="G127">
        <v>3250</v>
      </c>
      <c r="H127">
        <v>5575</v>
      </c>
      <c r="I127">
        <v>9425</v>
      </c>
      <c r="J127">
        <v>7650</v>
      </c>
      <c r="K127">
        <v>1640</v>
      </c>
      <c r="L127">
        <v>22675</v>
      </c>
      <c r="M127">
        <v>3420</v>
      </c>
      <c r="N127">
        <v>2370</v>
      </c>
      <c r="O127">
        <v>1765</v>
      </c>
      <c r="P127" s="6">
        <v>590</v>
      </c>
      <c r="Q127">
        <v>2810</v>
      </c>
      <c r="R127">
        <v>1160</v>
      </c>
      <c r="S127">
        <v>4940</v>
      </c>
      <c r="T127">
        <v>2100</v>
      </c>
      <c r="U127">
        <v>2890</v>
      </c>
      <c r="V127">
        <v>26400</v>
      </c>
      <c r="W127" s="6">
        <v>2900</v>
      </c>
      <c r="X127">
        <v>1240</v>
      </c>
      <c r="Y127">
        <v>2040</v>
      </c>
      <c r="Z127" s="6">
        <v>436</v>
      </c>
      <c r="AA127">
        <v>1220</v>
      </c>
      <c r="AB127">
        <v>56</v>
      </c>
      <c r="AC127" s="6">
        <v>163</v>
      </c>
      <c r="AD127" s="6">
        <v>444</v>
      </c>
      <c r="AE127" s="6">
        <v>390</v>
      </c>
      <c r="AF127" s="6">
        <v>960</v>
      </c>
    </row>
    <row r="128" spans="1:32" x14ac:dyDescent="0.3">
      <c r="A128" s="3" t="s">
        <v>76</v>
      </c>
      <c r="B128" s="5">
        <v>8051.12</v>
      </c>
      <c r="C128">
        <v>7800</v>
      </c>
      <c r="D128">
        <v>4250</v>
      </c>
      <c r="E128">
        <v>4380</v>
      </c>
      <c r="F128">
        <v>4270</v>
      </c>
      <c r="G128">
        <v>3230</v>
      </c>
      <c r="H128">
        <v>5725</v>
      </c>
      <c r="I128">
        <v>9700</v>
      </c>
      <c r="J128">
        <v>7825</v>
      </c>
      <c r="K128">
        <v>1665</v>
      </c>
      <c r="L128">
        <v>23100</v>
      </c>
      <c r="M128">
        <v>3450</v>
      </c>
      <c r="N128">
        <v>2380</v>
      </c>
      <c r="O128">
        <v>1745</v>
      </c>
      <c r="P128" s="6">
        <v>610</v>
      </c>
      <c r="Q128">
        <v>2800</v>
      </c>
      <c r="R128">
        <v>1180</v>
      </c>
      <c r="S128">
        <v>5075</v>
      </c>
      <c r="T128">
        <v>2050</v>
      </c>
      <c r="U128">
        <v>2870</v>
      </c>
      <c r="V128">
        <v>26750</v>
      </c>
      <c r="W128" s="6">
        <v>3000</v>
      </c>
      <c r="X128">
        <v>1225</v>
      </c>
      <c r="Y128">
        <v>2000</v>
      </c>
      <c r="Z128" s="6">
        <v>432</v>
      </c>
      <c r="AA128">
        <v>1205</v>
      </c>
      <c r="AB128">
        <v>55</v>
      </c>
      <c r="AC128" s="6">
        <v>175</v>
      </c>
      <c r="AD128" s="6">
        <v>436</v>
      </c>
      <c r="AE128" s="6">
        <v>380</v>
      </c>
      <c r="AF128" s="6">
        <v>935</v>
      </c>
    </row>
    <row r="129" spans="1:32" x14ac:dyDescent="0.3">
      <c r="A129" s="4" t="s">
        <v>77</v>
      </c>
      <c r="B129" s="5">
        <v>8040.04</v>
      </c>
      <c r="C129">
        <v>7725</v>
      </c>
      <c r="D129">
        <v>4160</v>
      </c>
      <c r="E129">
        <v>4420</v>
      </c>
      <c r="F129">
        <v>4210</v>
      </c>
      <c r="G129">
        <v>3220</v>
      </c>
      <c r="H129">
        <v>5700</v>
      </c>
      <c r="I129">
        <v>9625</v>
      </c>
      <c r="J129">
        <v>7850</v>
      </c>
      <c r="K129">
        <v>1660</v>
      </c>
      <c r="L129">
        <v>23100</v>
      </c>
      <c r="M129">
        <v>3580</v>
      </c>
      <c r="N129">
        <v>2520</v>
      </c>
      <c r="O129">
        <v>1725</v>
      </c>
      <c r="P129" s="6">
        <v>610</v>
      </c>
      <c r="Q129">
        <v>2730</v>
      </c>
      <c r="R129">
        <v>1180</v>
      </c>
      <c r="S129">
        <v>4750</v>
      </c>
      <c r="T129">
        <v>1965</v>
      </c>
      <c r="U129">
        <v>2910</v>
      </c>
      <c r="V129">
        <v>26750</v>
      </c>
      <c r="W129" s="6">
        <v>3220</v>
      </c>
      <c r="X129">
        <v>1200</v>
      </c>
      <c r="Y129">
        <v>1905</v>
      </c>
      <c r="Z129" s="6">
        <v>426</v>
      </c>
      <c r="AA129">
        <v>1175</v>
      </c>
      <c r="AB129">
        <v>54</v>
      </c>
      <c r="AC129" s="6">
        <v>180</v>
      </c>
      <c r="AD129" s="6">
        <v>432</v>
      </c>
      <c r="AE129" s="6">
        <v>386</v>
      </c>
      <c r="AF129" s="6">
        <v>920</v>
      </c>
    </row>
    <row r="130" spans="1:32" x14ac:dyDescent="0.3">
      <c r="A130" s="3" t="s">
        <v>78</v>
      </c>
      <c r="B130" s="5">
        <v>8125.2</v>
      </c>
      <c r="C130">
        <v>7875</v>
      </c>
      <c r="D130">
        <v>4140</v>
      </c>
      <c r="E130">
        <v>4410</v>
      </c>
      <c r="F130">
        <v>4200</v>
      </c>
      <c r="G130">
        <v>3190</v>
      </c>
      <c r="H130">
        <v>5900</v>
      </c>
      <c r="I130">
        <v>9700</v>
      </c>
      <c r="J130">
        <v>7775</v>
      </c>
      <c r="K130">
        <v>1760</v>
      </c>
      <c r="L130">
        <v>22975</v>
      </c>
      <c r="M130">
        <v>3670</v>
      </c>
      <c r="N130">
        <v>2450</v>
      </c>
      <c r="O130">
        <v>1725</v>
      </c>
      <c r="P130" s="6">
        <v>615</v>
      </c>
      <c r="Q130">
        <v>2700</v>
      </c>
      <c r="R130">
        <v>1190</v>
      </c>
      <c r="S130">
        <v>4790</v>
      </c>
      <c r="T130">
        <v>1960</v>
      </c>
      <c r="U130">
        <v>2910</v>
      </c>
      <c r="V130">
        <v>27200</v>
      </c>
      <c r="W130" s="6">
        <v>3370</v>
      </c>
      <c r="X130">
        <v>1210</v>
      </c>
      <c r="Y130">
        <v>1925</v>
      </c>
      <c r="Z130" s="6">
        <v>428</v>
      </c>
      <c r="AA130">
        <v>1165</v>
      </c>
      <c r="AB130">
        <v>54</v>
      </c>
      <c r="AC130" s="6">
        <v>175</v>
      </c>
      <c r="AD130" s="6">
        <v>448</v>
      </c>
      <c r="AE130" s="6">
        <v>390</v>
      </c>
      <c r="AF130" s="6">
        <v>950</v>
      </c>
    </row>
    <row r="131" spans="1:32" x14ac:dyDescent="0.3">
      <c r="A131" s="4" t="s">
        <v>79</v>
      </c>
      <c r="B131" s="5">
        <v>8126.56</v>
      </c>
      <c r="C131">
        <v>7775</v>
      </c>
      <c r="D131">
        <v>4170</v>
      </c>
      <c r="E131">
        <v>4390</v>
      </c>
      <c r="F131">
        <v>4190</v>
      </c>
      <c r="G131">
        <v>3160</v>
      </c>
      <c r="H131">
        <v>5900</v>
      </c>
      <c r="I131">
        <v>9550</v>
      </c>
      <c r="J131">
        <v>7875</v>
      </c>
      <c r="K131">
        <v>1730</v>
      </c>
      <c r="L131">
        <v>22825</v>
      </c>
      <c r="M131">
        <v>3470</v>
      </c>
      <c r="N131">
        <v>2280</v>
      </c>
      <c r="O131">
        <v>1720</v>
      </c>
      <c r="P131" s="6">
        <v>600</v>
      </c>
      <c r="Q131">
        <v>2730</v>
      </c>
      <c r="R131">
        <v>1165</v>
      </c>
      <c r="S131">
        <v>4680</v>
      </c>
      <c r="T131">
        <v>1915</v>
      </c>
      <c r="U131">
        <v>2890</v>
      </c>
      <c r="V131">
        <v>26650</v>
      </c>
      <c r="W131" s="6">
        <v>3770</v>
      </c>
      <c r="X131">
        <v>1210</v>
      </c>
      <c r="Y131">
        <v>1905</v>
      </c>
      <c r="Z131" s="6">
        <v>424</v>
      </c>
      <c r="AA131">
        <v>1130</v>
      </c>
      <c r="AB131">
        <v>53</v>
      </c>
      <c r="AC131" s="6">
        <v>175</v>
      </c>
      <c r="AD131" s="6">
        <v>436</v>
      </c>
      <c r="AE131" s="6">
        <v>388</v>
      </c>
      <c r="AF131" s="6">
        <v>935</v>
      </c>
    </row>
    <row r="132" spans="1:32" x14ac:dyDescent="0.3">
      <c r="A132" s="3" t="s">
        <v>80</v>
      </c>
      <c r="B132" s="5">
        <v>8040.67</v>
      </c>
      <c r="C132">
        <v>7700</v>
      </c>
      <c r="D132">
        <v>4070</v>
      </c>
      <c r="E132">
        <v>4360</v>
      </c>
      <c r="F132">
        <v>4190</v>
      </c>
      <c r="G132">
        <v>3120</v>
      </c>
      <c r="H132">
        <v>5775</v>
      </c>
      <c r="I132">
        <v>9800</v>
      </c>
      <c r="J132">
        <v>7750</v>
      </c>
      <c r="K132">
        <v>1725</v>
      </c>
      <c r="L132">
        <v>22675</v>
      </c>
      <c r="M132">
        <v>3170</v>
      </c>
      <c r="N132">
        <v>2070</v>
      </c>
      <c r="O132">
        <v>1715</v>
      </c>
      <c r="P132" s="6">
        <v>585</v>
      </c>
      <c r="Q132">
        <v>2700</v>
      </c>
      <c r="R132">
        <v>1145</v>
      </c>
      <c r="S132">
        <v>4820</v>
      </c>
      <c r="T132">
        <v>2010</v>
      </c>
      <c r="U132">
        <v>2860</v>
      </c>
      <c r="V132">
        <v>26675</v>
      </c>
      <c r="W132" s="6">
        <v>3510</v>
      </c>
      <c r="X132">
        <v>1220</v>
      </c>
      <c r="Y132">
        <v>1860</v>
      </c>
      <c r="Z132" s="6">
        <v>422</v>
      </c>
      <c r="AA132">
        <v>1135</v>
      </c>
      <c r="AB132">
        <v>55</v>
      </c>
      <c r="AC132" s="6">
        <v>178</v>
      </c>
      <c r="AD132" s="6">
        <v>436</v>
      </c>
      <c r="AE132" s="6">
        <v>388</v>
      </c>
      <c r="AF132" s="6">
        <v>945</v>
      </c>
    </row>
    <row r="133" spans="1:32" x14ac:dyDescent="0.3">
      <c r="A133" s="4" t="s">
        <v>81</v>
      </c>
      <c r="B133" s="5">
        <v>8099.33</v>
      </c>
      <c r="C133">
        <v>7625</v>
      </c>
      <c r="D133">
        <v>4040</v>
      </c>
      <c r="E133">
        <v>4420</v>
      </c>
      <c r="F133">
        <v>4180</v>
      </c>
      <c r="G133">
        <v>3110</v>
      </c>
      <c r="H133">
        <v>5875</v>
      </c>
      <c r="I133">
        <v>10000</v>
      </c>
      <c r="J133">
        <v>7650</v>
      </c>
      <c r="K133">
        <v>1700</v>
      </c>
      <c r="L133">
        <v>22750</v>
      </c>
      <c r="M133">
        <v>3210</v>
      </c>
      <c r="N133">
        <v>2220</v>
      </c>
      <c r="O133">
        <v>1710</v>
      </c>
      <c r="P133" s="6">
        <v>590</v>
      </c>
      <c r="Q133">
        <v>2720</v>
      </c>
      <c r="R133">
        <v>1165</v>
      </c>
      <c r="S133">
        <v>4840</v>
      </c>
      <c r="T133">
        <v>2050</v>
      </c>
      <c r="U133">
        <v>2840</v>
      </c>
      <c r="V133">
        <v>26350</v>
      </c>
      <c r="W133" s="6">
        <v>3690</v>
      </c>
      <c r="X133">
        <v>1235</v>
      </c>
      <c r="Y133">
        <v>1875</v>
      </c>
      <c r="Z133" s="6">
        <v>430</v>
      </c>
      <c r="AA133">
        <v>1135</v>
      </c>
      <c r="AB133">
        <v>57</v>
      </c>
      <c r="AC133" s="6">
        <v>169</v>
      </c>
      <c r="AD133" s="6">
        <v>434</v>
      </c>
      <c r="AE133" s="6">
        <v>380</v>
      </c>
      <c r="AF133" s="6">
        <v>935</v>
      </c>
    </row>
    <row r="134" spans="1:32" x14ac:dyDescent="0.3">
      <c r="A134" s="3" t="s">
        <v>82</v>
      </c>
      <c r="B134" s="5">
        <v>8123.25</v>
      </c>
      <c r="C134">
        <v>7775</v>
      </c>
      <c r="D134">
        <v>3980</v>
      </c>
      <c r="E134">
        <v>4400</v>
      </c>
      <c r="F134">
        <v>4170</v>
      </c>
      <c r="G134">
        <v>3080</v>
      </c>
      <c r="H134">
        <v>5775</v>
      </c>
      <c r="I134">
        <v>9650</v>
      </c>
      <c r="J134">
        <v>7575</v>
      </c>
      <c r="K134">
        <v>1725</v>
      </c>
      <c r="L134">
        <v>22825</v>
      </c>
      <c r="M134">
        <v>3300</v>
      </c>
      <c r="N134">
        <v>2200</v>
      </c>
      <c r="O134">
        <v>1695</v>
      </c>
      <c r="P134" s="6">
        <v>590</v>
      </c>
      <c r="Q134">
        <v>2710</v>
      </c>
      <c r="R134">
        <v>1120</v>
      </c>
      <c r="S134">
        <v>4800</v>
      </c>
      <c r="T134">
        <v>1955</v>
      </c>
      <c r="U134">
        <v>2880</v>
      </c>
      <c r="V134">
        <v>26925</v>
      </c>
      <c r="W134" s="6">
        <v>3760</v>
      </c>
      <c r="X134">
        <v>1215</v>
      </c>
      <c r="Y134">
        <v>1880</v>
      </c>
      <c r="Z134" s="6">
        <v>434</v>
      </c>
      <c r="AA134">
        <v>1140</v>
      </c>
      <c r="AB134">
        <v>56</v>
      </c>
      <c r="AC134" s="6">
        <v>171</v>
      </c>
      <c r="AD134" s="6">
        <v>432</v>
      </c>
      <c r="AE134" s="6">
        <v>380</v>
      </c>
      <c r="AF134" s="6">
        <v>930</v>
      </c>
    </row>
    <row r="135" spans="1:32" x14ac:dyDescent="0.3">
      <c r="A135" s="4" t="s">
        <v>83</v>
      </c>
      <c r="B135" s="5">
        <v>8061.06</v>
      </c>
      <c r="C135">
        <v>7625</v>
      </c>
      <c r="D135">
        <v>3900</v>
      </c>
      <c r="E135">
        <v>4400</v>
      </c>
      <c r="F135">
        <v>4100</v>
      </c>
      <c r="G135">
        <v>3060</v>
      </c>
      <c r="H135">
        <v>5775</v>
      </c>
      <c r="I135">
        <v>9475</v>
      </c>
      <c r="J135">
        <v>7225</v>
      </c>
      <c r="K135">
        <v>1690</v>
      </c>
      <c r="L135">
        <v>22875</v>
      </c>
      <c r="M135">
        <v>3160</v>
      </c>
      <c r="N135">
        <v>2110</v>
      </c>
      <c r="O135">
        <v>1690</v>
      </c>
      <c r="P135" s="6">
        <v>585</v>
      </c>
      <c r="Q135">
        <v>2660</v>
      </c>
      <c r="R135">
        <v>1130</v>
      </c>
      <c r="S135">
        <v>4660</v>
      </c>
      <c r="T135">
        <v>1960</v>
      </c>
      <c r="U135">
        <v>2840</v>
      </c>
      <c r="V135">
        <v>26775</v>
      </c>
      <c r="W135" s="6">
        <v>3750</v>
      </c>
      <c r="X135">
        <v>1210</v>
      </c>
      <c r="Y135">
        <v>1930</v>
      </c>
      <c r="Z135" s="6">
        <v>430</v>
      </c>
      <c r="AA135">
        <v>1125</v>
      </c>
      <c r="AB135">
        <v>54</v>
      </c>
      <c r="AC135" s="6">
        <v>170</v>
      </c>
      <c r="AD135" s="6">
        <v>426</v>
      </c>
      <c r="AE135" s="6">
        <v>376</v>
      </c>
      <c r="AF135" s="6">
        <v>930</v>
      </c>
    </row>
    <row r="136" spans="1:32" x14ac:dyDescent="0.3">
      <c r="A136" s="1">
        <v>45667</v>
      </c>
      <c r="B136" s="5">
        <v>8043.82</v>
      </c>
      <c r="C136">
        <v>7500</v>
      </c>
      <c r="D136">
        <v>3810</v>
      </c>
      <c r="E136">
        <v>4380</v>
      </c>
      <c r="F136">
        <v>4050</v>
      </c>
      <c r="G136">
        <v>3060</v>
      </c>
      <c r="H136">
        <v>5675</v>
      </c>
      <c r="I136">
        <v>9325</v>
      </c>
      <c r="J136">
        <v>7100</v>
      </c>
      <c r="K136">
        <v>1670</v>
      </c>
      <c r="L136">
        <v>22525</v>
      </c>
      <c r="M136">
        <v>3210</v>
      </c>
      <c r="N136">
        <v>2060</v>
      </c>
      <c r="O136">
        <v>1670</v>
      </c>
      <c r="P136" s="6">
        <v>575</v>
      </c>
      <c r="Q136">
        <v>2610</v>
      </c>
      <c r="R136">
        <v>1100</v>
      </c>
      <c r="S136">
        <v>4680</v>
      </c>
      <c r="T136">
        <v>2050</v>
      </c>
      <c r="U136">
        <v>2820</v>
      </c>
      <c r="V136">
        <v>26050</v>
      </c>
      <c r="W136" s="6">
        <v>3790</v>
      </c>
      <c r="X136">
        <v>1135</v>
      </c>
      <c r="Y136">
        <v>1850</v>
      </c>
      <c r="Z136" s="6">
        <v>422</v>
      </c>
      <c r="AA136">
        <v>1140</v>
      </c>
      <c r="AB136">
        <v>55</v>
      </c>
      <c r="AC136" s="6">
        <v>180</v>
      </c>
      <c r="AD136" s="6">
        <v>422</v>
      </c>
      <c r="AE136" s="6">
        <v>366</v>
      </c>
      <c r="AF136" s="6">
        <v>905</v>
      </c>
    </row>
    <row r="137" spans="1:32" x14ac:dyDescent="0.3">
      <c r="A137" s="2">
        <v>45698</v>
      </c>
      <c r="B137" s="5">
        <v>8071.08</v>
      </c>
      <c r="C137">
        <v>7500</v>
      </c>
      <c r="D137">
        <v>3710</v>
      </c>
      <c r="E137">
        <v>4360</v>
      </c>
      <c r="F137">
        <v>4040</v>
      </c>
      <c r="G137">
        <v>3130</v>
      </c>
      <c r="H137">
        <v>5700</v>
      </c>
      <c r="I137">
        <v>9500</v>
      </c>
      <c r="J137">
        <v>7025</v>
      </c>
      <c r="K137">
        <v>1670</v>
      </c>
      <c r="L137">
        <v>22600</v>
      </c>
      <c r="M137">
        <v>3110</v>
      </c>
      <c r="N137">
        <v>2120</v>
      </c>
      <c r="O137">
        <v>1635</v>
      </c>
      <c r="P137" s="6">
        <v>565</v>
      </c>
      <c r="Q137">
        <v>2510</v>
      </c>
      <c r="R137">
        <v>1100</v>
      </c>
      <c r="S137">
        <v>4680</v>
      </c>
      <c r="T137">
        <v>2100</v>
      </c>
      <c r="U137">
        <v>2730</v>
      </c>
      <c r="V137">
        <v>26150</v>
      </c>
      <c r="W137" s="6">
        <v>3850</v>
      </c>
      <c r="X137">
        <v>1115</v>
      </c>
      <c r="Y137">
        <v>1940</v>
      </c>
      <c r="Z137" s="6">
        <v>422</v>
      </c>
      <c r="AA137">
        <v>1160</v>
      </c>
      <c r="AB137">
        <v>54</v>
      </c>
      <c r="AC137" s="6">
        <v>174</v>
      </c>
      <c r="AD137" s="6">
        <v>422</v>
      </c>
      <c r="AE137" s="6">
        <v>372</v>
      </c>
      <c r="AF137" s="6">
        <v>890</v>
      </c>
    </row>
    <row r="138" spans="1:32" x14ac:dyDescent="0.3">
      <c r="A138" s="1">
        <v>45726</v>
      </c>
      <c r="B138" s="5">
        <v>8118.3</v>
      </c>
      <c r="C138">
        <v>7525</v>
      </c>
      <c r="D138">
        <v>3690</v>
      </c>
      <c r="E138">
        <v>4310</v>
      </c>
      <c r="F138">
        <v>4040</v>
      </c>
      <c r="G138">
        <v>3070</v>
      </c>
      <c r="H138">
        <v>5825</v>
      </c>
      <c r="I138">
        <v>9550</v>
      </c>
      <c r="J138">
        <v>7150</v>
      </c>
      <c r="K138">
        <v>1660</v>
      </c>
      <c r="L138">
        <v>22700</v>
      </c>
      <c r="M138">
        <v>3200</v>
      </c>
      <c r="N138">
        <v>2120</v>
      </c>
      <c r="O138">
        <v>1605</v>
      </c>
      <c r="P138" s="6">
        <v>525</v>
      </c>
      <c r="Q138">
        <v>2630</v>
      </c>
      <c r="R138">
        <v>1080</v>
      </c>
      <c r="S138">
        <v>4840</v>
      </c>
      <c r="T138">
        <v>2100</v>
      </c>
      <c r="U138">
        <v>2710</v>
      </c>
      <c r="V138">
        <v>26500</v>
      </c>
      <c r="W138" s="6">
        <v>3850</v>
      </c>
      <c r="X138">
        <v>1135</v>
      </c>
      <c r="Y138">
        <v>1955</v>
      </c>
      <c r="Z138" s="6">
        <v>430</v>
      </c>
      <c r="AA138">
        <v>1155</v>
      </c>
      <c r="AB138">
        <v>57</v>
      </c>
      <c r="AC138" s="6">
        <v>177</v>
      </c>
      <c r="AD138" s="6">
        <v>422</v>
      </c>
      <c r="AE138" s="6">
        <v>368</v>
      </c>
      <c r="AF138" s="6">
        <v>885</v>
      </c>
    </row>
    <row r="139" spans="1:32" x14ac:dyDescent="0.3">
      <c r="A139" s="2">
        <v>45818</v>
      </c>
      <c r="B139" s="5">
        <v>8139.89</v>
      </c>
      <c r="C139">
        <v>7500</v>
      </c>
      <c r="D139">
        <v>3660</v>
      </c>
      <c r="E139">
        <v>4260</v>
      </c>
      <c r="F139">
        <v>4000</v>
      </c>
      <c r="G139">
        <v>3010</v>
      </c>
      <c r="H139">
        <v>5825</v>
      </c>
      <c r="I139">
        <v>9500</v>
      </c>
      <c r="J139">
        <v>7100</v>
      </c>
      <c r="K139">
        <v>1655</v>
      </c>
      <c r="L139">
        <v>22500</v>
      </c>
      <c r="M139">
        <v>3190</v>
      </c>
      <c r="N139">
        <v>2130</v>
      </c>
      <c r="O139">
        <v>1635</v>
      </c>
      <c r="P139" s="6">
        <v>515</v>
      </c>
      <c r="Q139">
        <v>2630</v>
      </c>
      <c r="R139">
        <v>1070</v>
      </c>
      <c r="S139">
        <v>4760</v>
      </c>
      <c r="T139">
        <v>2080</v>
      </c>
      <c r="U139">
        <v>2710</v>
      </c>
      <c r="V139">
        <v>26400</v>
      </c>
      <c r="W139" s="6">
        <v>4000</v>
      </c>
      <c r="X139">
        <v>1115</v>
      </c>
      <c r="Y139">
        <v>1960</v>
      </c>
      <c r="Z139" s="6">
        <v>428</v>
      </c>
      <c r="AA139">
        <v>1175</v>
      </c>
      <c r="AB139">
        <v>57</v>
      </c>
      <c r="AC139" s="6">
        <v>195</v>
      </c>
      <c r="AD139" s="6">
        <v>410</v>
      </c>
      <c r="AE139" s="6">
        <v>360</v>
      </c>
      <c r="AF139" s="6">
        <v>905</v>
      </c>
    </row>
    <row r="140" spans="1:32" x14ac:dyDescent="0.3">
      <c r="A140" s="1">
        <v>45848</v>
      </c>
      <c r="B140" s="5">
        <v>8169.28</v>
      </c>
      <c r="C140">
        <v>7575</v>
      </c>
      <c r="D140">
        <v>3710</v>
      </c>
      <c r="E140">
        <v>4290</v>
      </c>
      <c r="F140">
        <v>3990</v>
      </c>
      <c r="G140">
        <v>3010</v>
      </c>
      <c r="H140">
        <v>5750</v>
      </c>
      <c r="I140">
        <v>9200</v>
      </c>
      <c r="J140">
        <v>7225</v>
      </c>
      <c r="K140">
        <v>1650</v>
      </c>
      <c r="L140">
        <v>22425</v>
      </c>
      <c r="M140">
        <v>3140</v>
      </c>
      <c r="N140">
        <v>2240</v>
      </c>
      <c r="O140">
        <v>1625</v>
      </c>
      <c r="P140" s="6">
        <v>515</v>
      </c>
      <c r="Q140">
        <v>2620</v>
      </c>
      <c r="R140">
        <v>1060</v>
      </c>
      <c r="S140">
        <v>4750</v>
      </c>
      <c r="T140">
        <v>2110</v>
      </c>
      <c r="U140">
        <v>2610</v>
      </c>
      <c r="V140">
        <v>25600</v>
      </c>
      <c r="W140" s="6">
        <v>4140</v>
      </c>
      <c r="X140">
        <v>1130</v>
      </c>
      <c r="Y140">
        <v>1900</v>
      </c>
      <c r="Z140" s="6">
        <v>424</v>
      </c>
      <c r="AA140">
        <v>1175</v>
      </c>
      <c r="AB140">
        <v>56</v>
      </c>
      <c r="AC140" s="6">
        <v>180</v>
      </c>
      <c r="AD140" s="6">
        <v>408</v>
      </c>
      <c r="AE140" s="6">
        <v>364</v>
      </c>
      <c r="AF140" s="6">
        <v>905</v>
      </c>
    </row>
    <row r="141" spans="1:32" x14ac:dyDescent="0.3">
      <c r="A141" s="2">
        <v>45879</v>
      </c>
      <c r="B141" s="5">
        <v>8166.03</v>
      </c>
      <c r="C141">
        <v>7375</v>
      </c>
      <c r="D141">
        <v>3720</v>
      </c>
      <c r="E141">
        <v>4250</v>
      </c>
      <c r="F141">
        <v>3940</v>
      </c>
      <c r="G141">
        <v>2990</v>
      </c>
      <c r="H141">
        <v>5725</v>
      </c>
      <c r="I141">
        <v>9200</v>
      </c>
      <c r="J141">
        <v>7250</v>
      </c>
      <c r="K141">
        <v>1850</v>
      </c>
      <c r="L141">
        <v>22150</v>
      </c>
      <c r="M141">
        <v>3330</v>
      </c>
      <c r="N141">
        <v>2280</v>
      </c>
      <c r="O141">
        <v>1675</v>
      </c>
      <c r="P141" s="6">
        <v>510</v>
      </c>
      <c r="Q141">
        <v>2650</v>
      </c>
      <c r="R141">
        <v>1060</v>
      </c>
      <c r="S141">
        <v>4730</v>
      </c>
      <c r="T141">
        <v>2130</v>
      </c>
      <c r="U141">
        <v>2570</v>
      </c>
      <c r="V141">
        <v>25175</v>
      </c>
      <c r="W141" s="6">
        <v>4110</v>
      </c>
      <c r="X141">
        <v>1125</v>
      </c>
      <c r="Y141">
        <v>1930</v>
      </c>
      <c r="Z141" s="6">
        <v>422</v>
      </c>
      <c r="AA141">
        <v>1165</v>
      </c>
      <c r="AB141">
        <v>56</v>
      </c>
      <c r="AC141" s="6">
        <v>172</v>
      </c>
      <c r="AD141" s="6">
        <v>404</v>
      </c>
      <c r="AE141" s="6">
        <v>366</v>
      </c>
      <c r="AF141" s="6">
        <v>910</v>
      </c>
    </row>
    <row r="142" spans="1:32" x14ac:dyDescent="0.3">
      <c r="A142" s="1">
        <v>45910</v>
      </c>
      <c r="B142" s="5">
        <v>8250.94</v>
      </c>
      <c r="C142">
        <v>7550</v>
      </c>
      <c r="D142">
        <v>3860</v>
      </c>
      <c r="E142">
        <v>4390</v>
      </c>
      <c r="F142">
        <v>4100</v>
      </c>
      <c r="G142">
        <v>3010</v>
      </c>
      <c r="H142">
        <v>5925</v>
      </c>
      <c r="I142">
        <v>9100</v>
      </c>
      <c r="J142">
        <v>7150</v>
      </c>
      <c r="K142">
        <v>1730</v>
      </c>
      <c r="L142">
        <v>22450</v>
      </c>
      <c r="M142">
        <v>3220</v>
      </c>
      <c r="N142">
        <v>2300</v>
      </c>
      <c r="O142">
        <v>1705</v>
      </c>
      <c r="P142" s="6">
        <v>530</v>
      </c>
      <c r="Q142">
        <v>2580</v>
      </c>
      <c r="R142">
        <v>1085</v>
      </c>
      <c r="S142">
        <v>4860</v>
      </c>
      <c r="T142">
        <v>2160</v>
      </c>
      <c r="U142">
        <v>2580</v>
      </c>
      <c r="V142">
        <v>25850</v>
      </c>
      <c r="W142" s="6">
        <v>4120</v>
      </c>
      <c r="X142">
        <v>1130</v>
      </c>
      <c r="Y142">
        <v>1920</v>
      </c>
      <c r="Z142" s="6">
        <v>428</v>
      </c>
      <c r="AA142">
        <v>1180</v>
      </c>
      <c r="AB142">
        <v>55</v>
      </c>
      <c r="AC142" s="6">
        <v>170</v>
      </c>
      <c r="AD142" s="6">
        <v>408</v>
      </c>
      <c r="AE142" s="6">
        <v>370</v>
      </c>
      <c r="AF142" s="6">
        <v>920</v>
      </c>
    </row>
    <row r="143" spans="1:32" x14ac:dyDescent="0.3">
      <c r="A143" s="2">
        <v>45940</v>
      </c>
      <c r="B143" s="5">
        <v>8257.86</v>
      </c>
      <c r="C143">
        <v>7400</v>
      </c>
      <c r="D143">
        <v>3730</v>
      </c>
      <c r="E143">
        <v>4250</v>
      </c>
      <c r="F143">
        <v>3970</v>
      </c>
      <c r="G143">
        <v>3040</v>
      </c>
      <c r="H143">
        <v>5900</v>
      </c>
      <c r="I143">
        <v>8850</v>
      </c>
      <c r="J143">
        <v>7200</v>
      </c>
      <c r="K143">
        <v>1750</v>
      </c>
      <c r="L143">
        <v>22775</v>
      </c>
      <c r="M143">
        <v>3310</v>
      </c>
      <c r="N143">
        <v>2370</v>
      </c>
      <c r="O143">
        <v>1705</v>
      </c>
      <c r="P143" s="6">
        <v>525</v>
      </c>
      <c r="Q143">
        <v>2700</v>
      </c>
      <c r="R143">
        <v>1085</v>
      </c>
      <c r="S143">
        <v>4730</v>
      </c>
      <c r="T143">
        <v>2100</v>
      </c>
      <c r="U143">
        <v>2590</v>
      </c>
      <c r="V143">
        <v>25600</v>
      </c>
      <c r="W143" s="6">
        <v>4280</v>
      </c>
      <c r="X143">
        <v>1105</v>
      </c>
      <c r="Y143">
        <v>1940</v>
      </c>
      <c r="Z143" s="6">
        <v>426</v>
      </c>
      <c r="AA143">
        <v>1195</v>
      </c>
      <c r="AB143">
        <v>54</v>
      </c>
      <c r="AC143" s="6">
        <v>168</v>
      </c>
      <c r="AD143" s="6">
        <v>402</v>
      </c>
      <c r="AE143" s="6">
        <v>364</v>
      </c>
      <c r="AF143" s="6">
        <v>895</v>
      </c>
    </row>
    <row r="144" spans="1:32" x14ac:dyDescent="0.3">
      <c r="A144" s="3" t="s">
        <v>84</v>
      </c>
      <c r="B144" s="5">
        <v>8227.2000000000007</v>
      </c>
      <c r="C144">
        <v>7325</v>
      </c>
      <c r="D144">
        <v>3660</v>
      </c>
      <c r="E144">
        <v>4230</v>
      </c>
      <c r="F144">
        <v>3900</v>
      </c>
      <c r="G144">
        <v>3020</v>
      </c>
      <c r="H144">
        <v>5800</v>
      </c>
      <c r="I144">
        <v>8800</v>
      </c>
      <c r="J144">
        <v>7200</v>
      </c>
      <c r="K144">
        <v>1725</v>
      </c>
      <c r="L144">
        <v>22600</v>
      </c>
      <c r="M144">
        <v>3370</v>
      </c>
      <c r="N144">
        <v>2370</v>
      </c>
      <c r="O144">
        <v>1670</v>
      </c>
      <c r="P144" s="6">
        <v>525</v>
      </c>
      <c r="Q144">
        <v>2600</v>
      </c>
      <c r="R144">
        <v>1085</v>
      </c>
      <c r="S144">
        <v>4700</v>
      </c>
      <c r="T144">
        <v>2160</v>
      </c>
      <c r="U144">
        <v>2540</v>
      </c>
      <c r="V144">
        <v>26000</v>
      </c>
      <c r="W144" s="6">
        <v>4210</v>
      </c>
      <c r="X144">
        <v>1090</v>
      </c>
      <c r="Y144">
        <v>2090</v>
      </c>
      <c r="Z144" s="6">
        <v>422</v>
      </c>
      <c r="AA144">
        <v>1180</v>
      </c>
      <c r="AB144">
        <v>55</v>
      </c>
      <c r="AC144" s="6">
        <v>168</v>
      </c>
      <c r="AD144" s="6">
        <v>396</v>
      </c>
      <c r="AE144" s="6">
        <v>366</v>
      </c>
      <c r="AF144" s="6">
        <v>905</v>
      </c>
    </row>
    <row r="145" spans="1:32" x14ac:dyDescent="0.3">
      <c r="A145" s="4" t="s">
        <v>85</v>
      </c>
      <c r="B145" s="5">
        <v>8066.52</v>
      </c>
      <c r="C145">
        <v>7250</v>
      </c>
      <c r="D145">
        <v>3550</v>
      </c>
      <c r="E145">
        <v>4090</v>
      </c>
      <c r="F145">
        <v>3800</v>
      </c>
      <c r="G145">
        <v>2960</v>
      </c>
      <c r="H145">
        <v>5825</v>
      </c>
      <c r="I145">
        <v>8475</v>
      </c>
      <c r="J145">
        <v>7050</v>
      </c>
      <c r="K145">
        <v>1705</v>
      </c>
      <c r="L145">
        <v>22300</v>
      </c>
      <c r="M145">
        <v>3350</v>
      </c>
      <c r="N145">
        <v>2350</v>
      </c>
      <c r="O145">
        <v>1660</v>
      </c>
      <c r="P145" s="6">
        <v>540</v>
      </c>
      <c r="Q145">
        <v>2540</v>
      </c>
      <c r="R145">
        <v>1055</v>
      </c>
      <c r="S145">
        <v>4660</v>
      </c>
      <c r="T145">
        <v>2230</v>
      </c>
      <c r="U145">
        <v>2470</v>
      </c>
      <c r="V145">
        <v>25525</v>
      </c>
      <c r="W145" s="6">
        <v>3940</v>
      </c>
      <c r="X145">
        <v>1075</v>
      </c>
      <c r="Y145">
        <v>2140</v>
      </c>
      <c r="Z145" s="6">
        <v>418</v>
      </c>
      <c r="AA145">
        <v>1160</v>
      </c>
      <c r="AB145">
        <v>55</v>
      </c>
      <c r="AC145" s="6">
        <v>162</v>
      </c>
      <c r="AD145" s="6">
        <v>388</v>
      </c>
      <c r="AE145" s="6">
        <v>360</v>
      </c>
      <c r="AF145" s="6">
        <v>905</v>
      </c>
    </row>
    <row r="146" spans="1:32" x14ac:dyDescent="0.3">
      <c r="A146" s="3" t="s">
        <v>86</v>
      </c>
      <c r="B146" s="5">
        <v>8051.17</v>
      </c>
      <c r="C146">
        <v>7250</v>
      </c>
      <c r="D146">
        <v>3500</v>
      </c>
      <c r="E146">
        <v>4050</v>
      </c>
      <c r="F146">
        <v>3770</v>
      </c>
      <c r="G146">
        <v>3080</v>
      </c>
      <c r="H146">
        <v>5775</v>
      </c>
      <c r="I146">
        <v>8675</v>
      </c>
      <c r="J146">
        <v>6900</v>
      </c>
      <c r="K146">
        <v>1680</v>
      </c>
      <c r="L146">
        <v>22000</v>
      </c>
      <c r="M146">
        <v>3400</v>
      </c>
      <c r="N146">
        <v>2350</v>
      </c>
      <c r="O146">
        <v>1615</v>
      </c>
      <c r="P146" s="6">
        <v>555</v>
      </c>
      <c r="Q146">
        <v>2470</v>
      </c>
      <c r="R146">
        <v>1085</v>
      </c>
      <c r="S146">
        <v>4640</v>
      </c>
      <c r="T146">
        <v>2380</v>
      </c>
      <c r="U146">
        <v>2560</v>
      </c>
      <c r="V146">
        <v>25950</v>
      </c>
      <c r="W146" s="6">
        <v>3890</v>
      </c>
      <c r="X146">
        <v>1065</v>
      </c>
      <c r="Y146">
        <v>2220</v>
      </c>
      <c r="Z146" s="6">
        <v>440</v>
      </c>
      <c r="AA146">
        <v>1150</v>
      </c>
      <c r="AB146">
        <v>54</v>
      </c>
      <c r="AC146" s="6">
        <v>161</v>
      </c>
      <c r="AD146" s="6">
        <v>378</v>
      </c>
      <c r="AE146" s="6">
        <v>350</v>
      </c>
      <c r="AF146" s="6">
        <v>905</v>
      </c>
    </row>
    <row r="147" spans="1:32" x14ac:dyDescent="0.3">
      <c r="A147" s="4" t="s">
        <v>87</v>
      </c>
      <c r="B147" s="5">
        <v>8124.76</v>
      </c>
      <c r="C147">
        <v>7300</v>
      </c>
      <c r="D147">
        <v>3530</v>
      </c>
      <c r="E147">
        <v>4090</v>
      </c>
      <c r="F147">
        <v>3850</v>
      </c>
      <c r="G147">
        <v>2950</v>
      </c>
      <c r="H147">
        <v>5750</v>
      </c>
      <c r="I147">
        <v>9250</v>
      </c>
      <c r="J147">
        <v>7075</v>
      </c>
      <c r="K147">
        <v>1675</v>
      </c>
      <c r="L147">
        <v>22375</v>
      </c>
      <c r="M147">
        <v>3430</v>
      </c>
      <c r="N147">
        <v>2400</v>
      </c>
      <c r="O147">
        <v>1625</v>
      </c>
      <c r="P147" s="6">
        <v>555</v>
      </c>
      <c r="Q147">
        <v>2510</v>
      </c>
      <c r="R147">
        <v>1190</v>
      </c>
      <c r="S147">
        <v>4860</v>
      </c>
      <c r="T147">
        <v>2360</v>
      </c>
      <c r="U147">
        <v>2420</v>
      </c>
      <c r="V147">
        <v>25975</v>
      </c>
      <c r="W147" s="6">
        <v>3930</v>
      </c>
      <c r="X147">
        <v>1085</v>
      </c>
      <c r="Y147">
        <v>2220</v>
      </c>
      <c r="Z147" s="6">
        <v>420</v>
      </c>
      <c r="AA147">
        <v>1250</v>
      </c>
      <c r="AB147">
        <v>55</v>
      </c>
      <c r="AC147" s="6">
        <v>168</v>
      </c>
      <c r="AD147" s="6">
        <v>386</v>
      </c>
      <c r="AE147" s="6">
        <v>354</v>
      </c>
      <c r="AF147" s="6">
        <v>895</v>
      </c>
    </row>
    <row r="148" spans="1:32" x14ac:dyDescent="0.3">
      <c r="A148" s="3" t="s">
        <v>88</v>
      </c>
      <c r="B148" s="5">
        <v>7915.66</v>
      </c>
      <c r="C148">
        <v>7500</v>
      </c>
      <c r="D148">
        <v>3500</v>
      </c>
      <c r="E148">
        <v>4050</v>
      </c>
      <c r="F148">
        <v>3800</v>
      </c>
      <c r="G148">
        <v>2880</v>
      </c>
      <c r="H148">
        <v>5625</v>
      </c>
      <c r="I148">
        <v>9400</v>
      </c>
      <c r="J148">
        <v>7125</v>
      </c>
      <c r="K148">
        <v>1650</v>
      </c>
      <c r="L148">
        <v>22225</v>
      </c>
      <c r="M148">
        <v>3450</v>
      </c>
      <c r="N148">
        <v>2340</v>
      </c>
      <c r="O148">
        <v>1620</v>
      </c>
      <c r="P148" s="6">
        <v>545</v>
      </c>
      <c r="Q148">
        <v>2420</v>
      </c>
      <c r="R148">
        <v>1190</v>
      </c>
      <c r="S148">
        <v>4970</v>
      </c>
      <c r="T148">
        <v>2370</v>
      </c>
      <c r="U148">
        <v>2390</v>
      </c>
      <c r="V148">
        <v>26950</v>
      </c>
      <c r="W148" s="6">
        <v>3650</v>
      </c>
      <c r="X148">
        <v>1070</v>
      </c>
      <c r="Y148">
        <v>2130</v>
      </c>
      <c r="Z148" s="6">
        <v>416</v>
      </c>
      <c r="AA148">
        <v>1265</v>
      </c>
      <c r="AB148">
        <v>55</v>
      </c>
      <c r="AC148" s="6">
        <v>168</v>
      </c>
      <c r="AD148" s="6">
        <v>380</v>
      </c>
      <c r="AE148" s="6">
        <v>350</v>
      </c>
      <c r="AF148" s="6">
        <v>885</v>
      </c>
    </row>
    <row r="149" spans="1:32" x14ac:dyDescent="0.3">
      <c r="A149" s="4" t="s">
        <v>89</v>
      </c>
      <c r="B149" s="5">
        <v>8088.98</v>
      </c>
      <c r="C149">
        <v>7875</v>
      </c>
      <c r="D149">
        <v>3680</v>
      </c>
      <c r="E149">
        <v>4300</v>
      </c>
      <c r="F149">
        <v>4040</v>
      </c>
      <c r="G149">
        <v>2940</v>
      </c>
      <c r="H149">
        <v>5925</v>
      </c>
      <c r="I149">
        <v>9375</v>
      </c>
      <c r="J149">
        <v>7250</v>
      </c>
      <c r="K149">
        <v>1695</v>
      </c>
      <c r="L149">
        <v>22450</v>
      </c>
      <c r="M149">
        <v>3270</v>
      </c>
      <c r="N149">
        <v>2280</v>
      </c>
      <c r="O149">
        <v>1695</v>
      </c>
      <c r="P149" s="6">
        <v>545</v>
      </c>
      <c r="Q149">
        <v>2420</v>
      </c>
      <c r="R149">
        <v>1200</v>
      </c>
      <c r="S149">
        <v>4940</v>
      </c>
      <c r="T149">
        <v>2410</v>
      </c>
      <c r="U149">
        <v>2510</v>
      </c>
      <c r="V149">
        <v>26600</v>
      </c>
      <c r="W149" s="6">
        <v>3770</v>
      </c>
      <c r="X149">
        <v>1090</v>
      </c>
      <c r="Y149">
        <v>2250</v>
      </c>
      <c r="Z149" s="6">
        <v>424</v>
      </c>
      <c r="AA149">
        <v>1270</v>
      </c>
      <c r="AB149">
        <v>55</v>
      </c>
      <c r="AC149" s="6">
        <v>168</v>
      </c>
      <c r="AD149" s="6">
        <v>388</v>
      </c>
      <c r="AE149" s="6">
        <v>364</v>
      </c>
      <c r="AF149" s="6">
        <v>905</v>
      </c>
    </row>
    <row r="150" spans="1:32" x14ac:dyDescent="0.3">
      <c r="A150" s="3" t="s">
        <v>90</v>
      </c>
      <c r="B150" s="5">
        <v>8238.08</v>
      </c>
      <c r="C150">
        <v>8475</v>
      </c>
      <c r="D150">
        <v>3760</v>
      </c>
      <c r="E150">
        <v>4350</v>
      </c>
      <c r="F150">
        <v>4050</v>
      </c>
      <c r="G150">
        <v>3280</v>
      </c>
      <c r="H150">
        <v>6000</v>
      </c>
      <c r="I150">
        <v>9275</v>
      </c>
      <c r="J150">
        <v>7275</v>
      </c>
      <c r="K150">
        <v>1805</v>
      </c>
      <c r="L150">
        <v>22550</v>
      </c>
      <c r="M150">
        <v>3290</v>
      </c>
      <c r="N150">
        <v>2370</v>
      </c>
      <c r="O150">
        <v>1710</v>
      </c>
      <c r="P150" s="6">
        <v>545</v>
      </c>
      <c r="Q150">
        <v>2500</v>
      </c>
      <c r="R150">
        <v>1220</v>
      </c>
      <c r="S150">
        <v>4890</v>
      </c>
      <c r="T150">
        <v>2390</v>
      </c>
      <c r="U150">
        <v>2570</v>
      </c>
      <c r="V150">
        <v>26950</v>
      </c>
      <c r="W150" s="6">
        <v>3790</v>
      </c>
      <c r="X150">
        <v>1130</v>
      </c>
      <c r="Y150">
        <v>2210</v>
      </c>
      <c r="Z150" s="6">
        <v>428</v>
      </c>
      <c r="AA150">
        <v>1240</v>
      </c>
      <c r="AB150">
        <v>56</v>
      </c>
      <c r="AC150" s="6">
        <v>166</v>
      </c>
      <c r="AD150" s="6">
        <v>398</v>
      </c>
      <c r="AE150" s="6">
        <v>370</v>
      </c>
      <c r="AF150" s="6">
        <v>915</v>
      </c>
    </row>
    <row r="151" spans="1:32" x14ac:dyDescent="0.3">
      <c r="A151" s="4" t="s">
        <v>91</v>
      </c>
      <c r="B151" s="5">
        <v>8152.55</v>
      </c>
      <c r="C151">
        <v>8200</v>
      </c>
      <c r="D151">
        <v>3700</v>
      </c>
      <c r="E151">
        <v>4330</v>
      </c>
      <c r="F151">
        <v>4030</v>
      </c>
      <c r="G151">
        <v>3150</v>
      </c>
      <c r="H151">
        <v>6175</v>
      </c>
      <c r="I151">
        <v>8900</v>
      </c>
      <c r="J151">
        <v>7175</v>
      </c>
      <c r="K151">
        <v>1775</v>
      </c>
      <c r="L151">
        <v>22550</v>
      </c>
      <c r="M151">
        <v>3170</v>
      </c>
      <c r="N151">
        <v>2270</v>
      </c>
      <c r="O151">
        <v>1675</v>
      </c>
      <c r="P151" s="6">
        <v>540</v>
      </c>
      <c r="Q151">
        <v>2420</v>
      </c>
      <c r="R151">
        <v>1180</v>
      </c>
      <c r="S151">
        <v>5175</v>
      </c>
      <c r="T151">
        <v>2540</v>
      </c>
      <c r="U151">
        <v>2570</v>
      </c>
      <c r="V151">
        <v>26875</v>
      </c>
      <c r="W151" s="6">
        <v>3750</v>
      </c>
      <c r="X151">
        <v>1095</v>
      </c>
      <c r="Y151">
        <v>2190</v>
      </c>
      <c r="Z151" s="6">
        <v>444</v>
      </c>
      <c r="AA151">
        <v>1215</v>
      </c>
      <c r="AB151">
        <v>54</v>
      </c>
      <c r="AC151" s="6">
        <v>162</v>
      </c>
      <c r="AD151" s="6">
        <v>394</v>
      </c>
      <c r="AE151" s="6">
        <v>372</v>
      </c>
      <c r="AF151" s="6">
        <v>905</v>
      </c>
    </row>
    <row r="152" spans="1:32" x14ac:dyDescent="0.3">
      <c r="A152" s="3" t="s">
        <v>92</v>
      </c>
      <c r="B152" s="5">
        <v>8274.35</v>
      </c>
      <c r="C152">
        <v>8325</v>
      </c>
      <c r="D152">
        <v>3820</v>
      </c>
      <c r="E152">
        <v>4430</v>
      </c>
      <c r="F152">
        <v>4240</v>
      </c>
      <c r="G152">
        <v>3360</v>
      </c>
      <c r="H152">
        <v>6325</v>
      </c>
      <c r="I152">
        <v>8825</v>
      </c>
      <c r="J152">
        <v>7375</v>
      </c>
      <c r="K152">
        <v>1790</v>
      </c>
      <c r="L152">
        <v>22675</v>
      </c>
      <c r="M152">
        <v>3190</v>
      </c>
      <c r="N152">
        <v>2230</v>
      </c>
      <c r="O152">
        <v>1770</v>
      </c>
      <c r="P152" s="6">
        <v>545</v>
      </c>
      <c r="Q152">
        <v>2610</v>
      </c>
      <c r="R152">
        <v>1185</v>
      </c>
      <c r="S152">
        <v>5225</v>
      </c>
      <c r="T152">
        <v>2640</v>
      </c>
      <c r="U152">
        <v>2660</v>
      </c>
      <c r="V152">
        <v>27300</v>
      </c>
      <c r="W152" s="6">
        <v>3740</v>
      </c>
      <c r="X152">
        <v>1115</v>
      </c>
      <c r="Y152">
        <v>2210</v>
      </c>
      <c r="Z152" s="6">
        <v>454</v>
      </c>
      <c r="AA152">
        <v>1240</v>
      </c>
      <c r="AB152">
        <v>56</v>
      </c>
      <c r="AC152" s="6">
        <v>169</v>
      </c>
      <c r="AD152" s="6">
        <v>392</v>
      </c>
      <c r="AE152" s="6">
        <v>372</v>
      </c>
      <c r="AF152" s="6">
        <v>905</v>
      </c>
    </row>
    <row r="153" spans="1:32" x14ac:dyDescent="0.3">
      <c r="A153" s="4" t="s">
        <v>93</v>
      </c>
      <c r="B153" s="5">
        <v>8271.7199999999993</v>
      </c>
      <c r="C153">
        <v>8275</v>
      </c>
      <c r="D153">
        <v>3850</v>
      </c>
      <c r="E153">
        <v>4550</v>
      </c>
      <c r="F153">
        <v>4370</v>
      </c>
      <c r="G153">
        <v>3290</v>
      </c>
      <c r="H153">
        <v>6575</v>
      </c>
      <c r="I153">
        <v>8800</v>
      </c>
      <c r="J153">
        <v>7300</v>
      </c>
      <c r="K153">
        <v>1760</v>
      </c>
      <c r="L153">
        <v>22700</v>
      </c>
      <c r="M153">
        <v>3130</v>
      </c>
      <c r="N153">
        <v>2220</v>
      </c>
      <c r="O153">
        <v>1725</v>
      </c>
      <c r="P153" s="6">
        <v>535</v>
      </c>
      <c r="Q153">
        <v>2590</v>
      </c>
      <c r="R153">
        <v>1225</v>
      </c>
      <c r="S153">
        <v>5150</v>
      </c>
      <c r="T153">
        <v>2610</v>
      </c>
      <c r="U153">
        <v>2660</v>
      </c>
      <c r="V153">
        <v>27125</v>
      </c>
      <c r="W153" s="6">
        <v>3640</v>
      </c>
      <c r="X153">
        <v>1210</v>
      </c>
      <c r="Y153">
        <v>2180</v>
      </c>
      <c r="Z153" s="6">
        <v>444</v>
      </c>
      <c r="AA153">
        <v>1190</v>
      </c>
      <c r="AB153">
        <v>55</v>
      </c>
      <c r="AC153" s="6">
        <v>165</v>
      </c>
      <c r="AD153" s="6">
        <v>392</v>
      </c>
      <c r="AE153" s="6">
        <v>368</v>
      </c>
      <c r="AF153" s="6">
        <v>890</v>
      </c>
    </row>
    <row r="154" spans="1:32" x14ac:dyDescent="0.3">
      <c r="A154" s="3" t="s">
        <v>94</v>
      </c>
      <c r="B154" s="5">
        <v>8117.15</v>
      </c>
      <c r="C154">
        <v>8350</v>
      </c>
      <c r="D154">
        <v>3860</v>
      </c>
      <c r="E154">
        <v>4470</v>
      </c>
      <c r="F154">
        <v>4370</v>
      </c>
      <c r="G154">
        <v>3330</v>
      </c>
      <c r="H154">
        <v>6600</v>
      </c>
      <c r="I154">
        <v>8850</v>
      </c>
      <c r="J154">
        <v>7450</v>
      </c>
      <c r="K154">
        <v>1785</v>
      </c>
      <c r="L154">
        <v>22725</v>
      </c>
      <c r="M154">
        <v>3150</v>
      </c>
      <c r="N154">
        <v>2250</v>
      </c>
      <c r="O154">
        <v>1700</v>
      </c>
      <c r="P154" s="6">
        <v>525</v>
      </c>
      <c r="Q154">
        <v>2450</v>
      </c>
      <c r="R154">
        <v>1275</v>
      </c>
      <c r="S154">
        <v>5125</v>
      </c>
      <c r="T154">
        <v>2650</v>
      </c>
      <c r="U154">
        <v>2740</v>
      </c>
      <c r="V154">
        <v>27900</v>
      </c>
      <c r="W154" s="6">
        <v>3300</v>
      </c>
      <c r="X154">
        <v>1215</v>
      </c>
      <c r="Y154">
        <v>2130</v>
      </c>
      <c r="Z154" s="6">
        <v>450</v>
      </c>
      <c r="AA154">
        <v>1185</v>
      </c>
      <c r="AB154">
        <v>55</v>
      </c>
      <c r="AC154" s="6">
        <v>168</v>
      </c>
      <c r="AD154" s="6">
        <v>396</v>
      </c>
      <c r="AE154" s="6">
        <v>368</v>
      </c>
      <c r="AF154" s="6">
        <v>900</v>
      </c>
    </row>
    <row r="155" spans="1:32" x14ac:dyDescent="0.3">
      <c r="A155" s="4" t="s">
        <v>95</v>
      </c>
      <c r="B155" s="5">
        <v>8092.63</v>
      </c>
      <c r="C155">
        <v>8275</v>
      </c>
      <c r="D155">
        <v>3850</v>
      </c>
      <c r="E155">
        <v>4510</v>
      </c>
      <c r="F155">
        <v>4370</v>
      </c>
      <c r="G155">
        <v>3400</v>
      </c>
      <c r="H155">
        <v>6325</v>
      </c>
      <c r="I155">
        <v>8775</v>
      </c>
      <c r="J155">
        <v>7500</v>
      </c>
      <c r="K155">
        <v>1785</v>
      </c>
      <c r="L155">
        <v>22800</v>
      </c>
      <c r="M155">
        <v>3100</v>
      </c>
      <c r="N155">
        <v>2170</v>
      </c>
      <c r="O155">
        <v>1705</v>
      </c>
      <c r="P155" s="6">
        <v>525</v>
      </c>
      <c r="Q155">
        <v>2430</v>
      </c>
      <c r="R155">
        <v>1330</v>
      </c>
      <c r="S155">
        <v>5075</v>
      </c>
      <c r="T155">
        <v>2680</v>
      </c>
      <c r="U155">
        <v>2710</v>
      </c>
      <c r="V155">
        <v>27625</v>
      </c>
      <c r="W155" s="6">
        <v>3420</v>
      </c>
      <c r="X155">
        <v>1210</v>
      </c>
      <c r="Y155">
        <v>2080</v>
      </c>
      <c r="Z155" s="6">
        <v>450</v>
      </c>
      <c r="AA155">
        <v>1275</v>
      </c>
      <c r="AB155">
        <v>55</v>
      </c>
      <c r="AC155" s="6">
        <v>169</v>
      </c>
      <c r="AD155" s="6">
        <v>394</v>
      </c>
      <c r="AE155" s="6">
        <v>370</v>
      </c>
      <c r="AF155" s="6">
        <v>895</v>
      </c>
    </row>
    <row r="156" spans="1:32" x14ac:dyDescent="0.3">
      <c r="A156" s="3" t="s">
        <v>96</v>
      </c>
      <c r="B156" s="5">
        <v>8166.22</v>
      </c>
      <c r="C156">
        <v>8600</v>
      </c>
      <c r="D156">
        <v>3890</v>
      </c>
      <c r="E156">
        <v>4650</v>
      </c>
      <c r="F156">
        <v>4440</v>
      </c>
      <c r="G156">
        <v>3290</v>
      </c>
      <c r="H156">
        <v>6475</v>
      </c>
      <c r="I156">
        <v>8700</v>
      </c>
      <c r="J156">
        <v>7425</v>
      </c>
      <c r="K156">
        <v>1935</v>
      </c>
      <c r="L156">
        <v>22975</v>
      </c>
      <c r="M156">
        <v>3200</v>
      </c>
      <c r="N156">
        <v>2460</v>
      </c>
      <c r="O156">
        <v>1730</v>
      </c>
      <c r="P156" s="6">
        <v>530</v>
      </c>
      <c r="Q156">
        <v>2550</v>
      </c>
      <c r="R156">
        <v>1325</v>
      </c>
      <c r="S156">
        <v>5050</v>
      </c>
      <c r="T156">
        <v>2710</v>
      </c>
      <c r="U156">
        <v>2710</v>
      </c>
      <c r="V156">
        <v>27625</v>
      </c>
      <c r="W156" s="6">
        <v>3560</v>
      </c>
      <c r="X156">
        <v>1220</v>
      </c>
      <c r="Y156">
        <v>2010</v>
      </c>
      <c r="Z156" s="6">
        <v>460</v>
      </c>
      <c r="AA156">
        <v>1290</v>
      </c>
      <c r="AB156">
        <v>56</v>
      </c>
      <c r="AC156" s="6">
        <v>168</v>
      </c>
      <c r="AD156" s="6">
        <v>402</v>
      </c>
      <c r="AE156" s="6">
        <v>370</v>
      </c>
      <c r="AF156" s="6">
        <v>900</v>
      </c>
    </row>
    <row r="157" spans="1:32" x14ac:dyDescent="0.3">
      <c r="A157" s="4" t="s">
        <v>97</v>
      </c>
      <c r="B157" s="5">
        <v>8184.06</v>
      </c>
      <c r="C157">
        <v>8525</v>
      </c>
      <c r="D157">
        <v>3910</v>
      </c>
      <c r="E157">
        <v>4800</v>
      </c>
      <c r="F157">
        <v>4410</v>
      </c>
      <c r="G157">
        <v>3250</v>
      </c>
      <c r="H157">
        <v>6275</v>
      </c>
      <c r="I157">
        <v>8800</v>
      </c>
      <c r="J157">
        <v>7400</v>
      </c>
      <c r="K157">
        <v>1980</v>
      </c>
      <c r="L157">
        <v>23500</v>
      </c>
      <c r="M157">
        <v>3120</v>
      </c>
      <c r="N157">
        <v>2500</v>
      </c>
      <c r="O157">
        <v>1755</v>
      </c>
      <c r="P157" s="6">
        <v>550</v>
      </c>
      <c r="Q157">
        <v>2630</v>
      </c>
      <c r="R157">
        <v>1315</v>
      </c>
      <c r="S157">
        <v>4790</v>
      </c>
      <c r="T157">
        <v>2430</v>
      </c>
      <c r="U157">
        <v>2720</v>
      </c>
      <c r="V157">
        <v>27975</v>
      </c>
      <c r="W157" s="6">
        <v>3540</v>
      </c>
      <c r="X157">
        <v>1205</v>
      </c>
      <c r="Y157">
        <v>2040</v>
      </c>
      <c r="Z157" s="6">
        <v>456</v>
      </c>
      <c r="AA157">
        <v>1320</v>
      </c>
      <c r="AB157">
        <v>60</v>
      </c>
      <c r="AC157" s="6">
        <v>168</v>
      </c>
      <c r="AD157" s="6">
        <v>394</v>
      </c>
      <c r="AE157" s="6">
        <v>372</v>
      </c>
      <c r="AF157" s="6">
        <v>910</v>
      </c>
    </row>
    <row r="158" spans="1:32" x14ac:dyDescent="0.3">
      <c r="A158" s="3" t="s">
        <v>98</v>
      </c>
      <c r="B158" s="5">
        <v>8163.88</v>
      </c>
      <c r="C158">
        <v>8525</v>
      </c>
      <c r="D158">
        <v>3980</v>
      </c>
      <c r="E158">
        <v>4720</v>
      </c>
      <c r="F158">
        <v>4380</v>
      </c>
      <c r="G158">
        <v>3210</v>
      </c>
      <c r="H158">
        <v>6150</v>
      </c>
      <c r="I158">
        <v>8700</v>
      </c>
      <c r="J158">
        <v>7400</v>
      </c>
      <c r="K158">
        <v>1885</v>
      </c>
      <c r="L158">
        <v>23500</v>
      </c>
      <c r="M158">
        <v>3100</v>
      </c>
      <c r="N158">
        <v>2440</v>
      </c>
      <c r="O158">
        <v>1740</v>
      </c>
      <c r="P158" s="6">
        <v>545</v>
      </c>
      <c r="Q158">
        <v>2610</v>
      </c>
      <c r="R158">
        <v>1275</v>
      </c>
      <c r="S158">
        <v>4670</v>
      </c>
      <c r="T158">
        <v>2510</v>
      </c>
      <c r="U158">
        <v>2760</v>
      </c>
      <c r="V158">
        <v>26900</v>
      </c>
      <c r="W158" s="6">
        <v>3450</v>
      </c>
      <c r="X158">
        <v>1220</v>
      </c>
      <c r="Y158">
        <v>2010</v>
      </c>
      <c r="Z158" s="6">
        <v>444</v>
      </c>
      <c r="AA158">
        <v>1290</v>
      </c>
      <c r="AB158">
        <v>60</v>
      </c>
      <c r="AC158" s="6">
        <v>168</v>
      </c>
      <c r="AD158" s="6">
        <v>392</v>
      </c>
      <c r="AE158" s="6">
        <v>368</v>
      </c>
      <c r="AF158" s="6">
        <v>885</v>
      </c>
    </row>
    <row r="159" spans="1:32" x14ac:dyDescent="0.3">
      <c r="A159" s="2">
        <v>45727</v>
      </c>
      <c r="B159" s="5">
        <v>8275.08</v>
      </c>
      <c r="C159">
        <v>8650</v>
      </c>
      <c r="D159">
        <v>4040</v>
      </c>
      <c r="E159">
        <v>4760</v>
      </c>
      <c r="F159">
        <v>4430</v>
      </c>
      <c r="G159">
        <v>3350</v>
      </c>
      <c r="H159">
        <v>6350</v>
      </c>
      <c r="I159">
        <v>8500</v>
      </c>
      <c r="J159">
        <v>7200</v>
      </c>
      <c r="K159">
        <v>1940</v>
      </c>
      <c r="L159">
        <v>23025</v>
      </c>
      <c r="M159">
        <v>3110</v>
      </c>
      <c r="N159">
        <v>2420</v>
      </c>
      <c r="O159">
        <v>1755</v>
      </c>
      <c r="P159" s="6">
        <v>550</v>
      </c>
      <c r="Q159">
        <v>2690</v>
      </c>
      <c r="R159">
        <v>1250</v>
      </c>
      <c r="S159">
        <v>4770</v>
      </c>
      <c r="T159">
        <v>2450</v>
      </c>
      <c r="U159">
        <v>2800</v>
      </c>
      <c r="V159">
        <v>27275</v>
      </c>
      <c r="W159" s="6">
        <v>3670</v>
      </c>
      <c r="X159">
        <v>1250</v>
      </c>
      <c r="Y159">
        <v>1925</v>
      </c>
      <c r="Z159" s="6">
        <v>446</v>
      </c>
      <c r="AA159">
        <v>1310</v>
      </c>
      <c r="AB159">
        <v>59</v>
      </c>
      <c r="AC159" s="6">
        <v>169</v>
      </c>
      <c r="AD159" s="6">
        <v>400</v>
      </c>
      <c r="AE159" s="6">
        <v>376</v>
      </c>
      <c r="AF159" s="6">
        <v>895</v>
      </c>
    </row>
    <row r="160" spans="1:32" x14ac:dyDescent="0.3">
      <c r="A160" s="1">
        <v>45758</v>
      </c>
      <c r="B160" s="5">
        <v>8241.91</v>
      </c>
      <c r="C160">
        <v>8650</v>
      </c>
      <c r="D160">
        <v>3970</v>
      </c>
      <c r="E160">
        <v>4730</v>
      </c>
      <c r="F160">
        <v>4450</v>
      </c>
      <c r="G160">
        <v>3500</v>
      </c>
      <c r="H160">
        <v>6300</v>
      </c>
      <c r="I160">
        <v>8475</v>
      </c>
      <c r="J160">
        <v>7075</v>
      </c>
      <c r="K160">
        <v>1905</v>
      </c>
      <c r="L160">
        <v>23200</v>
      </c>
      <c r="M160">
        <v>2960</v>
      </c>
      <c r="N160">
        <v>2420</v>
      </c>
      <c r="O160">
        <v>1740</v>
      </c>
      <c r="P160" s="6">
        <v>540</v>
      </c>
      <c r="Q160">
        <v>2730</v>
      </c>
      <c r="R160">
        <v>1225</v>
      </c>
      <c r="S160">
        <v>4730</v>
      </c>
      <c r="T160">
        <v>2430</v>
      </c>
      <c r="U160">
        <v>2770</v>
      </c>
      <c r="V160">
        <v>27200</v>
      </c>
      <c r="W160" s="6">
        <v>3500</v>
      </c>
      <c r="X160">
        <v>1270</v>
      </c>
      <c r="Y160">
        <v>1900</v>
      </c>
      <c r="Z160" s="6">
        <v>440</v>
      </c>
      <c r="AA160">
        <v>1320</v>
      </c>
      <c r="AB160">
        <v>57</v>
      </c>
      <c r="AC160" s="6">
        <v>167</v>
      </c>
      <c r="AD160" s="6">
        <v>398</v>
      </c>
      <c r="AE160" s="6">
        <v>370</v>
      </c>
      <c r="AF160" s="6">
        <v>890</v>
      </c>
    </row>
    <row r="161" spans="1:32" x14ac:dyDescent="0.3">
      <c r="A161" s="2">
        <v>45788</v>
      </c>
      <c r="B161" s="5">
        <v>8318.5300000000007</v>
      </c>
      <c r="C161">
        <v>8700</v>
      </c>
      <c r="D161">
        <v>3980</v>
      </c>
      <c r="E161">
        <v>4770</v>
      </c>
      <c r="F161">
        <v>4460</v>
      </c>
      <c r="G161">
        <v>3540</v>
      </c>
      <c r="H161">
        <v>6250</v>
      </c>
      <c r="I161">
        <v>8700</v>
      </c>
      <c r="J161">
        <v>7125</v>
      </c>
      <c r="K161">
        <v>1890</v>
      </c>
      <c r="L161">
        <v>23600</v>
      </c>
      <c r="M161">
        <v>2980</v>
      </c>
      <c r="N161">
        <v>2430</v>
      </c>
      <c r="O161">
        <v>1705</v>
      </c>
      <c r="P161" s="6">
        <v>540</v>
      </c>
      <c r="Q161">
        <v>2700</v>
      </c>
      <c r="R161">
        <v>1320</v>
      </c>
      <c r="S161">
        <v>4810</v>
      </c>
      <c r="T161">
        <v>2440</v>
      </c>
      <c r="U161">
        <v>2800</v>
      </c>
      <c r="V161">
        <v>27000</v>
      </c>
      <c r="W161" s="6">
        <v>3560</v>
      </c>
      <c r="X161">
        <v>1235</v>
      </c>
      <c r="Y161">
        <v>1935</v>
      </c>
      <c r="Z161" s="6">
        <v>440</v>
      </c>
      <c r="AA161">
        <v>1410</v>
      </c>
      <c r="AB161">
        <v>62</v>
      </c>
      <c r="AC161" s="6">
        <v>164</v>
      </c>
      <c r="AD161" s="6">
        <v>394</v>
      </c>
      <c r="AE161" s="6">
        <v>372</v>
      </c>
      <c r="AF161" s="6">
        <v>900</v>
      </c>
    </row>
    <row r="162" spans="1:32" x14ac:dyDescent="0.3">
      <c r="A162" s="1">
        <v>45819</v>
      </c>
      <c r="B162" s="5">
        <v>8337.06</v>
      </c>
      <c r="C162">
        <v>8550</v>
      </c>
      <c r="D162">
        <v>4000</v>
      </c>
      <c r="E162">
        <v>4750</v>
      </c>
      <c r="F162">
        <v>4440</v>
      </c>
      <c r="G162">
        <v>3480</v>
      </c>
      <c r="H162">
        <v>6325</v>
      </c>
      <c r="I162">
        <v>8575</v>
      </c>
      <c r="J162">
        <v>7025</v>
      </c>
      <c r="K162">
        <v>1920</v>
      </c>
      <c r="L162">
        <v>23400</v>
      </c>
      <c r="M162">
        <v>2930</v>
      </c>
      <c r="N162">
        <v>2430</v>
      </c>
      <c r="O162">
        <v>1725</v>
      </c>
      <c r="P162" s="6">
        <v>535</v>
      </c>
      <c r="Q162">
        <v>2740</v>
      </c>
      <c r="R162">
        <v>1250</v>
      </c>
      <c r="S162">
        <v>4760</v>
      </c>
      <c r="T162">
        <v>2420</v>
      </c>
      <c r="U162">
        <v>2890</v>
      </c>
      <c r="V162">
        <v>27375</v>
      </c>
      <c r="W162" s="6">
        <v>3570</v>
      </c>
      <c r="X162">
        <v>1245</v>
      </c>
      <c r="Y162">
        <v>1900</v>
      </c>
      <c r="Z162" s="6">
        <v>446</v>
      </c>
      <c r="AA162">
        <v>1440</v>
      </c>
      <c r="AB162">
        <v>61</v>
      </c>
      <c r="AC162" s="6">
        <v>165</v>
      </c>
      <c r="AD162" s="6">
        <v>396</v>
      </c>
      <c r="AE162" s="6">
        <v>368</v>
      </c>
      <c r="AF162" s="6">
        <v>895</v>
      </c>
    </row>
    <row r="163" spans="1:32" x14ac:dyDescent="0.3">
      <c r="A163" s="2">
        <v>45849</v>
      </c>
      <c r="B163" s="5">
        <v>8394.59</v>
      </c>
      <c r="C163">
        <v>8675</v>
      </c>
      <c r="D163">
        <v>3980</v>
      </c>
      <c r="E163">
        <v>4750</v>
      </c>
      <c r="F163">
        <v>4500</v>
      </c>
      <c r="G163">
        <v>3470</v>
      </c>
      <c r="H163">
        <v>6425</v>
      </c>
      <c r="I163">
        <v>8600</v>
      </c>
      <c r="J163">
        <v>7125</v>
      </c>
      <c r="K163">
        <v>1945</v>
      </c>
      <c r="L163">
        <v>23400</v>
      </c>
      <c r="M163">
        <v>2900</v>
      </c>
      <c r="N163">
        <v>2420</v>
      </c>
      <c r="O163">
        <v>1760</v>
      </c>
      <c r="P163" s="6">
        <v>540</v>
      </c>
      <c r="Q163">
        <v>2740</v>
      </c>
      <c r="R163">
        <v>1265</v>
      </c>
      <c r="S163">
        <v>4620</v>
      </c>
      <c r="T163">
        <v>2300</v>
      </c>
      <c r="U163">
        <v>2880</v>
      </c>
      <c r="V163">
        <v>27500</v>
      </c>
      <c r="W163" s="6">
        <v>3590</v>
      </c>
      <c r="X163">
        <v>1250</v>
      </c>
      <c r="Y163">
        <v>1910</v>
      </c>
      <c r="Z163" s="6">
        <v>458</v>
      </c>
      <c r="AA163">
        <v>1390</v>
      </c>
      <c r="AB163">
        <v>61</v>
      </c>
      <c r="AC163" s="6">
        <v>166</v>
      </c>
      <c r="AD163" s="6">
        <v>396</v>
      </c>
      <c r="AE163" s="6">
        <v>372</v>
      </c>
      <c r="AF163" s="6">
        <v>895</v>
      </c>
    </row>
    <row r="164" spans="1:32" x14ac:dyDescent="0.3">
      <c r="A164" s="1">
        <v>45941</v>
      </c>
      <c r="B164" s="5">
        <v>8391.24</v>
      </c>
      <c r="C164">
        <v>8575</v>
      </c>
      <c r="D164">
        <v>3930</v>
      </c>
      <c r="E164">
        <v>4730</v>
      </c>
      <c r="F164">
        <v>4420</v>
      </c>
      <c r="G164">
        <v>3440</v>
      </c>
      <c r="H164">
        <v>6425</v>
      </c>
      <c r="I164">
        <v>8650</v>
      </c>
      <c r="J164">
        <v>7100</v>
      </c>
      <c r="K164">
        <v>1960</v>
      </c>
      <c r="L164">
        <v>23350</v>
      </c>
      <c r="M164">
        <v>2910</v>
      </c>
      <c r="N164">
        <v>2500</v>
      </c>
      <c r="O164">
        <v>1730</v>
      </c>
      <c r="P164" s="6">
        <v>570</v>
      </c>
      <c r="Q164">
        <v>2750</v>
      </c>
      <c r="R164">
        <v>1270</v>
      </c>
      <c r="S164">
        <v>4670</v>
      </c>
      <c r="T164">
        <v>2320</v>
      </c>
      <c r="U164">
        <v>2760</v>
      </c>
      <c r="V164">
        <v>27875</v>
      </c>
      <c r="W164" s="6">
        <v>3590</v>
      </c>
      <c r="X164">
        <v>1210</v>
      </c>
      <c r="Y164">
        <v>1885</v>
      </c>
      <c r="Z164" s="6">
        <v>450</v>
      </c>
      <c r="AA164">
        <v>1420</v>
      </c>
      <c r="AB164">
        <v>67</v>
      </c>
      <c r="AC164" s="6">
        <v>165</v>
      </c>
      <c r="AD164" s="6">
        <v>394</v>
      </c>
      <c r="AE164" s="6">
        <v>368</v>
      </c>
      <c r="AF164" s="6">
        <v>890</v>
      </c>
    </row>
    <row r="165" spans="1:32" x14ac:dyDescent="0.3">
      <c r="A165" s="2">
        <v>45972</v>
      </c>
      <c r="B165" s="5">
        <v>8366.51</v>
      </c>
      <c r="C165">
        <v>8400</v>
      </c>
      <c r="D165">
        <v>3890</v>
      </c>
      <c r="E165">
        <v>4680</v>
      </c>
      <c r="F165">
        <v>4420</v>
      </c>
      <c r="G165">
        <v>3520</v>
      </c>
      <c r="H165">
        <v>6525</v>
      </c>
      <c r="I165">
        <v>8550</v>
      </c>
      <c r="J165">
        <v>7050</v>
      </c>
      <c r="K165">
        <v>1950</v>
      </c>
      <c r="L165">
        <v>23200</v>
      </c>
      <c r="M165">
        <v>2880</v>
      </c>
      <c r="N165">
        <v>2500</v>
      </c>
      <c r="O165">
        <v>1755</v>
      </c>
      <c r="P165" s="6">
        <v>565</v>
      </c>
      <c r="Q165">
        <v>2750</v>
      </c>
      <c r="R165">
        <v>1285</v>
      </c>
      <c r="S165">
        <v>4700</v>
      </c>
      <c r="T165">
        <v>2360</v>
      </c>
      <c r="U165">
        <v>2690</v>
      </c>
      <c r="V165">
        <v>27950</v>
      </c>
      <c r="W165" s="6">
        <v>3530</v>
      </c>
      <c r="X165">
        <v>1225</v>
      </c>
      <c r="Y165">
        <v>1855</v>
      </c>
      <c r="Z165" s="6">
        <v>438</v>
      </c>
      <c r="AA165">
        <v>1350</v>
      </c>
      <c r="AB165">
        <v>67</v>
      </c>
      <c r="AC165" s="6">
        <v>168</v>
      </c>
      <c r="AD165" s="6">
        <v>394</v>
      </c>
      <c r="AE165" s="6">
        <v>366</v>
      </c>
      <c r="AF165" s="6">
        <v>880</v>
      </c>
    </row>
    <row r="166" spans="1:32" x14ac:dyDescent="0.3">
      <c r="A166" s="1">
        <v>46002</v>
      </c>
      <c r="B166" s="5">
        <v>8388.57</v>
      </c>
      <c r="C166">
        <v>8500</v>
      </c>
      <c r="D166">
        <v>3900</v>
      </c>
      <c r="E166">
        <v>4760</v>
      </c>
      <c r="F166">
        <v>4460</v>
      </c>
      <c r="G166">
        <v>3560</v>
      </c>
      <c r="H166">
        <v>6450</v>
      </c>
      <c r="I166">
        <v>8525</v>
      </c>
      <c r="J166">
        <v>7175</v>
      </c>
      <c r="K166">
        <v>1965</v>
      </c>
      <c r="L166">
        <v>23100</v>
      </c>
      <c r="M166">
        <v>2880</v>
      </c>
      <c r="N166">
        <v>2420</v>
      </c>
      <c r="O166">
        <v>1770</v>
      </c>
      <c r="P166" s="6">
        <v>560</v>
      </c>
      <c r="Q166">
        <v>2750</v>
      </c>
      <c r="R166">
        <v>1265</v>
      </c>
      <c r="S166">
        <v>4740</v>
      </c>
      <c r="T166">
        <v>2510</v>
      </c>
      <c r="U166">
        <v>2690</v>
      </c>
      <c r="V166">
        <v>28300</v>
      </c>
      <c r="W166" s="6">
        <v>3780</v>
      </c>
      <c r="X166">
        <v>1255</v>
      </c>
      <c r="Y166">
        <v>1910</v>
      </c>
      <c r="Z166" s="6">
        <v>440</v>
      </c>
      <c r="AA166">
        <v>1340</v>
      </c>
      <c r="AB166">
        <v>65</v>
      </c>
      <c r="AC166" s="6">
        <v>173</v>
      </c>
      <c r="AD166" s="6">
        <v>394</v>
      </c>
      <c r="AE166" s="6">
        <v>366</v>
      </c>
      <c r="AF166" s="6">
        <v>860</v>
      </c>
    </row>
    <row r="167" spans="1:32" x14ac:dyDescent="0.3">
      <c r="A167" s="4" t="s">
        <v>99</v>
      </c>
      <c r="B167" s="5">
        <v>8372</v>
      </c>
      <c r="C167">
        <v>8375</v>
      </c>
      <c r="D167">
        <v>3870</v>
      </c>
      <c r="E167">
        <v>4700</v>
      </c>
      <c r="F167">
        <v>4420</v>
      </c>
      <c r="G167">
        <v>3500</v>
      </c>
      <c r="H167">
        <v>6375</v>
      </c>
      <c r="I167">
        <v>8475</v>
      </c>
      <c r="J167">
        <v>7150</v>
      </c>
      <c r="K167">
        <v>1930</v>
      </c>
      <c r="L167">
        <v>22650</v>
      </c>
      <c r="M167">
        <v>2890</v>
      </c>
      <c r="N167">
        <v>2460</v>
      </c>
      <c r="O167">
        <v>1740</v>
      </c>
      <c r="P167" s="6">
        <v>545</v>
      </c>
      <c r="Q167">
        <v>2750</v>
      </c>
      <c r="R167">
        <v>1285</v>
      </c>
      <c r="S167">
        <v>4760</v>
      </c>
      <c r="T167">
        <v>2440</v>
      </c>
      <c r="U167">
        <v>2660</v>
      </c>
      <c r="V167">
        <v>28250</v>
      </c>
      <c r="W167" s="6">
        <v>3720</v>
      </c>
      <c r="X167">
        <v>1240</v>
      </c>
      <c r="Y167">
        <v>1895</v>
      </c>
      <c r="Z167" s="6">
        <v>436</v>
      </c>
      <c r="AA167">
        <v>1325</v>
      </c>
      <c r="AB167">
        <v>64</v>
      </c>
      <c r="AC167" s="6">
        <v>169</v>
      </c>
      <c r="AD167" s="6">
        <v>394</v>
      </c>
      <c r="AE167" s="6">
        <v>362</v>
      </c>
      <c r="AF167" s="6">
        <v>870</v>
      </c>
    </row>
    <row r="168" spans="1:32" x14ac:dyDescent="0.3">
      <c r="A168" s="3" t="s">
        <v>100</v>
      </c>
      <c r="B168" s="5">
        <v>8370.44</v>
      </c>
      <c r="C168">
        <v>8425</v>
      </c>
      <c r="D168">
        <v>3900</v>
      </c>
      <c r="E168">
        <v>4750</v>
      </c>
      <c r="F168">
        <v>4390</v>
      </c>
      <c r="G168">
        <v>3550</v>
      </c>
      <c r="H168">
        <v>6400</v>
      </c>
      <c r="I168">
        <v>8425</v>
      </c>
      <c r="J168">
        <v>7100</v>
      </c>
      <c r="K168">
        <v>1880</v>
      </c>
      <c r="L168">
        <v>22425</v>
      </c>
      <c r="M168">
        <v>3040</v>
      </c>
      <c r="N168">
        <v>2410</v>
      </c>
      <c r="O168">
        <v>1730</v>
      </c>
      <c r="P168" s="6">
        <v>540</v>
      </c>
      <c r="Q168">
        <v>2720</v>
      </c>
      <c r="R168">
        <v>1235</v>
      </c>
      <c r="S168">
        <v>4810</v>
      </c>
      <c r="T168">
        <v>2420</v>
      </c>
      <c r="U168">
        <v>2600</v>
      </c>
      <c r="V168">
        <v>28050</v>
      </c>
      <c r="W168" s="6">
        <v>3780</v>
      </c>
      <c r="X168">
        <v>1230</v>
      </c>
      <c r="Y168">
        <v>1865</v>
      </c>
      <c r="Z168" s="6">
        <v>422</v>
      </c>
      <c r="AA168">
        <v>1300</v>
      </c>
      <c r="AB168">
        <v>65</v>
      </c>
      <c r="AC168" s="6">
        <v>167</v>
      </c>
      <c r="AD168" s="6">
        <v>390</v>
      </c>
      <c r="AE168" s="6">
        <v>360</v>
      </c>
      <c r="AF168" s="6">
        <v>865</v>
      </c>
    </row>
    <row r="169" spans="1:32" x14ac:dyDescent="0.3">
      <c r="A169" s="4" t="s">
        <v>101</v>
      </c>
      <c r="B169" s="5">
        <v>8416.8799999999992</v>
      </c>
      <c r="C169">
        <v>8575</v>
      </c>
      <c r="D169">
        <v>3940</v>
      </c>
      <c r="E169">
        <v>4820</v>
      </c>
      <c r="F169">
        <v>4390</v>
      </c>
      <c r="G169">
        <v>3610</v>
      </c>
      <c r="H169">
        <v>6450</v>
      </c>
      <c r="I169">
        <v>8375</v>
      </c>
      <c r="J169">
        <v>7100</v>
      </c>
      <c r="K169">
        <v>1910</v>
      </c>
      <c r="L169">
        <v>22400</v>
      </c>
      <c r="M169">
        <v>3060</v>
      </c>
      <c r="N169">
        <v>2260</v>
      </c>
      <c r="O169">
        <v>1750</v>
      </c>
      <c r="P169" s="6">
        <v>545</v>
      </c>
      <c r="Q169">
        <v>2730</v>
      </c>
      <c r="R169">
        <v>1225</v>
      </c>
      <c r="S169">
        <v>4610</v>
      </c>
      <c r="T169">
        <v>2330</v>
      </c>
      <c r="U169">
        <v>2600</v>
      </c>
      <c r="V169">
        <v>28025</v>
      </c>
      <c r="W169" s="6">
        <v>3770</v>
      </c>
      <c r="X169">
        <v>1275</v>
      </c>
      <c r="Y169">
        <v>1855</v>
      </c>
      <c r="Z169" s="6">
        <v>430</v>
      </c>
      <c r="AA169">
        <v>1340</v>
      </c>
      <c r="AB169">
        <v>62</v>
      </c>
      <c r="AC169" s="6">
        <v>169</v>
      </c>
      <c r="AD169" s="6">
        <v>392</v>
      </c>
      <c r="AE169" s="6">
        <v>362</v>
      </c>
      <c r="AF169" s="6">
        <v>880</v>
      </c>
    </row>
    <row r="170" spans="1:32" x14ac:dyDescent="0.3">
      <c r="A170" s="3" t="s">
        <v>102</v>
      </c>
      <c r="B170" s="5">
        <v>8361.93</v>
      </c>
      <c r="C170">
        <v>8400</v>
      </c>
      <c r="D170">
        <v>3970</v>
      </c>
      <c r="E170">
        <v>4790</v>
      </c>
      <c r="F170">
        <v>4460</v>
      </c>
      <c r="G170">
        <v>3620</v>
      </c>
      <c r="H170">
        <v>6425</v>
      </c>
      <c r="I170">
        <v>8325</v>
      </c>
      <c r="J170">
        <v>7000</v>
      </c>
      <c r="K170">
        <v>1880</v>
      </c>
      <c r="L170">
        <v>22100</v>
      </c>
      <c r="M170">
        <v>3010</v>
      </c>
      <c r="N170">
        <v>2170</v>
      </c>
      <c r="O170">
        <v>1730</v>
      </c>
      <c r="P170" s="6">
        <v>540</v>
      </c>
      <c r="Q170">
        <v>2710</v>
      </c>
      <c r="R170">
        <v>1180</v>
      </c>
      <c r="S170">
        <v>4700</v>
      </c>
      <c r="T170">
        <v>2350</v>
      </c>
      <c r="U170">
        <v>2540</v>
      </c>
      <c r="V170">
        <v>27250</v>
      </c>
      <c r="W170" s="6">
        <v>3580</v>
      </c>
      <c r="X170">
        <v>1345</v>
      </c>
      <c r="Y170">
        <v>1860</v>
      </c>
      <c r="Z170" s="6">
        <v>428</v>
      </c>
      <c r="AA170">
        <v>1320</v>
      </c>
      <c r="AB170">
        <v>61</v>
      </c>
      <c r="AC170" s="6">
        <v>166</v>
      </c>
      <c r="AD170" s="6">
        <v>394</v>
      </c>
      <c r="AE170" s="6">
        <v>362</v>
      </c>
      <c r="AF170" s="6">
        <v>885</v>
      </c>
    </row>
    <row r="171" spans="1:32" x14ac:dyDescent="0.3">
      <c r="A171" s="4" t="s">
        <v>103</v>
      </c>
      <c r="B171" s="5">
        <v>8406.58</v>
      </c>
      <c r="C171">
        <v>8475</v>
      </c>
      <c r="D171">
        <v>4000</v>
      </c>
      <c r="E171">
        <v>4850</v>
      </c>
      <c r="F171">
        <v>4460</v>
      </c>
      <c r="G171">
        <v>3650</v>
      </c>
      <c r="H171">
        <v>6400</v>
      </c>
      <c r="I171">
        <v>8400</v>
      </c>
      <c r="J171">
        <v>7025</v>
      </c>
      <c r="K171">
        <v>1920</v>
      </c>
      <c r="L171">
        <v>22150</v>
      </c>
      <c r="M171">
        <v>3000</v>
      </c>
      <c r="N171">
        <v>2240</v>
      </c>
      <c r="O171">
        <v>1750</v>
      </c>
      <c r="P171" s="6">
        <v>550</v>
      </c>
      <c r="Q171">
        <v>2750</v>
      </c>
      <c r="R171">
        <v>1230</v>
      </c>
      <c r="S171">
        <v>4750</v>
      </c>
      <c r="T171">
        <v>2450</v>
      </c>
      <c r="U171">
        <v>2710</v>
      </c>
      <c r="V171">
        <v>27300</v>
      </c>
      <c r="W171" s="6">
        <v>3500</v>
      </c>
      <c r="X171">
        <v>1340</v>
      </c>
      <c r="Y171">
        <v>1885</v>
      </c>
      <c r="Z171" s="6">
        <v>430</v>
      </c>
      <c r="AA171">
        <v>1325</v>
      </c>
      <c r="AB171">
        <v>60</v>
      </c>
      <c r="AC171" s="6">
        <v>167</v>
      </c>
      <c r="AD171" s="6">
        <v>390</v>
      </c>
      <c r="AE171" s="6">
        <v>362</v>
      </c>
      <c r="AF171" s="6">
        <v>860</v>
      </c>
    </row>
    <row r="172" spans="1:32" x14ac:dyDescent="0.3">
      <c r="A172" s="3" t="s">
        <v>104</v>
      </c>
      <c r="B172" s="5">
        <v>8419.92</v>
      </c>
      <c r="C172">
        <v>8425</v>
      </c>
      <c r="D172">
        <v>3990</v>
      </c>
      <c r="E172">
        <v>4940</v>
      </c>
      <c r="F172">
        <v>4460</v>
      </c>
      <c r="G172">
        <v>3640</v>
      </c>
      <c r="H172">
        <v>6425</v>
      </c>
      <c r="I172">
        <v>8325</v>
      </c>
      <c r="J172">
        <v>7075</v>
      </c>
      <c r="K172">
        <v>1905</v>
      </c>
      <c r="L172">
        <v>22100</v>
      </c>
      <c r="M172">
        <v>2980</v>
      </c>
      <c r="N172">
        <v>2170</v>
      </c>
      <c r="O172">
        <v>1750</v>
      </c>
      <c r="P172" s="6">
        <v>550</v>
      </c>
      <c r="Q172">
        <v>2760</v>
      </c>
      <c r="R172">
        <v>1210</v>
      </c>
      <c r="S172">
        <v>4730</v>
      </c>
      <c r="T172">
        <v>2430</v>
      </c>
      <c r="U172">
        <v>2650</v>
      </c>
      <c r="V172">
        <v>27000</v>
      </c>
      <c r="W172" s="6">
        <v>3470</v>
      </c>
      <c r="X172">
        <v>1275</v>
      </c>
      <c r="Y172">
        <v>1840</v>
      </c>
      <c r="Z172" s="6">
        <v>426</v>
      </c>
      <c r="AA172">
        <v>1320</v>
      </c>
      <c r="AB172">
        <v>60</v>
      </c>
      <c r="AC172" s="6">
        <v>167</v>
      </c>
      <c r="AD172" s="6">
        <v>390</v>
      </c>
      <c r="AE172" s="6">
        <v>360</v>
      </c>
      <c r="AF172" s="6">
        <v>865</v>
      </c>
    </row>
    <row r="173" spans="1:32" x14ac:dyDescent="0.3">
      <c r="A173" s="4" t="s">
        <v>105</v>
      </c>
      <c r="B173" s="5">
        <v>8414.35</v>
      </c>
      <c r="C173">
        <v>8400</v>
      </c>
      <c r="D173">
        <v>3960</v>
      </c>
      <c r="E173">
        <v>4950</v>
      </c>
      <c r="F173">
        <v>4390</v>
      </c>
      <c r="G173">
        <v>3500</v>
      </c>
      <c r="H173">
        <v>6425</v>
      </c>
      <c r="I173">
        <v>8350</v>
      </c>
      <c r="J173">
        <v>7125</v>
      </c>
      <c r="K173">
        <v>1870</v>
      </c>
      <c r="L173">
        <v>22125</v>
      </c>
      <c r="M173">
        <v>2910</v>
      </c>
      <c r="N173">
        <v>2270</v>
      </c>
      <c r="O173">
        <v>1720</v>
      </c>
      <c r="P173" s="6">
        <v>540</v>
      </c>
      <c r="Q173">
        <v>2730</v>
      </c>
      <c r="R173">
        <v>1210</v>
      </c>
      <c r="S173">
        <v>4740</v>
      </c>
      <c r="T173">
        <v>2460</v>
      </c>
      <c r="U173">
        <v>2700</v>
      </c>
      <c r="V173">
        <v>27025</v>
      </c>
      <c r="W173" s="6">
        <v>3490</v>
      </c>
      <c r="X173">
        <v>1290</v>
      </c>
      <c r="Y173">
        <v>1830</v>
      </c>
      <c r="Z173" s="6">
        <v>424</v>
      </c>
      <c r="AA173">
        <v>1295</v>
      </c>
      <c r="AB173">
        <v>64</v>
      </c>
      <c r="AC173" s="6">
        <v>168</v>
      </c>
      <c r="AD173" s="6">
        <v>390</v>
      </c>
      <c r="AE173" s="6">
        <v>352</v>
      </c>
      <c r="AF173" s="6">
        <v>860</v>
      </c>
    </row>
    <row r="174" spans="1:32" x14ac:dyDescent="0.3">
      <c r="A174" s="3" t="s">
        <v>106</v>
      </c>
      <c r="B174" s="5">
        <v>8570.25</v>
      </c>
      <c r="C174">
        <v>8475</v>
      </c>
      <c r="D174">
        <v>3980</v>
      </c>
      <c r="E174">
        <v>5100</v>
      </c>
      <c r="F174">
        <v>4390</v>
      </c>
      <c r="G174">
        <v>3700</v>
      </c>
      <c r="H174">
        <v>6475</v>
      </c>
      <c r="I174">
        <v>8350</v>
      </c>
      <c r="J174">
        <v>7450</v>
      </c>
      <c r="K174">
        <v>1875</v>
      </c>
      <c r="L174">
        <v>22250</v>
      </c>
      <c r="M174">
        <v>2930</v>
      </c>
      <c r="N174">
        <v>2300</v>
      </c>
      <c r="O174">
        <v>1735</v>
      </c>
      <c r="P174" s="6">
        <v>540</v>
      </c>
      <c r="Q174">
        <v>2760</v>
      </c>
      <c r="R174">
        <v>1170</v>
      </c>
      <c r="S174">
        <v>4730</v>
      </c>
      <c r="T174">
        <v>2410</v>
      </c>
      <c r="U174">
        <v>2620</v>
      </c>
      <c r="V174">
        <v>27300</v>
      </c>
      <c r="W174" s="6">
        <v>3500</v>
      </c>
      <c r="X174">
        <v>1260</v>
      </c>
      <c r="Y174">
        <v>1870</v>
      </c>
      <c r="Z174" s="6">
        <v>428</v>
      </c>
      <c r="AA174">
        <v>1300</v>
      </c>
      <c r="AB174">
        <v>65</v>
      </c>
      <c r="AC174" s="6">
        <v>170</v>
      </c>
      <c r="AD174" s="6">
        <v>388</v>
      </c>
      <c r="AE174" s="6">
        <v>354</v>
      </c>
      <c r="AF174" s="6">
        <v>865</v>
      </c>
    </row>
    <row r="175" spans="1:32" x14ac:dyDescent="0.3">
      <c r="A175" s="4" t="s">
        <v>107</v>
      </c>
      <c r="B175" s="5">
        <v>8521.8799999999992</v>
      </c>
      <c r="C175">
        <v>8500</v>
      </c>
      <c r="D175">
        <v>3830</v>
      </c>
      <c r="E175">
        <v>5025</v>
      </c>
      <c r="F175">
        <v>4420</v>
      </c>
      <c r="G175">
        <v>3650</v>
      </c>
      <c r="H175">
        <v>6450</v>
      </c>
      <c r="I175">
        <v>8575</v>
      </c>
      <c r="J175">
        <v>7250</v>
      </c>
      <c r="K175">
        <v>1855</v>
      </c>
      <c r="L175">
        <v>22100</v>
      </c>
      <c r="M175">
        <v>3000</v>
      </c>
      <c r="N175">
        <v>2300</v>
      </c>
      <c r="O175">
        <v>1735</v>
      </c>
      <c r="P175" s="6">
        <v>535</v>
      </c>
      <c r="Q175">
        <v>2750</v>
      </c>
      <c r="R175">
        <v>1230</v>
      </c>
      <c r="S175">
        <v>4710</v>
      </c>
      <c r="T175">
        <v>2380</v>
      </c>
      <c r="U175">
        <v>2550</v>
      </c>
      <c r="V175">
        <v>27375</v>
      </c>
      <c r="W175" s="6">
        <v>3430</v>
      </c>
      <c r="X175">
        <v>1260</v>
      </c>
      <c r="Y175">
        <v>1850</v>
      </c>
      <c r="Z175" s="6">
        <v>420</v>
      </c>
      <c r="AA175">
        <v>1290</v>
      </c>
      <c r="AB175">
        <v>65</v>
      </c>
      <c r="AC175" s="6">
        <v>168</v>
      </c>
      <c r="AD175" s="6">
        <v>388</v>
      </c>
      <c r="AE175" s="6">
        <v>354</v>
      </c>
      <c r="AF175" s="6">
        <v>855</v>
      </c>
    </row>
    <row r="176" spans="1:32" x14ac:dyDescent="0.3">
      <c r="A176" s="3" t="s">
        <v>108</v>
      </c>
      <c r="B176" s="5">
        <v>8602.1299999999992</v>
      </c>
      <c r="C176">
        <v>8425</v>
      </c>
      <c r="D176">
        <v>3790</v>
      </c>
      <c r="E176">
        <v>5025</v>
      </c>
      <c r="F176">
        <v>4410</v>
      </c>
      <c r="G176">
        <v>3720</v>
      </c>
      <c r="H176">
        <v>6600</v>
      </c>
      <c r="I176">
        <v>8600</v>
      </c>
      <c r="J176">
        <v>7425</v>
      </c>
      <c r="K176">
        <v>1845</v>
      </c>
      <c r="L176">
        <v>22050</v>
      </c>
      <c r="M176">
        <v>3030</v>
      </c>
      <c r="N176">
        <v>2340</v>
      </c>
      <c r="O176">
        <v>1755</v>
      </c>
      <c r="P176" s="6">
        <v>540</v>
      </c>
      <c r="Q176">
        <v>2860</v>
      </c>
      <c r="R176">
        <v>1255</v>
      </c>
      <c r="S176">
        <v>4760</v>
      </c>
      <c r="T176">
        <v>2470</v>
      </c>
      <c r="U176">
        <v>2960</v>
      </c>
      <c r="V176">
        <v>27800</v>
      </c>
      <c r="W176" s="6">
        <v>3510</v>
      </c>
      <c r="X176">
        <v>1270</v>
      </c>
      <c r="Y176">
        <v>1835</v>
      </c>
      <c r="Z176" s="6">
        <v>418</v>
      </c>
      <c r="AA176">
        <v>1245</v>
      </c>
      <c r="AB176">
        <v>65</v>
      </c>
      <c r="AC176" s="6">
        <v>168</v>
      </c>
      <c r="AD176" s="6">
        <v>390</v>
      </c>
      <c r="AE176" s="6">
        <v>354</v>
      </c>
      <c r="AF176" s="6">
        <v>860</v>
      </c>
    </row>
    <row r="177" spans="1:32" x14ac:dyDescent="0.3">
      <c r="A177" s="4" t="s">
        <v>109</v>
      </c>
      <c r="B177" s="5">
        <v>8545.8700000000008</v>
      </c>
      <c r="C177">
        <v>8325</v>
      </c>
      <c r="D177">
        <v>3740</v>
      </c>
      <c r="E177">
        <v>4860</v>
      </c>
      <c r="F177">
        <v>4350</v>
      </c>
      <c r="G177">
        <v>3570</v>
      </c>
      <c r="H177">
        <v>6575</v>
      </c>
      <c r="I177">
        <v>8550</v>
      </c>
      <c r="J177">
        <v>7375</v>
      </c>
      <c r="K177">
        <v>1810</v>
      </c>
      <c r="L177">
        <v>22000</v>
      </c>
      <c r="M177">
        <v>3000</v>
      </c>
      <c r="N177">
        <v>2350</v>
      </c>
      <c r="O177">
        <v>1740</v>
      </c>
      <c r="P177" s="6">
        <v>540</v>
      </c>
      <c r="Q177">
        <v>2840</v>
      </c>
      <c r="R177">
        <v>1225</v>
      </c>
      <c r="S177">
        <v>4670</v>
      </c>
      <c r="T177">
        <v>2410</v>
      </c>
      <c r="U177">
        <v>2870</v>
      </c>
      <c r="V177">
        <v>28350</v>
      </c>
      <c r="W177" s="6">
        <v>3600</v>
      </c>
      <c r="X177">
        <v>1240</v>
      </c>
      <c r="Y177">
        <v>1810</v>
      </c>
      <c r="Z177" s="6">
        <v>420</v>
      </c>
      <c r="AA177">
        <v>1235</v>
      </c>
      <c r="AB177">
        <v>65</v>
      </c>
      <c r="AC177" s="6">
        <v>170</v>
      </c>
      <c r="AD177" s="6">
        <v>382</v>
      </c>
      <c r="AE177" s="6">
        <v>360</v>
      </c>
      <c r="AF177" s="6">
        <v>855</v>
      </c>
    </row>
    <row r="178" spans="1:32" x14ac:dyDescent="0.3">
      <c r="A178" s="3" t="s">
        <v>110</v>
      </c>
      <c r="B178" s="5">
        <v>8508.7099999999991</v>
      </c>
      <c r="C178">
        <v>8275</v>
      </c>
      <c r="D178">
        <v>3680</v>
      </c>
      <c r="E178">
        <v>4830</v>
      </c>
      <c r="F178">
        <v>4260</v>
      </c>
      <c r="G178">
        <v>3510</v>
      </c>
      <c r="H178">
        <v>6550</v>
      </c>
      <c r="I178">
        <v>8450</v>
      </c>
      <c r="J178">
        <v>7350</v>
      </c>
      <c r="K178">
        <v>1810</v>
      </c>
      <c r="L178">
        <v>22050</v>
      </c>
      <c r="M178">
        <v>2910</v>
      </c>
      <c r="N178">
        <v>2280</v>
      </c>
      <c r="O178">
        <v>1805</v>
      </c>
      <c r="P178" s="6">
        <v>545</v>
      </c>
      <c r="Q178">
        <v>2890</v>
      </c>
      <c r="R178">
        <v>1200</v>
      </c>
      <c r="S178">
        <v>4630</v>
      </c>
      <c r="T178">
        <v>2440</v>
      </c>
      <c r="U178">
        <v>2910</v>
      </c>
      <c r="V178">
        <v>28000</v>
      </c>
      <c r="W178" s="6">
        <v>3580</v>
      </c>
      <c r="X178">
        <v>1240</v>
      </c>
      <c r="Y178">
        <v>1800</v>
      </c>
      <c r="Z178" s="6">
        <v>418</v>
      </c>
      <c r="AA178">
        <v>1230</v>
      </c>
      <c r="AB178">
        <v>64</v>
      </c>
      <c r="AC178" s="6">
        <v>169</v>
      </c>
      <c r="AD178" s="6">
        <v>386</v>
      </c>
      <c r="AE178" s="6">
        <v>382</v>
      </c>
      <c r="AF178" s="6">
        <v>870</v>
      </c>
    </row>
    <row r="179" spans="1:32" x14ac:dyDescent="0.3">
      <c r="A179" s="2">
        <v>45669</v>
      </c>
      <c r="B179" s="5">
        <v>8548.7900000000009</v>
      </c>
      <c r="C179">
        <v>8400</v>
      </c>
      <c r="D179">
        <v>3670</v>
      </c>
      <c r="E179">
        <v>4860</v>
      </c>
      <c r="F179">
        <v>4310</v>
      </c>
      <c r="G179">
        <v>3650</v>
      </c>
      <c r="H179">
        <v>6375</v>
      </c>
      <c r="I179">
        <v>8400</v>
      </c>
      <c r="J179">
        <v>7350</v>
      </c>
      <c r="K179">
        <v>1820</v>
      </c>
      <c r="L179">
        <v>21900</v>
      </c>
      <c r="M179">
        <v>2990</v>
      </c>
      <c r="N179">
        <v>2310</v>
      </c>
      <c r="O179">
        <v>1870</v>
      </c>
      <c r="P179" s="6">
        <v>545</v>
      </c>
      <c r="Q179">
        <v>2860</v>
      </c>
      <c r="R179">
        <v>1205</v>
      </c>
      <c r="S179">
        <v>4710</v>
      </c>
      <c r="T179">
        <v>2630</v>
      </c>
      <c r="U179">
        <v>2870</v>
      </c>
      <c r="V179">
        <v>27975</v>
      </c>
      <c r="W179" s="6">
        <v>3470</v>
      </c>
      <c r="X179">
        <v>1220</v>
      </c>
      <c r="Y179">
        <v>1785</v>
      </c>
      <c r="Z179" s="6">
        <v>416</v>
      </c>
      <c r="AA179">
        <v>1220</v>
      </c>
      <c r="AB179">
        <v>67</v>
      </c>
      <c r="AC179" s="6">
        <v>166</v>
      </c>
      <c r="AD179" s="6">
        <v>390</v>
      </c>
      <c r="AE179" s="6">
        <v>380</v>
      </c>
      <c r="AF179" s="6">
        <v>860</v>
      </c>
    </row>
    <row r="180" spans="1:32" x14ac:dyDescent="0.3">
      <c r="A180" s="1">
        <v>45700</v>
      </c>
      <c r="B180" s="5">
        <v>8617.0400000000009</v>
      </c>
      <c r="C180">
        <v>8375</v>
      </c>
      <c r="D180">
        <v>3710</v>
      </c>
      <c r="E180">
        <v>4850</v>
      </c>
      <c r="F180">
        <v>4270</v>
      </c>
      <c r="G180">
        <v>3560</v>
      </c>
      <c r="H180">
        <v>6625</v>
      </c>
      <c r="I180">
        <v>8100</v>
      </c>
      <c r="J180">
        <v>7200</v>
      </c>
      <c r="K180">
        <v>1840</v>
      </c>
      <c r="L180">
        <v>22000</v>
      </c>
      <c r="M180">
        <v>2980</v>
      </c>
      <c r="N180">
        <v>2280</v>
      </c>
      <c r="O180">
        <v>1830</v>
      </c>
      <c r="P180" s="6">
        <v>555</v>
      </c>
      <c r="Q180">
        <v>2810</v>
      </c>
      <c r="R180">
        <v>1140</v>
      </c>
      <c r="S180">
        <v>4750</v>
      </c>
      <c r="T180">
        <v>2750</v>
      </c>
      <c r="U180">
        <v>2810</v>
      </c>
      <c r="V180">
        <v>28525</v>
      </c>
      <c r="W180" s="6">
        <v>3500</v>
      </c>
      <c r="X180">
        <v>1240</v>
      </c>
      <c r="Y180">
        <v>1805</v>
      </c>
      <c r="Z180" s="6">
        <v>420</v>
      </c>
      <c r="AA180">
        <v>1220</v>
      </c>
      <c r="AB180">
        <v>65</v>
      </c>
      <c r="AC180" s="6">
        <v>167</v>
      </c>
      <c r="AD180" s="6">
        <v>388</v>
      </c>
      <c r="AE180" s="6">
        <v>372</v>
      </c>
      <c r="AF180" s="6">
        <v>865</v>
      </c>
    </row>
    <row r="181" spans="1:32" x14ac:dyDescent="0.3">
      <c r="A181" s="2">
        <v>45728</v>
      </c>
      <c r="B181" s="5">
        <v>8611.7900000000009</v>
      </c>
      <c r="C181">
        <v>8300</v>
      </c>
      <c r="D181">
        <v>3660</v>
      </c>
      <c r="E181">
        <v>4880</v>
      </c>
      <c r="F181">
        <v>4260</v>
      </c>
      <c r="G181">
        <v>3580</v>
      </c>
      <c r="H181">
        <v>6600</v>
      </c>
      <c r="I181">
        <v>8125</v>
      </c>
      <c r="J181">
        <v>7050</v>
      </c>
      <c r="K181">
        <v>1850</v>
      </c>
      <c r="L181">
        <v>21975</v>
      </c>
      <c r="M181">
        <v>2920</v>
      </c>
      <c r="N181">
        <v>2260</v>
      </c>
      <c r="O181">
        <v>1870</v>
      </c>
      <c r="P181" s="6">
        <v>555</v>
      </c>
      <c r="Q181">
        <v>2790</v>
      </c>
      <c r="R181">
        <v>1175</v>
      </c>
      <c r="S181">
        <v>4780</v>
      </c>
      <c r="T181">
        <v>2710</v>
      </c>
      <c r="U181">
        <v>2860</v>
      </c>
      <c r="V181">
        <v>28700</v>
      </c>
      <c r="W181" s="6">
        <v>3490</v>
      </c>
      <c r="X181">
        <v>1235</v>
      </c>
      <c r="Y181">
        <v>1840</v>
      </c>
      <c r="Z181" s="6">
        <v>420</v>
      </c>
      <c r="AA181">
        <v>1225</v>
      </c>
      <c r="AB181">
        <v>64</v>
      </c>
      <c r="AC181" s="6">
        <v>166</v>
      </c>
      <c r="AD181" s="6">
        <v>386</v>
      </c>
      <c r="AE181" s="6">
        <v>370</v>
      </c>
      <c r="AF181" s="6">
        <v>875</v>
      </c>
    </row>
    <row r="182" spans="1:32" x14ac:dyDescent="0.3">
      <c r="A182" s="1">
        <v>45759</v>
      </c>
      <c r="B182" s="5">
        <v>8640.2000000000007</v>
      </c>
      <c r="C182">
        <v>8225</v>
      </c>
      <c r="D182">
        <v>3690</v>
      </c>
      <c r="E182">
        <v>4920</v>
      </c>
      <c r="F182">
        <v>4310</v>
      </c>
      <c r="G182">
        <v>3630</v>
      </c>
      <c r="H182">
        <v>6725</v>
      </c>
      <c r="I182">
        <v>8200</v>
      </c>
      <c r="J182">
        <v>7025</v>
      </c>
      <c r="K182">
        <v>1810</v>
      </c>
      <c r="L182">
        <v>21950</v>
      </c>
      <c r="M182">
        <v>2900</v>
      </c>
      <c r="N182">
        <v>2250</v>
      </c>
      <c r="O182">
        <v>1850</v>
      </c>
      <c r="P182" s="6">
        <v>560</v>
      </c>
      <c r="Q182">
        <v>2890</v>
      </c>
      <c r="R182">
        <v>1190</v>
      </c>
      <c r="S182">
        <v>4770</v>
      </c>
      <c r="T182">
        <v>2630</v>
      </c>
      <c r="U182">
        <v>2800</v>
      </c>
      <c r="V182">
        <v>30675</v>
      </c>
      <c r="W182" s="6">
        <v>3500</v>
      </c>
      <c r="X182">
        <v>1315</v>
      </c>
      <c r="Y182">
        <v>1850</v>
      </c>
      <c r="Z182" s="6">
        <v>420</v>
      </c>
      <c r="AA182">
        <v>1265</v>
      </c>
      <c r="AB182">
        <v>64</v>
      </c>
      <c r="AC182" s="6">
        <v>166</v>
      </c>
      <c r="AD182" s="6">
        <v>382</v>
      </c>
      <c r="AE182" s="6">
        <v>368</v>
      </c>
      <c r="AF182" s="6">
        <v>875</v>
      </c>
    </row>
    <row r="183" spans="1:32" x14ac:dyDescent="0.3">
      <c r="A183" s="2">
        <v>45789</v>
      </c>
      <c r="B183" s="5">
        <v>8632.76</v>
      </c>
      <c r="C183">
        <v>8300</v>
      </c>
      <c r="D183">
        <v>3650</v>
      </c>
      <c r="E183">
        <v>4900</v>
      </c>
      <c r="F183">
        <v>4290</v>
      </c>
      <c r="G183">
        <v>3700</v>
      </c>
      <c r="H183">
        <v>6700</v>
      </c>
      <c r="I183">
        <v>8050</v>
      </c>
      <c r="J183">
        <v>7100</v>
      </c>
      <c r="K183">
        <v>1815</v>
      </c>
      <c r="L183">
        <v>22000</v>
      </c>
      <c r="M183">
        <v>2910</v>
      </c>
      <c r="N183">
        <v>2230</v>
      </c>
      <c r="O183">
        <v>1825</v>
      </c>
      <c r="P183" s="6">
        <v>555</v>
      </c>
      <c r="Q183">
        <v>3200</v>
      </c>
      <c r="R183">
        <v>1160</v>
      </c>
      <c r="S183">
        <v>4770</v>
      </c>
      <c r="T183">
        <v>2640</v>
      </c>
      <c r="U183">
        <v>2910</v>
      </c>
      <c r="V183">
        <v>30850</v>
      </c>
      <c r="W183" s="6">
        <v>3500</v>
      </c>
      <c r="X183">
        <v>1280</v>
      </c>
      <c r="Y183">
        <v>1845</v>
      </c>
      <c r="Z183" s="6">
        <v>420</v>
      </c>
      <c r="AA183">
        <v>1225</v>
      </c>
      <c r="AB183">
        <v>64</v>
      </c>
      <c r="AC183" s="6">
        <v>164</v>
      </c>
      <c r="AD183" s="6">
        <v>384</v>
      </c>
      <c r="AE183" s="6">
        <v>360</v>
      </c>
      <c r="AF183" s="6">
        <v>860</v>
      </c>
    </row>
    <row r="184" spans="1:32" x14ac:dyDescent="0.3">
      <c r="A184" s="1">
        <v>45881</v>
      </c>
      <c r="B184" s="5">
        <v>8710.7000000000007</v>
      </c>
      <c r="C184">
        <v>8300</v>
      </c>
      <c r="D184">
        <v>3670</v>
      </c>
      <c r="E184">
        <v>4950</v>
      </c>
      <c r="F184">
        <v>4310</v>
      </c>
      <c r="G184">
        <v>3630</v>
      </c>
      <c r="H184">
        <v>6725</v>
      </c>
      <c r="I184">
        <v>8075</v>
      </c>
      <c r="J184">
        <v>6975</v>
      </c>
      <c r="K184">
        <v>1900</v>
      </c>
      <c r="L184">
        <v>22000</v>
      </c>
      <c r="M184">
        <v>2970</v>
      </c>
      <c r="N184">
        <v>2330</v>
      </c>
      <c r="O184">
        <v>1830</v>
      </c>
      <c r="P184" s="6">
        <v>565</v>
      </c>
      <c r="Q184">
        <v>3300</v>
      </c>
      <c r="R184">
        <v>1190</v>
      </c>
      <c r="S184">
        <v>4800</v>
      </c>
      <c r="T184">
        <v>2600</v>
      </c>
      <c r="U184">
        <v>2890</v>
      </c>
      <c r="V184">
        <v>29350</v>
      </c>
      <c r="W184" s="6">
        <v>3400</v>
      </c>
      <c r="X184">
        <v>1285</v>
      </c>
      <c r="Y184">
        <v>1935</v>
      </c>
      <c r="Z184" s="6">
        <v>422</v>
      </c>
      <c r="AA184">
        <v>1215</v>
      </c>
      <c r="AB184">
        <v>70</v>
      </c>
      <c r="AC184" s="6">
        <v>164</v>
      </c>
      <c r="AD184" s="6">
        <v>382</v>
      </c>
      <c r="AE184" s="6">
        <v>354</v>
      </c>
      <c r="AF184" s="6">
        <v>870</v>
      </c>
    </row>
    <row r="185" spans="1:32" x14ac:dyDescent="0.3">
      <c r="A185" s="2">
        <v>45912</v>
      </c>
      <c r="B185" s="5">
        <v>8657.18</v>
      </c>
      <c r="C185">
        <v>8100</v>
      </c>
      <c r="D185">
        <v>3680</v>
      </c>
      <c r="E185">
        <v>4890</v>
      </c>
      <c r="F185">
        <v>4320</v>
      </c>
      <c r="G185">
        <v>3570</v>
      </c>
      <c r="H185">
        <v>6600</v>
      </c>
      <c r="I185">
        <v>8000</v>
      </c>
      <c r="J185">
        <v>6850</v>
      </c>
      <c r="K185">
        <v>1835</v>
      </c>
      <c r="L185">
        <v>21925</v>
      </c>
      <c r="M185">
        <v>2920</v>
      </c>
      <c r="N185">
        <v>2240</v>
      </c>
      <c r="O185">
        <v>1805</v>
      </c>
      <c r="P185" s="6">
        <v>555</v>
      </c>
      <c r="Q185">
        <v>3440</v>
      </c>
      <c r="R185">
        <v>1170</v>
      </c>
      <c r="S185">
        <v>4670</v>
      </c>
      <c r="T185">
        <v>2720</v>
      </c>
      <c r="U185">
        <v>2910</v>
      </c>
      <c r="V185">
        <v>29500</v>
      </c>
      <c r="W185" s="6">
        <v>3500</v>
      </c>
      <c r="X185">
        <v>1235</v>
      </c>
      <c r="Y185">
        <v>1930</v>
      </c>
      <c r="Z185" s="6">
        <v>420</v>
      </c>
      <c r="AA185">
        <v>1185</v>
      </c>
      <c r="AB185">
        <v>71</v>
      </c>
      <c r="AC185" s="6">
        <v>164</v>
      </c>
      <c r="AD185" s="6">
        <v>378</v>
      </c>
      <c r="AE185" s="6">
        <v>354</v>
      </c>
      <c r="AF185" s="6">
        <v>855</v>
      </c>
    </row>
    <row r="186" spans="1:32" x14ac:dyDescent="0.3">
      <c r="A186" s="1">
        <v>45942</v>
      </c>
      <c r="B186" s="5">
        <v>8700.92</v>
      </c>
      <c r="C186">
        <v>8075</v>
      </c>
      <c r="D186">
        <v>3660</v>
      </c>
      <c r="E186">
        <v>4970</v>
      </c>
      <c r="F186">
        <v>4310</v>
      </c>
      <c r="G186">
        <v>3640</v>
      </c>
      <c r="H186">
        <v>6625</v>
      </c>
      <c r="I186">
        <v>8025</v>
      </c>
      <c r="J186">
        <v>6900</v>
      </c>
      <c r="K186">
        <v>1830</v>
      </c>
      <c r="L186">
        <v>21900</v>
      </c>
      <c r="M186">
        <v>2930</v>
      </c>
      <c r="N186">
        <v>2280</v>
      </c>
      <c r="O186">
        <v>1855</v>
      </c>
      <c r="P186" s="6">
        <v>545</v>
      </c>
      <c r="Q186">
        <v>3710</v>
      </c>
      <c r="R186">
        <v>1175</v>
      </c>
      <c r="S186">
        <v>4610</v>
      </c>
      <c r="T186">
        <v>2630</v>
      </c>
      <c r="U186">
        <v>2810</v>
      </c>
      <c r="V186">
        <v>30000</v>
      </c>
      <c r="W186" s="6">
        <v>3720</v>
      </c>
      <c r="X186">
        <v>1270</v>
      </c>
      <c r="Y186">
        <v>1925</v>
      </c>
      <c r="Z186" s="6">
        <v>418</v>
      </c>
      <c r="AA186">
        <v>1190</v>
      </c>
      <c r="AB186">
        <v>70</v>
      </c>
      <c r="AC186" s="6">
        <v>164</v>
      </c>
      <c r="AD186" s="6">
        <v>376</v>
      </c>
      <c r="AE186" s="6">
        <v>354</v>
      </c>
      <c r="AF186" s="6">
        <v>860</v>
      </c>
    </row>
    <row r="187" spans="1:32" x14ac:dyDescent="0.3">
      <c r="A187" s="2">
        <v>45973</v>
      </c>
      <c r="B187" s="5">
        <v>8620.48</v>
      </c>
      <c r="C187">
        <v>8000</v>
      </c>
      <c r="D187">
        <v>3620</v>
      </c>
      <c r="E187">
        <v>4950</v>
      </c>
      <c r="F187">
        <v>4230</v>
      </c>
      <c r="G187">
        <v>3570</v>
      </c>
      <c r="H187">
        <v>6450</v>
      </c>
      <c r="I187">
        <v>8025</v>
      </c>
      <c r="J187">
        <v>6575</v>
      </c>
      <c r="K187">
        <v>1780</v>
      </c>
      <c r="L187">
        <v>21750</v>
      </c>
      <c r="M187">
        <v>2890</v>
      </c>
      <c r="N187">
        <v>2200</v>
      </c>
      <c r="O187">
        <v>1825</v>
      </c>
      <c r="P187" s="6">
        <v>535</v>
      </c>
      <c r="Q187">
        <v>3700</v>
      </c>
      <c r="R187">
        <v>1135</v>
      </c>
      <c r="S187">
        <v>4470</v>
      </c>
      <c r="T187">
        <v>2590</v>
      </c>
      <c r="U187">
        <v>2830</v>
      </c>
      <c r="V187">
        <v>29425</v>
      </c>
      <c r="W187" s="6">
        <v>3640</v>
      </c>
      <c r="X187">
        <v>1235</v>
      </c>
      <c r="Y187">
        <v>1910</v>
      </c>
      <c r="Z187" s="6">
        <v>416</v>
      </c>
      <c r="AA187">
        <v>1165</v>
      </c>
      <c r="AB187">
        <v>68</v>
      </c>
      <c r="AC187" s="6">
        <v>163</v>
      </c>
      <c r="AD187" s="6">
        <v>372</v>
      </c>
      <c r="AE187" s="6">
        <v>352</v>
      </c>
      <c r="AF187" s="6">
        <v>850</v>
      </c>
    </row>
    <row r="188" spans="1:32" x14ac:dyDescent="0.3">
      <c r="A188" s="1">
        <v>46003</v>
      </c>
      <c r="B188" s="5">
        <v>8660.5</v>
      </c>
      <c r="C188">
        <v>8000</v>
      </c>
      <c r="D188">
        <v>3630</v>
      </c>
      <c r="E188">
        <v>4820</v>
      </c>
      <c r="F188">
        <v>4240</v>
      </c>
      <c r="G188">
        <v>3550</v>
      </c>
      <c r="H188">
        <v>6600</v>
      </c>
      <c r="I188">
        <v>8075</v>
      </c>
      <c r="J188">
        <v>6775</v>
      </c>
      <c r="K188">
        <v>1780</v>
      </c>
      <c r="L188">
        <v>21725</v>
      </c>
      <c r="M188">
        <v>3050</v>
      </c>
      <c r="N188">
        <v>2250</v>
      </c>
      <c r="O188">
        <v>1830</v>
      </c>
      <c r="P188" s="6">
        <v>540</v>
      </c>
      <c r="Q188">
        <v>3790</v>
      </c>
      <c r="R188">
        <v>1160</v>
      </c>
      <c r="S188">
        <v>4500</v>
      </c>
      <c r="T188">
        <v>2640</v>
      </c>
      <c r="U188">
        <v>2770</v>
      </c>
      <c r="V188">
        <v>28875</v>
      </c>
      <c r="W188" s="6">
        <v>3710</v>
      </c>
      <c r="X188">
        <v>1235</v>
      </c>
      <c r="Y188">
        <v>1900</v>
      </c>
      <c r="Z188" s="6">
        <v>412</v>
      </c>
      <c r="AA188">
        <v>1190</v>
      </c>
      <c r="AB188">
        <v>66</v>
      </c>
      <c r="AC188" s="6">
        <v>163</v>
      </c>
      <c r="AD188" s="6">
        <v>370</v>
      </c>
      <c r="AE188" s="6">
        <v>344</v>
      </c>
      <c r="AF188" s="6">
        <v>860</v>
      </c>
    </row>
    <row r="189" spans="1:32" x14ac:dyDescent="0.3">
      <c r="A189" s="4" t="s">
        <v>111</v>
      </c>
      <c r="B189" s="5">
        <v>8649.66</v>
      </c>
      <c r="C189">
        <v>8300</v>
      </c>
      <c r="D189">
        <v>3780</v>
      </c>
      <c r="E189">
        <v>4990</v>
      </c>
      <c r="F189">
        <v>4440</v>
      </c>
      <c r="G189">
        <v>3470</v>
      </c>
      <c r="H189">
        <v>6600</v>
      </c>
      <c r="I189">
        <v>8300</v>
      </c>
      <c r="J189">
        <v>6775</v>
      </c>
      <c r="K189">
        <v>1825</v>
      </c>
      <c r="L189">
        <v>21550</v>
      </c>
      <c r="M189">
        <v>3030</v>
      </c>
      <c r="N189">
        <v>2350</v>
      </c>
      <c r="O189">
        <v>1820</v>
      </c>
      <c r="P189" s="6">
        <v>570</v>
      </c>
      <c r="Q189">
        <v>3710</v>
      </c>
      <c r="R189">
        <v>1220</v>
      </c>
      <c r="S189">
        <v>4590</v>
      </c>
      <c r="T189">
        <v>2650</v>
      </c>
      <c r="U189">
        <v>2750</v>
      </c>
      <c r="V189">
        <v>28350</v>
      </c>
      <c r="W189" s="6">
        <v>3600</v>
      </c>
      <c r="X189">
        <v>1235</v>
      </c>
      <c r="Y189">
        <v>1900</v>
      </c>
      <c r="Z189" s="6">
        <v>412</v>
      </c>
      <c r="AA189">
        <v>1175</v>
      </c>
      <c r="AB189">
        <v>65</v>
      </c>
      <c r="AC189" s="6">
        <v>168</v>
      </c>
      <c r="AD189" s="6">
        <v>384</v>
      </c>
      <c r="AE189" s="6">
        <v>352</v>
      </c>
      <c r="AF189" s="6">
        <v>875</v>
      </c>
    </row>
    <row r="190" spans="1:32" x14ac:dyDescent="0.3">
      <c r="A190" s="3" t="s">
        <v>112</v>
      </c>
      <c r="B190" s="5">
        <v>8686.4699999999993</v>
      </c>
      <c r="C190">
        <v>8075</v>
      </c>
      <c r="D190">
        <v>3690</v>
      </c>
      <c r="E190">
        <v>5000</v>
      </c>
      <c r="F190">
        <v>4400</v>
      </c>
      <c r="G190">
        <v>3520</v>
      </c>
      <c r="H190">
        <v>6600</v>
      </c>
      <c r="I190">
        <v>8350</v>
      </c>
      <c r="J190">
        <v>6775</v>
      </c>
      <c r="K190">
        <v>1805</v>
      </c>
      <c r="L190">
        <v>21150</v>
      </c>
      <c r="M190">
        <v>2970</v>
      </c>
      <c r="N190">
        <v>2310</v>
      </c>
      <c r="O190">
        <v>1810</v>
      </c>
      <c r="P190" s="6">
        <v>545</v>
      </c>
      <c r="Q190">
        <v>3700</v>
      </c>
      <c r="R190">
        <v>1200</v>
      </c>
      <c r="S190">
        <v>4560</v>
      </c>
      <c r="T190">
        <v>2650</v>
      </c>
      <c r="U190">
        <v>2770</v>
      </c>
      <c r="V190">
        <v>28150</v>
      </c>
      <c r="W190" s="6">
        <v>3640</v>
      </c>
      <c r="X190">
        <v>1235</v>
      </c>
      <c r="Y190">
        <v>1905</v>
      </c>
      <c r="Z190" s="6">
        <v>408</v>
      </c>
      <c r="AA190">
        <v>1155</v>
      </c>
      <c r="AB190">
        <v>68</v>
      </c>
      <c r="AC190" s="6">
        <v>170</v>
      </c>
      <c r="AD190" s="6">
        <v>382</v>
      </c>
      <c r="AE190" s="6">
        <v>348</v>
      </c>
      <c r="AF190" s="6">
        <v>860</v>
      </c>
    </row>
    <row r="191" spans="1:32" x14ac:dyDescent="0.3">
      <c r="A191" s="4" t="s">
        <v>113</v>
      </c>
      <c r="B191" s="5">
        <v>8677.34</v>
      </c>
      <c r="C191">
        <v>8025</v>
      </c>
      <c r="D191">
        <v>3750</v>
      </c>
      <c r="E191">
        <v>5025</v>
      </c>
      <c r="F191">
        <v>4370</v>
      </c>
      <c r="G191">
        <v>3500</v>
      </c>
      <c r="H191">
        <v>6600</v>
      </c>
      <c r="I191">
        <v>8325</v>
      </c>
      <c r="J191">
        <v>6775</v>
      </c>
      <c r="K191">
        <v>1815</v>
      </c>
      <c r="L191">
        <v>21400</v>
      </c>
      <c r="M191">
        <v>3020</v>
      </c>
      <c r="N191">
        <v>2290</v>
      </c>
      <c r="O191">
        <v>1865</v>
      </c>
      <c r="P191" s="6">
        <v>555</v>
      </c>
      <c r="Q191">
        <v>3850</v>
      </c>
      <c r="R191">
        <v>1225</v>
      </c>
      <c r="S191">
        <v>4530</v>
      </c>
      <c r="T191">
        <v>2770</v>
      </c>
      <c r="U191">
        <v>2750</v>
      </c>
      <c r="V191">
        <v>28050</v>
      </c>
      <c r="W191" s="6">
        <v>3510</v>
      </c>
      <c r="X191">
        <v>1245</v>
      </c>
      <c r="Y191">
        <v>1910</v>
      </c>
      <c r="Z191" s="6">
        <v>412</v>
      </c>
      <c r="AA191">
        <v>1225</v>
      </c>
      <c r="AB191">
        <v>66</v>
      </c>
      <c r="AC191" s="6">
        <v>164</v>
      </c>
      <c r="AD191" s="6">
        <v>386</v>
      </c>
      <c r="AE191" s="6">
        <v>346</v>
      </c>
      <c r="AF191" s="6">
        <v>865</v>
      </c>
    </row>
    <row r="192" spans="1:32" x14ac:dyDescent="0.3">
      <c r="A192" s="3" t="s">
        <v>114</v>
      </c>
      <c r="B192" s="5">
        <v>8618.2000000000007</v>
      </c>
      <c r="C192">
        <v>8175</v>
      </c>
      <c r="D192">
        <v>3780</v>
      </c>
      <c r="E192">
        <v>5150</v>
      </c>
      <c r="F192">
        <v>4380</v>
      </c>
      <c r="G192">
        <v>3460</v>
      </c>
      <c r="H192">
        <v>6500</v>
      </c>
      <c r="I192">
        <v>8250</v>
      </c>
      <c r="J192">
        <v>6875</v>
      </c>
      <c r="K192">
        <v>1900</v>
      </c>
      <c r="L192">
        <v>21325</v>
      </c>
      <c r="M192">
        <v>3110</v>
      </c>
      <c r="N192">
        <v>2200</v>
      </c>
      <c r="O192">
        <v>1840</v>
      </c>
      <c r="P192" s="6">
        <v>570</v>
      </c>
      <c r="Q192">
        <v>3690</v>
      </c>
      <c r="R192">
        <v>1225</v>
      </c>
      <c r="S192">
        <v>4580</v>
      </c>
      <c r="T192">
        <v>2700</v>
      </c>
      <c r="U192">
        <v>2660</v>
      </c>
      <c r="V192">
        <v>28975</v>
      </c>
      <c r="W192" s="6">
        <v>3450</v>
      </c>
      <c r="X192">
        <v>1235</v>
      </c>
      <c r="Y192">
        <v>1915</v>
      </c>
      <c r="Z192" s="6">
        <v>420</v>
      </c>
      <c r="AA192">
        <v>1195</v>
      </c>
      <c r="AB192">
        <v>65</v>
      </c>
      <c r="AC192" s="6">
        <v>164</v>
      </c>
      <c r="AD192" s="6">
        <v>386</v>
      </c>
      <c r="AE192" s="6">
        <v>346</v>
      </c>
      <c r="AF192" s="6">
        <v>880</v>
      </c>
    </row>
    <row r="193" spans="1:32" x14ac:dyDescent="0.3">
      <c r="A193" s="4" t="s">
        <v>115</v>
      </c>
      <c r="B193" s="5">
        <v>8609.5499999999993</v>
      </c>
      <c r="C193">
        <v>8050</v>
      </c>
      <c r="D193">
        <v>3770</v>
      </c>
      <c r="E193">
        <v>5175</v>
      </c>
      <c r="F193">
        <v>4340</v>
      </c>
      <c r="G193">
        <v>3410</v>
      </c>
      <c r="H193">
        <v>6525</v>
      </c>
      <c r="I193">
        <v>8425</v>
      </c>
      <c r="J193">
        <v>6750</v>
      </c>
      <c r="K193">
        <v>1900</v>
      </c>
      <c r="L193">
        <v>21575</v>
      </c>
      <c r="M193">
        <v>3070</v>
      </c>
      <c r="N193">
        <v>2190</v>
      </c>
      <c r="O193">
        <v>1860</v>
      </c>
      <c r="P193" s="6">
        <v>580</v>
      </c>
      <c r="Q193">
        <v>3900</v>
      </c>
      <c r="R193">
        <v>1200</v>
      </c>
      <c r="S193">
        <v>4640</v>
      </c>
      <c r="T193">
        <v>2700</v>
      </c>
      <c r="U193">
        <v>2670</v>
      </c>
      <c r="V193">
        <v>29800</v>
      </c>
      <c r="W193" s="6">
        <v>3510</v>
      </c>
      <c r="X193">
        <v>1230</v>
      </c>
      <c r="Y193">
        <v>1920</v>
      </c>
      <c r="Z193" s="6">
        <v>416</v>
      </c>
      <c r="AA193">
        <v>1180</v>
      </c>
      <c r="AB193">
        <v>65</v>
      </c>
      <c r="AC193" s="6">
        <v>162</v>
      </c>
      <c r="AD193" s="6">
        <v>388</v>
      </c>
      <c r="AE193" s="6">
        <v>344</v>
      </c>
      <c r="AF193" s="6">
        <v>880</v>
      </c>
    </row>
    <row r="194" spans="1:32" x14ac:dyDescent="0.3">
      <c r="A194" s="3" t="s">
        <v>116</v>
      </c>
      <c r="B194" s="5">
        <v>8645.84</v>
      </c>
      <c r="C194">
        <v>8175</v>
      </c>
      <c r="D194">
        <v>3760</v>
      </c>
      <c r="E194">
        <v>5100</v>
      </c>
      <c r="F194">
        <v>4330</v>
      </c>
      <c r="G194">
        <v>3470</v>
      </c>
      <c r="H194">
        <v>6575</v>
      </c>
      <c r="I194">
        <v>8350</v>
      </c>
      <c r="J194">
        <v>6850</v>
      </c>
      <c r="K194">
        <v>1895</v>
      </c>
      <c r="L194">
        <v>21550</v>
      </c>
      <c r="M194">
        <v>3190</v>
      </c>
      <c r="N194">
        <v>2260</v>
      </c>
      <c r="O194">
        <v>1905</v>
      </c>
      <c r="P194" s="6">
        <v>580</v>
      </c>
      <c r="Q194">
        <v>3760</v>
      </c>
      <c r="R194">
        <v>1225</v>
      </c>
      <c r="S194">
        <v>4550</v>
      </c>
      <c r="T194">
        <v>2650</v>
      </c>
      <c r="U194">
        <v>2700</v>
      </c>
      <c r="V194">
        <v>29975</v>
      </c>
      <c r="W194" s="6">
        <v>3440</v>
      </c>
      <c r="X194">
        <v>1240</v>
      </c>
      <c r="Y194">
        <v>1965</v>
      </c>
      <c r="Z194" s="6">
        <v>414</v>
      </c>
      <c r="AA194">
        <v>1205</v>
      </c>
      <c r="AB194">
        <v>64</v>
      </c>
      <c r="AC194" s="6">
        <v>155</v>
      </c>
      <c r="AD194" s="6">
        <v>382</v>
      </c>
      <c r="AE194" s="6">
        <v>346</v>
      </c>
      <c r="AF194" s="6">
        <v>870</v>
      </c>
    </row>
    <row r="195" spans="1:32" x14ac:dyDescent="0.3">
      <c r="A195" s="4" t="s">
        <v>117</v>
      </c>
      <c r="B195" s="5">
        <v>8584.7800000000007</v>
      </c>
      <c r="C195">
        <v>8025</v>
      </c>
      <c r="D195">
        <v>3770</v>
      </c>
      <c r="E195">
        <v>5050</v>
      </c>
      <c r="F195">
        <v>4290</v>
      </c>
      <c r="G195">
        <v>3470</v>
      </c>
      <c r="H195">
        <v>6500</v>
      </c>
      <c r="I195">
        <v>8250</v>
      </c>
      <c r="J195">
        <v>6800</v>
      </c>
      <c r="K195">
        <v>1905</v>
      </c>
      <c r="L195">
        <v>21875</v>
      </c>
      <c r="M195">
        <v>3190</v>
      </c>
      <c r="N195">
        <v>2230</v>
      </c>
      <c r="O195">
        <v>1880</v>
      </c>
      <c r="P195" s="6">
        <v>585</v>
      </c>
      <c r="Q195">
        <v>3740</v>
      </c>
      <c r="R195">
        <v>1215</v>
      </c>
      <c r="S195">
        <v>4530</v>
      </c>
      <c r="T195">
        <v>2690</v>
      </c>
      <c r="U195">
        <v>2630</v>
      </c>
      <c r="V195">
        <v>29800</v>
      </c>
      <c r="W195" s="6">
        <v>3280</v>
      </c>
      <c r="X195">
        <v>1250</v>
      </c>
      <c r="Y195">
        <v>1955</v>
      </c>
      <c r="Z195" s="6">
        <v>412</v>
      </c>
      <c r="AA195">
        <v>1180</v>
      </c>
      <c r="AB195">
        <v>64</v>
      </c>
      <c r="AC195" s="6">
        <v>157</v>
      </c>
      <c r="AD195" s="6">
        <v>382</v>
      </c>
      <c r="AE195" s="6">
        <v>344</v>
      </c>
      <c r="AF195" s="6">
        <v>855</v>
      </c>
    </row>
    <row r="196" spans="1:32" x14ac:dyDescent="0.3">
      <c r="A196" s="3" t="s">
        <v>118</v>
      </c>
      <c r="B196" s="5">
        <v>8537.91</v>
      </c>
      <c r="C196">
        <v>8025</v>
      </c>
      <c r="D196">
        <v>3770</v>
      </c>
      <c r="E196">
        <v>5050</v>
      </c>
      <c r="F196">
        <v>4270</v>
      </c>
      <c r="G196">
        <v>3460</v>
      </c>
      <c r="H196">
        <v>6625</v>
      </c>
      <c r="I196">
        <v>8250</v>
      </c>
      <c r="J196">
        <v>6800</v>
      </c>
      <c r="K196">
        <v>1890</v>
      </c>
      <c r="L196">
        <v>22000</v>
      </c>
      <c r="M196">
        <v>3220</v>
      </c>
      <c r="N196">
        <v>2200</v>
      </c>
      <c r="O196">
        <v>1890</v>
      </c>
      <c r="P196" s="6">
        <v>585</v>
      </c>
      <c r="Q196">
        <v>3750</v>
      </c>
      <c r="R196">
        <v>1210</v>
      </c>
      <c r="S196">
        <v>4590</v>
      </c>
      <c r="T196">
        <v>2650</v>
      </c>
      <c r="U196">
        <v>2670</v>
      </c>
      <c r="V196">
        <v>29650</v>
      </c>
      <c r="W196" s="6">
        <v>3130</v>
      </c>
      <c r="X196">
        <v>1250</v>
      </c>
      <c r="Y196">
        <v>1960</v>
      </c>
      <c r="Z196" s="6">
        <v>412</v>
      </c>
      <c r="AA196">
        <v>1190</v>
      </c>
      <c r="AB196">
        <v>65</v>
      </c>
      <c r="AC196" s="6">
        <v>158</v>
      </c>
      <c r="AD196" s="6">
        <v>378</v>
      </c>
      <c r="AE196" s="6">
        <v>342</v>
      </c>
      <c r="AF196" s="6">
        <v>845</v>
      </c>
    </row>
    <row r="197" spans="1:32" x14ac:dyDescent="0.3">
      <c r="A197" s="4" t="s">
        <v>119</v>
      </c>
      <c r="B197" s="5">
        <v>8644.26</v>
      </c>
      <c r="C197">
        <v>8025</v>
      </c>
      <c r="D197">
        <v>3780</v>
      </c>
      <c r="E197">
        <v>5075</v>
      </c>
      <c r="F197">
        <v>4260</v>
      </c>
      <c r="G197">
        <v>3490</v>
      </c>
      <c r="H197">
        <v>6675</v>
      </c>
      <c r="I197">
        <v>8300</v>
      </c>
      <c r="J197">
        <v>6775</v>
      </c>
      <c r="K197">
        <v>1945</v>
      </c>
      <c r="L197">
        <v>21975</v>
      </c>
      <c r="M197">
        <v>3300</v>
      </c>
      <c r="N197">
        <v>2320</v>
      </c>
      <c r="O197">
        <v>1900</v>
      </c>
      <c r="P197" s="6">
        <v>595</v>
      </c>
      <c r="Q197">
        <v>3830</v>
      </c>
      <c r="R197">
        <v>1230</v>
      </c>
      <c r="S197">
        <v>4540</v>
      </c>
      <c r="T197">
        <v>2630</v>
      </c>
      <c r="U197">
        <v>2620</v>
      </c>
      <c r="V197">
        <v>29600</v>
      </c>
      <c r="W197" s="6">
        <v>3280</v>
      </c>
      <c r="X197">
        <v>1250</v>
      </c>
      <c r="Y197">
        <v>1955</v>
      </c>
      <c r="Z197" s="6">
        <v>412</v>
      </c>
      <c r="AA197">
        <v>1175</v>
      </c>
      <c r="AB197">
        <v>64</v>
      </c>
      <c r="AC197" s="6">
        <v>158</v>
      </c>
      <c r="AD197" s="6">
        <v>390</v>
      </c>
      <c r="AE197" s="6">
        <v>342</v>
      </c>
      <c r="AF197" s="6">
        <v>845</v>
      </c>
    </row>
    <row r="198" spans="1:32" x14ac:dyDescent="0.3">
      <c r="A198" s="3" t="s">
        <v>120</v>
      </c>
      <c r="B198" s="5">
        <v>8646.94</v>
      </c>
      <c r="C198">
        <v>8075</v>
      </c>
      <c r="D198">
        <v>3660</v>
      </c>
      <c r="E198">
        <v>5100</v>
      </c>
      <c r="F198">
        <v>4370</v>
      </c>
      <c r="G198">
        <v>3480</v>
      </c>
      <c r="H198">
        <v>6700</v>
      </c>
      <c r="I198">
        <v>8200</v>
      </c>
      <c r="J198">
        <v>6775</v>
      </c>
      <c r="K198">
        <v>1810</v>
      </c>
      <c r="L198">
        <v>21875</v>
      </c>
      <c r="M198">
        <v>3150</v>
      </c>
      <c r="N198">
        <v>2280</v>
      </c>
      <c r="O198">
        <v>1910</v>
      </c>
      <c r="P198" s="6">
        <v>585</v>
      </c>
      <c r="Q198">
        <v>3750</v>
      </c>
      <c r="R198">
        <v>1205</v>
      </c>
      <c r="S198">
        <v>4510</v>
      </c>
      <c r="T198">
        <v>2620</v>
      </c>
      <c r="U198">
        <v>2640</v>
      </c>
      <c r="V198">
        <v>29500</v>
      </c>
      <c r="W198" s="6">
        <v>3270</v>
      </c>
      <c r="X198">
        <v>1260</v>
      </c>
      <c r="Y198">
        <v>1975</v>
      </c>
      <c r="Z198" s="6">
        <v>410</v>
      </c>
      <c r="AA198">
        <v>1165</v>
      </c>
      <c r="AB198">
        <v>64</v>
      </c>
      <c r="AC198" s="6">
        <v>158</v>
      </c>
      <c r="AD198" s="6">
        <v>382</v>
      </c>
      <c r="AE198" s="6">
        <v>338</v>
      </c>
      <c r="AF198" s="6">
        <v>830</v>
      </c>
    </row>
    <row r="199" spans="1:32" x14ac:dyDescent="0.3">
      <c r="A199" s="2">
        <v>46054</v>
      </c>
      <c r="B199" s="5">
        <v>8748.1299999999992</v>
      </c>
      <c r="C199">
        <v>8025</v>
      </c>
      <c r="D199">
        <v>3640</v>
      </c>
      <c r="E199">
        <v>5075</v>
      </c>
      <c r="F199">
        <v>4260</v>
      </c>
      <c r="G199">
        <v>3470</v>
      </c>
      <c r="H199">
        <v>6800</v>
      </c>
      <c r="I199">
        <v>8075</v>
      </c>
      <c r="J199">
        <v>6675</v>
      </c>
      <c r="K199">
        <v>1820</v>
      </c>
      <c r="L199">
        <v>22025</v>
      </c>
      <c r="M199">
        <v>3210</v>
      </c>
      <c r="N199">
        <v>2330</v>
      </c>
      <c r="O199">
        <v>1930</v>
      </c>
      <c r="P199" s="6">
        <v>585</v>
      </c>
      <c r="Q199">
        <v>3750</v>
      </c>
      <c r="R199">
        <v>1205</v>
      </c>
      <c r="S199">
        <v>4540</v>
      </c>
      <c r="T199">
        <v>2900</v>
      </c>
      <c r="U199">
        <v>2660</v>
      </c>
      <c r="V199">
        <v>30100</v>
      </c>
      <c r="W199" s="6">
        <v>3190</v>
      </c>
      <c r="X199">
        <v>1280</v>
      </c>
      <c r="Y199">
        <v>1985</v>
      </c>
      <c r="Z199" s="6">
        <v>410</v>
      </c>
      <c r="AA199">
        <v>1180</v>
      </c>
      <c r="AB199">
        <v>69</v>
      </c>
      <c r="AC199" s="6">
        <v>156</v>
      </c>
      <c r="AD199" s="6">
        <v>384</v>
      </c>
      <c r="AE199" s="6">
        <v>340</v>
      </c>
      <c r="AF199" s="6">
        <v>825</v>
      </c>
    </row>
    <row r="200" spans="1:32" x14ac:dyDescent="0.3">
      <c r="A200" s="1">
        <v>46143</v>
      </c>
      <c r="B200" s="5">
        <v>8859.19</v>
      </c>
      <c r="C200">
        <v>8075</v>
      </c>
      <c r="D200">
        <v>3630</v>
      </c>
      <c r="E200">
        <v>5050</v>
      </c>
      <c r="F200">
        <v>4230</v>
      </c>
      <c r="G200">
        <v>3580</v>
      </c>
      <c r="H200">
        <v>6875</v>
      </c>
      <c r="I200">
        <v>8100</v>
      </c>
      <c r="J200">
        <v>6850</v>
      </c>
      <c r="K200">
        <v>1840</v>
      </c>
      <c r="L200">
        <v>21925</v>
      </c>
      <c r="M200">
        <v>3390</v>
      </c>
      <c r="N200">
        <v>2480</v>
      </c>
      <c r="O200">
        <v>1955</v>
      </c>
      <c r="P200" s="6">
        <v>575</v>
      </c>
      <c r="Q200">
        <v>3820</v>
      </c>
      <c r="R200">
        <v>1225</v>
      </c>
      <c r="S200">
        <v>4570</v>
      </c>
      <c r="T200">
        <v>2850</v>
      </c>
      <c r="U200">
        <v>2650</v>
      </c>
      <c r="V200">
        <v>30800</v>
      </c>
      <c r="W200" s="6">
        <v>3190</v>
      </c>
      <c r="X200">
        <v>1300</v>
      </c>
      <c r="Y200">
        <v>2000</v>
      </c>
      <c r="Z200" s="6">
        <v>412</v>
      </c>
      <c r="AA200">
        <v>1185</v>
      </c>
      <c r="AB200">
        <v>68</v>
      </c>
      <c r="AC200" s="6">
        <v>158</v>
      </c>
      <c r="AD200" s="6">
        <v>386</v>
      </c>
      <c r="AE200" s="6">
        <v>342</v>
      </c>
      <c r="AF200" s="6">
        <v>830</v>
      </c>
    </row>
    <row r="201" spans="1:32" x14ac:dyDescent="0.3">
      <c r="A201" s="2">
        <v>46174</v>
      </c>
      <c r="B201" s="5">
        <v>8933.61</v>
      </c>
      <c r="C201">
        <v>8175</v>
      </c>
      <c r="D201">
        <v>3680</v>
      </c>
      <c r="E201">
        <v>4880</v>
      </c>
      <c r="F201">
        <v>4240</v>
      </c>
      <c r="G201">
        <v>3520</v>
      </c>
      <c r="H201">
        <v>6900</v>
      </c>
      <c r="I201">
        <v>8100</v>
      </c>
      <c r="J201">
        <v>7000</v>
      </c>
      <c r="K201">
        <v>1865</v>
      </c>
      <c r="L201">
        <v>21975</v>
      </c>
      <c r="M201">
        <v>3450</v>
      </c>
      <c r="N201">
        <v>2700</v>
      </c>
      <c r="O201">
        <v>1900</v>
      </c>
      <c r="P201" s="6">
        <v>565</v>
      </c>
      <c r="Q201">
        <v>3800</v>
      </c>
      <c r="R201">
        <v>1195</v>
      </c>
      <c r="S201">
        <v>4580</v>
      </c>
      <c r="T201">
        <v>2740</v>
      </c>
      <c r="U201">
        <v>2610</v>
      </c>
      <c r="V201">
        <v>31275</v>
      </c>
      <c r="W201" s="6">
        <v>3150</v>
      </c>
      <c r="X201">
        <v>1285</v>
      </c>
      <c r="Y201">
        <v>1995</v>
      </c>
      <c r="Z201" s="6">
        <v>416</v>
      </c>
      <c r="AA201">
        <v>1175</v>
      </c>
      <c r="AB201">
        <v>68</v>
      </c>
      <c r="AC201" s="6">
        <v>163</v>
      </c>
      <c r="AD201" s="6">
        <v>392</v>
      </c>
      <c r="AE201" s="6">
        <v>348</v>
      </c>
      <c r="AF201" s="6">
        <v>845</v>
      </c>
    </row>
    <row r="202" spans="1:32" x14ac:dyDescent="0.3">
      <c r="A202" s="1">
        <v>46204</v>
      </c>
      <c r="B202" s="5">
        <v>8944.81</v>
      </c>
      <c r="C202">
        <v>8150</v>
      </c>
      <c r="D202">
        <v>3700</v>
      </c>
      <c r="E202">
        <v>4810</v>
      </c>
      <c r="F202">
        <v>4200</v>
      </c>
      <c r="G202">
        <v>3540</v>
      </c>
      <c r="H202">
        <v>7025</v>
      </c>
      <c r="I202">
        <v>8050</v>
      </c>
      <c r="J202">
        <v>6725</v>
      </c>
      <c r="K202">
        <v>2010</v>
      </c>
      <c r="L202">
        <v>22025</v>
      </c>
      <c r="M202">
        <v>3850</v>
      </c>
      <c r="N202">
        <v>2720</v>
      </c>
      <c r="O202">
        <v>1945</v>
      </c>
      <c r="P202" s="6">
        <v>565</v>
      </c>
      <c r="Q202">
        <v>4000</v>
      </c>
      <c r="R202">
        <v>1195</v>
      </c>
      <c r="S202">
        <v>4550</v>
      </c>
      <c r="T202">
        <v>2550</v>
      </c>
      <c r="U202">
        <v>2630</v>
      </c>
      <c r="V202">
        <v>31500</v>
      </c>
      <c r="W202" s="6">
        <v>3050</v>
      </c>
      <c r="X202">
        <v>1265</v>
      </c>
      <c r="Y202">
        <v>1995</v>
      </c>
      <c r="Z202" s="6">
        <v>412</v>
      </c>
      <c r="AA202">
        <v>1170</v>
      </c>
      <c r="AB202">
        <v>67</v>
      </c>
      <c r="AC202" s="6">
        <v>168</v>
      </c>
      <c r="AD202" s="6">
        <v>388</v>
      </c>
      <c r="AE202" s="6">
        <v>344</v>
      </c>
      <c r="AF202" s="6">
        <v>840</v>
      </c>
    </row>
    <row r="203" spans="1:32" x14ac:dyDescent="0.3">
      <c r="A203" s="2">
        <v>46235</v>
      </c>
      <c r="B203" s="5">
        <v>8925.4699999999993</v>
      </c>
      <c r="C203">
        <v>8050</v>
      </c>
      <c r="D203">
        <v>3710</v>
      </c>
      <c r="E203">
        <v>4810</v>
      </c>
      <c r="F203">
        <v>4210</v>
      </c>
      <c r="G203">
        <v>3530</v>
      </c>
      <c r="H203">
        <v>7000</v>
      </c>
      <c r="I203">
        <v>8025</v>
      </c>
      <c r="J203">
        <v>6625</v>
      </c>
      <c r="K203">
        <v>2030</v>
      </c>
      <c r="L203">
        <v>22000</v>
      </c>
      <c r="M203">
        <v>3490</v>
      </c>
      <c r="N203">
        <v>2560</v>
      </c>
      <c r="O203">
        <v>1960</v>
      </c>
      <c r="P203" s="6">
        <v>555</v>
      </c>
      <c r="Q203">
        <v>4300</v>
      </c>
      <c r="R203">
        <v>1190</v>
      </c>
      <c r="S203">
        <v>4500</v>
      </c>
      <c r="T203">
        <v>2540</v>
      </c>
      <c r="U203">
        <v>2610</v>
      </c>
      <c r="V203">
        <v>31650</v>
      </c>
      <c r="W203" s="6">
        <v>3090</v>
      </c>
      <c r="X203">
        <v>1245</v>
      </c>
      <c r="Y203">
        <v>1975</v>
      </c>
      <c r="Z203" s="6">
        <v>412</v>
      </c>
      <c r="AA203">
        <v>1145</v>
      </c>
      <c r="AB203">
        <v>66</v>
      </c>
      <c r="AC203" s="6">
        <v>163</v>
      </c>
      <c r="AD203" s="6">
        <v>382</v>
      </c>
      <c r="AE203" s="6">
        <v>346</v>
      </c>
      <c r="AF203" s="6">
        <v>835</v>
      </c>
    </row>
    <row r="204" spans="1:32" x14ac:dyDescent="0.3">
      <c r="A204" s="1">
        <v>46266</v>
      </c>
      <c r="B204" s="5">
        <v>8936.75</v>
      </c>
      <c r="C204">
        <v>8125</v>
      </c>
      <c r="D204">
        <v>3680</v>
      </c>
      <c r="E204">
        <v>4760</v>
      </c>
      <c r="F204">
        <v>4180</v>
      </c>
      <c r="G204">
        <v>3450</v>
      </c>
      <c r="H204">
        <v>6875</v>
      </c>
      <c r="I204">
        <v>8000</v>
      </c>
      <c r="J204">
        <v>6600</v>
      </c>
      <c r="K204">
        <v>2100</v>
      </c>
      <c r="L204">
        <v>21925</v>
      </c>
      <c r="M204">
        <v>3630</v>
      </c>
      <c r="N204">
        <v>2700</v>
      </c>
      <c r="O204">
        <v>1975</v>
      </c>
      <c r="P204" s="6">
        <v>570</v>
      </c>
      <c r="Q204">
        <v>4260</v>
      </c>
      <c r="R204">
        <v>1185</v>
      </c>
      <c r="S204">
        <v>4490</v>
      </c>
      <c r="T204">
        <v>2590</v>
      </c>
      <c r="U204">
        <v>2630</v>
      </c>
      <c r="V204">
        <v>31500</v>
      </c>
      <c r="W204" s="6">
        <v>3100</v>
      </c>
      <c r="X204">
        <v>1235</v>
      </c>
      <c r="Y204">
        <v>1955</v>
      </c>
      <c r="Z204" s="6">
        <v>414</v>
      </c>
      <c r="AA204">
        <v>1145</v>
      </c>
      <c r="AB204">
        <v>66</v>
      </c>
      <c r="AC204" s="6">
        <v>161</v>
      </c>
      <c r="AD204" s="6">
        <v>404</v>
      </c>
      <c r="AE204" s="6">
        <v>352</v>
      </c>
      <c r="AF204" s="6">
        <v>865</v>
      </c>
    </row>
    <row r="205" spans="1:32" x14ac:dyDescent="0.3">
      <c r="A205" s="2">
        <v>46357</v>
      </c>
      <c r="B205" s="5">
        <v>8884.7199999999993</v>
      </c>
      <c r="C205">
        <v>8025</v>
      </c>
      <c r="D205">
        <v>3700</v>
      </c>
      <c r="E205">
        <v>4770</v>
      </c>
      <c r="F205">
        <v>4220</v>
      </c>
      <c r="G205">
        <v>3520</v>
      </c>
      <c r="H205">
        <v>7000</v>
      </c>
      <c r="I205">
        <v>7900</v>
      </c>
      <c r="J205">
        <v>6600</v>
      </c>
      <c r="K205">
        <v>2150</v>
      </c>
      <c r="L205">
        <v>21850</v>
      </c>
      <c r="M205">
        <v>3830</v>
      </c>
      <c r="N205">
        <v>2890</v>
      </c>
      <c r="O205">
        <v>1965</v>
      </c>
      <c r="P205" s="6">
        <v>560</v>
      </c>
      <c r="Q205">
        <v>4010</v>
      </c>
      <c r="R205">
        <v>1220</v>
      </c>
      <c r="S205">
        <v>4480</v>
      </c>
      <c r="T205">
        <v>2600</v>
      </c>
      <c r="U205">
        <v>2650</v>
      </c>
      <c r="V205">
        <v>31350</v>
      </c>
      <c r="W205" s="6">
        <v>2880</v>
      </c>
      <c r="X205">
        <v>1245</v>
      </c>
      <c r="Y205">
        <v>1940</v>
      </c>
      <c r="Z205" s="6">
        <v>412</v>
      </c>
      <c r="AA205">
        <v>1155</v>
      </c>
      <c r="AB205">
        <v>66</v>
      </c>
      <c r="AC205" s="6">
        <v>159</v>
      </c>
      <c r="AD205" s="6">
        <v>398</v>
      </c>
      <c r="AE205" s="6">
        <v>388</v>
      </c>
      <c r="AF205" s="6">
        <v>865</v>
      </c>
    </row>
    <row r="206" spans="1:32" x14ac:dyDescent="0.3">
      <c r="A206" s="3" t="s">
        <v>121</v>
      </c>
      <c r="B206" s="5">
        <v>8948.2999999999993</v>
      </c>
      <c r="C206">
        <v>8075</v>
      </c>
      <c r="D206">
        <v>3720</v>
      </c>
      <c r="E206">
        <v>4820</v>
      </c>
      <c r="F206">
        <v>4340</v>
      </c>
      <c r="G206">
        <v>3620</v>
      </c>
      <c r="H206">
        <v>7300</v>
      </c>
      <c r="I206">
        <v>7975</v>
      </c>
      <c r="J206">
        <v>6700</v>
      </c>
      <c r="K206">
        <v>2290</v>
      </c>
      <c r="L206">
        <v>22000</v>
      </c>
      <c r="M206">
        <v>3880</v>
      </c>
      <c r="N206">
        <v>3120</v>
      </c>
      <c r="O206">
        <v>1980</v>
      </c>
      <c r="P206" s="6">
        <v>555</v>
      </c>
      <c r="Q206">
        <v>3910</v>
      </c>
      <c r="R206">
        <v>1230</v>
      </c>
      <c r="S206">
        <v>4520</v>
      </c>
      <c r="T206">
        <v>2740</v>
      </c>
      <c r="U206">
        <v>2630</v>
      </c>
      <c r="V206">
        <v>31450</v>
      </c>
      <c r="W206" s="6">
        <v>2810</v>
      </c>
      <c r="X206">
        <v>1240</v>
      </c>
      <c r="Y206">
        <v>1975</v>
      </c>
      <c r="Z206" s="6">
        <v>410</v>
      </c>
      <c r="AA206">
        <v>1150</v>
      </c>
      <c r="AB206">
        <v>67</v>
      </c>
      <c r="AC206" s="6">
        <v>160</v>
      </c>
      <c r="AD206" s="6">
        <v>398</v>
      </c>
      <c r="AE206" s="6">
        <v>372</v>
      </c>
      <c r="AF206" s="6">
        <v>870</v>
      </c>
    </row>
    <row r="207" spans="1:32" x14ac:dyDescent="0.3">
      <c r="A207" s="4" t="s">
        <v>122</v>
      </c>
      <c r="B207" s="5">
        <v>9032.58</v>
      </c>
      <c r="C207">
        <v>8000</v>
      </c>
      <c r="D207">
        <v>3720</v>
      </c>
      <c r="E207">
        <v>4840</v>
      </c>
      <c r="F207">
        <v>4360</v>
      </c>
      <c r="G207">
        <v>3650</v>
      </c>
      <c r="H207">
        <v>7125</v>
      </c>
      <c r="I207">
        <v>7950</v>
      </c>
      <c r="J207">
        <v>6725</v>
      </c>
      <c r="K207">
        <v>2230</v>
      </c>
      <c r="L207">
        <v>22150</v>
      </c>
      <c r="M207">
        <v>4090</v>
      </c>
      <c r="N207">
        <v>3060</v>
      </c>
      <c r="O207">
        <v>2030</v>
      </c>
      <c r="P207" s="6">
        <v>550</v>
      </c>
      <c r="Q207">
        <v>4110</v>
      </c>
      <c r="R207">
        <v>1230</v>
      </c>
      <c r="S207">
        <v>4550</v>
      </c>
      <c r="T207">
        <v>2610</v>
      </c>
      <c r="U207">
        <v>2610</v>
      </c>
      <c r="V207">
        <v>31500</v>
      </c>
      <c r="W207" s="6">
        <v>2830</v>
      </c>
      <c r="X207">
        <v>1245</v>
      </c>
      <c r="Y207">
        <v>1990</v>
      </c>
      <c r="Z207" s="6">
        <v>410</v>
      </c>
      <c r="AA207">
        <v>1180</v>
      </c>
      <c r="AB207">
        <v>69</v>
      </c>
      <c r="AC207" s="6">
        <v>158</v>
      </c>
      <c r="AD207" s="6">
        <v>412</v>
      </c>
      <c r="AE207" s="6">
        <v>374</v>
      </c>
      <c r="AF207" s="6">
        <v>905</v>
      </c>
    </row>
    <row r="208" spans="1:32" x14ac:dyDescent="0.3">
      <c r="A208" s="3" t="s">
        <v>123</v>
      </c>
      <c r="B208" s="5">
        <v>9075.41</v>
      </c>
      <c r="C208">
        <v>8075</v>
      </c>
      <c r="D208">
        <v>3820</v>
      </c>
      <c r="E208">
        <v>4990</v>
      </c>
      <c r="F208">
        <v>4540</v>
      </c>
      <c r="G208">
        <v>3660</v>
      </c>
      <c r="H208">
        <v>7050</v>
      </c>
      <c r="I208">
        <v>8050</v>
      </c>
      <c r="J208">
        <v>6750</v>
      </c>
      <c r="K208">
        <v>2230</v>
      </c>
      <c r="L208">
        <v>22275</v>
      </c>
      <c r="M208">
        <v>4050</v>
      </c>
      <c r="N208">
        <v>2990</v>
      </c>
      <c r="O208">
        <v>2020</v>
      </c>
      <c r="P208" s="6">
        <v>550</v>
      </c>
      <c r="Q208">
        <v>4010</v>
      </c>
      <c r="R208">
        <v>1205</v>
      </c>
      <c r="S208">
        <v>4570</v>
      </c>
      <c r="T208">
        <v>2700</v>
      </c>
      <c r="U208">
        <v>2640</v>
      </c>
      <c r="V208">
        <v>31050</v>
      </c>
      <c r="W208" s="6">
        <v>2830</v>
      </c>
      <c r="X208">
        <v>1250</v>
      </c>
      <c r="Y208">
        <v>1980</v>
      </c>
      <c r="Z208" s="6">
        <v>412</v>
      </c>
      <c r="AA208">
        <v>1180</v>
      </c>
      <c r="AB208">
        <v>68</v>
      </c>
      <c r="AC208" s="6">
        <v>158</v>
      </c>
      <c r="AD208" s="6">
        <v>410</v>
      </c>
      <c r="AE208" s="6">
        <v>384</v>
      </c>
      <c r="AF208" s="6">
        <v>940</v>
      </c>
    </row>
    <row r="209" spans="1:32" x14ac:dyDescent="0.3">
      <c r="A209" s="4" t="s">
        <v>124</v>
      </c>
      <c r="B209" s="5">
        <v>9133.8700000000008</v>
      </c>
      <c r="C209">
        <v>8125</v>
      </c>
      <c r="D209">
        <v>3840</v>
      </c>
      <c r="E209">
        <v>5000</v>
      </c>
      <c r="F209">
        <v>4620</v>
      </c>
      <c r="G209">
        <v>3620</v>
      </c>
      <c r="H209">
        <v>7400</v>
      </c>
      <c r="I209">
        <v>8100</v>
      </c>
      <c r="J209">
        <v>6825</v>
      </c>
      <c r="K209">
        <v>2170</v>
      </c>
      <c r="L209">
        <v>22325</v>
      </c>
      <c r="M209">
        <v>4000</v>
      </c>
      <c r="N209">
        <v>3060</v>
      </c>
      <c r="O209">
        <v>2040</v>
      </c>
      <c r="P209" s="6">
        <v>545</v>
      </c>
      <c r="Q209">
        <v>3940</v>
      </c>
      <c r="R209">
        <v>1215</v>
      </c>
      <c r="S209">
        <v>4430</v>
      </c>
      <c r="T209">
        <v>2780</v>
      </c>
      <c r="U209">
        <v>2670</v>
      </c>
      <c r="V209">
        <v>31500</v>
      </c>
      <c r="W209" s="6">
        <v>2950</v>
      </c>
      <c r="X209">
        <v>1295</v>
      </c>
      <c r="Y209">
        <v>1940</v>
      </c>
      <c r="Z209" s="6">
        <v>416</v>
      </c>
      <c r="AA209">
        <v>1175</v>
      </c>
      <c r="AB209">
        <v>66</v>
      </c>
      <c r="AC209" s="6">
        <v>159</v>
      </c>
      <c r="AD209" s="6">
        <v>402</v>
      </c>
      <c r="AE209" s="6">
        <v>374</v>
      </c>
      <c r="AF209" s="6">
        <v>915</v>
      </c>
    </row>
    <row r="210" spans="1:32" x14ac:dyDescent="0.3">
      <c r="A210" s="3" t="s">
        <v>125</v>
      </c>
      <c r="B210" s="5">
        <v>9134.7000000000007</v>
      </c>
      <c r="C210">
        <v>8000</v>
      </c>
      <c r="D210">
        <v>3850</v>
      </c>
      <c r="E210">
        <v>5025</v>
      </c>
      <c r="F210">
        <v>4570</v>
      </c>
      <c r="G210">
        <v>3600</v>
      </c>
      <c r="H210">
        <v>7275</v>
      </c>
      <c r="I210">
        <v>8125</v>
      </c>
      <c r="J210">
        <v>6700</v>
      </c>
      <c r="K210">
        <v>2240</v>
      </c>
      <c r="L210">
        <v>22400</v>
      </c>
      <c r="M210">
        <v>4120</v>
      </c>
      <c r="N210">
        <v>3210</v>
      </c>
      <c r="O210">
        <v>2080</v>
      </c>
      <c r="P210" s="6">
        <v>560</v>
      </c>
      <c r="Q210">
        <v>4270</v>
      </c>
      <c r="R210">
        <v>1190</v>
      </c>
      <c r="S210">
        <v>4420</v>
      </c>
      <c r="T210">
        <v>2930</v>
      </c>
      <c r="U210">
        <v>2640</v>
      </c>
      <c r="V210">
        <v>31975</v>
      </c>
      <c r="W210" s="6">
        <v>2900</v>
      </c>
      <c r="X210">
        <v>1330</v>
      </c>
      <c r="Y210">
        <v>1930</v>
      </c>
      <c r="Z210" s="6">
        <v>418</v>
      </c>
      <c r="AA210">
        <v>1200</v>
      </c>
      <c r="AB210">
        <v>66</v>
      </c>
      <c r="AC210" s="6">
        <v>158</v>
      </c>
      <c r="AD210" s="6">
        <v>402</v>
      </c>
      <c r="AE210" s="6">
        <v>370</v>
      </c>
      <c r="AF210" s="6">
        <v>920</v>
      </c>
    </row>
    <row r="211" spans="1:32" x14ac:dyDescent="0.3">
      <c r="A211" s="4" t="s">
        <v>126</v>
      </c>
      <c r="B211" s="5">
        <v>9010.33</v>
      </c>
      <c r="C211">
        <v>7700</v>
      </c>
      <c r="D211">
        <v>3820</v>
      </c>
      <c r="E211">
        <v>4990</v>
      </c>
      <c r="F211">
        <v>4590</v>
      </c>
      <c r="G211">
        <v>3600</v>
      </c>
      <c r="H211">
        <v>6600</v>
      </c>
      <c r="I211">
        <v>8100</v>
      </c>
      <c r="J211">
        <v>6700</v>
      </c>
      <c r="K211">
        <v>2260</v>
      </c>
      <c r="L211">
        <v>22300</v>
      </c>
      <c r="M211">
        <v>4270</v>
      </c>
      <c r="N211">
        <v>3310</v>
      </c>
      <c r="O211">
        <v>2090</v>
      </c>
      <c r="P211" s="6">
        <v>575</v>
      </c>
      <c r="Q211">
        <v>4150</v>
      </c>
      <c r="R211">
        <v>1200</v>
      </c>
      <c r="S211">
        <v>4450</v>
      </c>
      <c r="T211">
        <v>2930</v>
      </c>
      <c r="U211">
        <v>2610</v>
      </c>
      <c r="V211">
        <v>27200</v>
      </c>
      <c r="W211" s="6">
        <v>2860</v>
      </c>
      <c r="X211">
        <v>1295</v>
      </c>
      <c r="Y211">
        <v>1940</v>
      </c>
      <c r="Z211" s="6">
        <v>412</v>
      </c>
      <c r="AA211">
        <v>1210</v>
      </c>
      <c r="AB211">
        <v>64</v>
      </c>
      <c r="AC211" s="6">
        <v>157</v>
      </c>
      <c r="AD211" s="6">
        <v>394</v>
      </c>
      <c r="AE211" s="6">
        <v>370</v>
      </c>
      <c r="AF211" s="6">
        <v>875</v>
      </c>
    </row>
    <row r="212" spans="1:32" x14ac:dyDescent="0.3">
      <c r="A212" s="3" t="s">
        <v>127</v>
      </c>
      <c r="B212" s="5">
        <v>8992.18</v>
      </c>
      <c r="C212">
        <v>7650</v>
      </c>
      <c r="D212">
        <v>3810</v>
      </c>
      <c r="E212">
        <v>4980</v>
      </c>
      <c r="F212">
        <v>4590</v>
      </c>
      <c r="G212">
        <v>3740</v>
      </c>
      <c r="H212">
        <v>6775</v>
      </c>
      <c r="I212">
        <v>8325</v>
      </c>
      <c r="J212">
        <v>6750</v>
      </c>
      <c r="K212">
        <v>2350</v>
      </c>
      <c r="L212">
        <v>22725</v>
      </c>
      <c r="M212">
        <v>4220</v>
      </c>
      <c r="N212">
        <v>3240</v>
      </c>
      <c r="O212">
        <v>2160</v>
      </c>
      <c r="P212" s="6">
        <v>620</v>
      </c>
      <c r="Q212">
        <v>4310</v>
      </c>
      <c r="R212">
        <v>1225</v>
      </c>
      <c r="S212">
        <v>4500</v>
      </c>
      <c r="T212">
        <v>2880</v>
      </c>
      <c r="U212">
        <v>2650</v>
      </c>
      <c r="V212">
        <v>27450</v>
      </c>
      <c r="W212" s="6">
        <v>2750</v>
      </c>
      <c r="X212">
        <v>1320</v>
      </c>
      <c r="Y212">
        <v>1950</v>
      </c>
      <c r="Z212" s="6">
        <v>416</v>
      </c>
      <c r="AA212">
        <v>1265</v>
      </c>
      <c r="AB212">
        <v>62</v>
      </c>
      <c r="AC212" s="6">
        <v>160</v>
      </c>
      <c r="AD212" s="6">
        <v>402</v>
      </c>
      <c r="AE212" s="6">
        <v>374</v>
      </c>
      <c r="AF212" s="6">
        <v>890</v>
      </c>
    </row>
    <row r="213" spans="1:32" x14ac:dyDescent="0.3">
      <c r="A213" s="4" t="s">
        <v>128</v>
      </c>
      <c r="B213" s="5">
        <v>8951.01</v>
      </c>
      <c r="C213">
        <v>7650</v>
      </c>
      <c r="D213">
        <v>3850</v>
      </c>
      <c r="E213">
        <v>4990</v>
      </c>
      <c r="F213">
        <v>4600</v>
      </c>
      <c r="G213">
        <v>3770</v>
      </c>
      <c r="H213">
        <v>6825</v>
      </c>
      <c r="I213">
        <v>8275</v>
      </c>
      <c r="J213">
        <v>6825</v>
      </c>
      <c r="K213">
        <v>2400</v>
      </c>
      <c r="L213">
        <v>22500</v>
      </c>
      <c r="M213">
        <v>4290</v>
      </c>
      <c r="N213">
        <v>3300</v>
      </c>
      <c r="O213">
        <v>2270</v>
      </c>
      <c r="P213" s="6">
        <v>625</v>
      </c>
      <c r="Q213">
        <v>4360</v>
      </c>
      <c r="R213">
        <v>1220</v>
      </c>
      <c r="S213">
        <v>4360</v>
      </c>
      <c r="T213">
        <v>2900</v>
      </c>
      <c r="U213">
        <v>2730</v>
      </c>
      <c r="V213">
        <v>27275</v>
      </c>
      <c r="W213" s="6">
        <v>2590</v>
      </c>
      <c r="X213">
        <v>1305</v>
      </c>
      <c r="Y213">
        <v>1935</v>
      </c>
      <c r="Z213" s="6">
        <v>414</v>
      </c>
      <c r="AA213">
        <v>1255</v>
      </c>
      <c r="AB213">
        <v>60</v>
      </c>
      <c r="AC213" s="6">
        <v>160</v>
      </c>
      <c r="AD213" s="6">
        <v>402</v>
      </c>
      <c r="AE213" s="6">
        <v>380</v>
      </c>
      <c r="AF213" s="6">
        <v>880</v>
      </c>
    </row>
    <row r="214" spans="1:32" x14ac:dyDescent="0.3">
      <c r="A214" s="3" t="s">
        <v>129</v>
      </c>
      <c r="B214" s="5">
        <v>8975.33</v>
      </c>
      <c r="C214">
        <v>7650</v>
      </c>
      <c r="D214">
        <v>3850</v>
      </c>
      <c r="E214">
        <v>4910</v>
      </c>
      <c r="F214">
        <v>4530</v>
      </c>
      <c r="G214">
        <v>3850</v>
      </c>
      <c r="H214">
        <v>6875</v>
      </c>
      <c r="I214">
        <v>8400</v>
      </c>
      <c r="J214">
        <v>6800</v>
      </c>
      <c r="K214">
        <v>2390</v>
      </c>
      <c r="L214">
        <v>22650</v>
      </c>
      <c r="M214">
        <v>4760</v>
      </c>
      <c r="N214">
        <v>3450</v>
      </c>
      <c r="O214">
        <v>2260</v>
      </c>
      <c r="P214" s="6">
        <v>625</v>
      </c>
      <c r="Q214">
        <v>4360</v>
      </c>
      <c r="R214">
        <v>1180</v>
      </c>
      <c r="S214">
        <v>4390</v>
      </c>
      <c r="T214">
        <v>2840</v>
      </c>
      <c r="U214">
        <v>2690</v>
      </c>
      <c r="V214">
        <v>27275</v>
      </c>
      <c r="W214" s="6">
        <v>2580</v>
      </c>
      <c r="X214">
        <v>1355</v>
      </c>
      <c r="Y214">
        <v>1925</v>
      </c>
      <c r="Z214" s="6">
        <v>412</v>
      </c>
      <c r="AA214">
        <v>1275</v>
      </c>
      <c r="AB214">
        <v>60</v>
      </c>
      <c r="AC214" s="6">
        <v>157</v>
      </c>
      <c r="AD214" s="6">
        <v>400</v>
      </c>
      <c r="AE214" s="6">
        <v>374</v>
      </c>
      <c r="AF214" s="6">
        <v>865</v>
      </c>
    </row>
    <row r="215" spans="1:32" x14ac:dyDescent="0.3">
      <c r="A215" s="4" t="s">
        <v>130</v>
      </c>
      <c r="B215" s="5">
        <v>8980.23</v>
      </c>
      <c r="C215">
        <v>7500</v>
      </c>
      <c r="D215">
        <v>3820</v>
      </c>
      <c r="E215">
        <v>4810</v>
      </c>
      <c r="F215">
        <v>4500</v>
      </c>
      <c r="G215">
        <v>3940</v>
      </c>
      <c r="H215">
        <v>6300</v>
      </c>
      <c r="I215">
        <v>8225</v>
      </c>
      <c r="J215">
        <v>6700</v>
      </c>
      <c r="K215">
        <v>2290</v>
      </c>
      <c r="L215">
        <v>22200</v>
      </c>
      <c r="M215">
        <v>4610</v>
      </c>
      <c r="N215">
        <v>3210</v>
      </c>
      <c r="O215">
        <v>2160</v>
      </c>
      <c r="P215" s="6">
        <v>600</v>
      </c>
      <c r="Q215">
        <v>4490</v>
      </c>
      <c r="R215">
        <v>1135</v>
      </c>
      <c r="S215">
        <v>4360</v>
      </c>
      <c r="T215">
        <v>2880</v>
      </c>
      <c r="U215">
        <v>2660</v>
      </c>
      <c r="V215">
        <v>25675</v>
      </c>
      <c r="W215" s="6">
        <v>2700</v>
      </c>
      <c r="X215">
        <v>1345</v>
      </c>
      <c r="Y215">
        <v>1870</v>
      </c>
      <c r="Z215" s="6">
        <v>410</v>
      </c>
      <c r="AA215">
        <v>1240</v>
      </c>
      <c r="AB215">
        <v>65</v>
      </c>
      <c r="AC215" s="6">
        <v>159</v>
      </c>
      <c r="AD215" s="6">
        <v>400</v>
      </c>
      <c r="AE215" s="6">
        <v>370</v>
      </c>
      <c r="AF215" s="6">
        <v>845</v>
      </c>
    </row>
    <row r="216" spans="1:32" x14ac:dyDescent="0.3">
      <c r="A216" s="3" t="s">
        <v>131</v>
      </c>
      <c r="B216" s="5">
        <v>8320.56</v>
      </c>
      <c r="C216">
        <v>7025</v>
      </c>
      <c r="D216">
        <v>3590</v>
      </c>
      <c r="E216">
        <v>4560</v>
      </c>
      <c r="F216">
        <v>4440</v>
      </c>
      <c r="G216">
        <v>3470</v>
      </c>
      <c r="H216">
        <v>6175</v>
      </c>
      <c r="I216">
        <v>7775</v>
      </c>
      <c r="J216">
        <v>6850</v>
      </c>
      <c r="K216">
        <v>2210</v>
      </c>
      <c r="L216">
        <v>21925</v>
      </c>
      <c r="M216">
        <v>4420</v>
      </c>
      <c r="N216">
        <v>3240</v>
      </c>
      <c r="O216">
        <v>2120</v>
      </c>
      <c r="P216" s="6">
        <v>555</v>
      </c>
      <c r="Q216">
        <v>3820</v>
      </c>
      <c r="R216">
        <v>1100</v>
      </c>
      <c r="S216">
        <v>4360</v>
      </c>
      <c r="T216">
        <v>2750</v>
      </c>
      <c r="U216">
        <v>2500</v>
      </c>
      <c r="V216">
        <v>24950</v>
      </c>
      <c r="W216" s="6">
        <v>2300</v>
      </c>
      <c r="X216">
        <v>1280</v>
      </c>
      <c r="Y216">
        <v>1735</v>
      </c>
      <c r="Z216" s="6">
        <v>394</v>
      </c>
      <c r="AA216">
        <v>1175</v>
      </c>
      <c r="AB216">
        <v>60</v>
      </c>
      <c r="AC216" s="6">
        <v>148</v>
      </c>
      <c r="AD216" s="6">
        <v>386</v>
      </c>
      <c r="AE216" s="6">
        <v>358</v>
      </c>
      <c r="AF216" s="6">
        <v>805</v>
      </c>
    </row>
    <row r="217" spans="1:32" x14ac:dyDescent="0.3">
      <c r="A217" s="4" t="s">
        <v>132</v>
      </c>
      <c r="B217" s="5">
        <v>8232.2000000000007</v>
      </c>
      <c r="C217">
        <v>7200</v>
      </c>
      <c r="D217">
        <v>3780</v>
      </c>
      <c r="E217">
        <v>4630</v>
      </c>
      <c r="F217">
        <v>4420</v>
      </c>
      <c r="G217">
        <v>3450</v>
      </c>
      <c r="H217">
        <v>6475</v>
      </c>
      <c r="I217">
        <v>7675</v>
      </c>
      <c r="J217">
        <v>6775</v>
      </c>
      <c r="K217">
        <v>2220</v>
      </c>
      <c r="L217">
        <v>22200</v>
      </c>
      <c r="M217">
        <v>4320</v>
      </c>
      <c r="N217">
        <v>3170</v>
      </c>
      <c r="O217">
        <v>2080</v>
      </c>
      <c r="P217" s="6">
        <v>520</v>
      </c>
      <c r="Q217">
        <v>3250</v>
      </c>
      <c r="R217">
        <v>1085</v>
      </c>
      <c r="S217">
        <v>4310</v>
      </c>
      <c r="T217">
        <v>2600</v>
      </c>
      <c r="U217">
        <v>2420</v>
      </c>
      <c r="V217">
        <v>24400</v>
      </c>
      <c r="W217" s="6">
        <v>2200</v>
      </c>
      <c r="X217">
        <v>1205</v>
      </c>
      <c r="Y217">
        <v>1640</v>
      </c>
      <c r="Z217" s="6">
        <v>394</v>
      </c>
      <c r="AA217">
        <v>1160</v>
      </c>
      <c r="AB217">
        <v>63</v>
      </c>
      <c r="AC217" s="6">
        <v>141</v>
      </c>
      <c r="AD217" s="6">
        <v>388</v>
      </c>
      <c r="AE217" s="6">
        <v>352</v>
      </c>
      <c r="AF217" s="6">
        <v>790</v>
      </c>
    </row>
    <row r="218" spans="1:32" x14ac:dyDescent="0.3">
      <c r="A218" s="3" t="s">
        <v>133</v>
      </c>
      <c r="B218" s="5">
        <v>8329.61</v>
      </c>
      <c r="C218">
        <v>7400</v>
      </c>
      <c r="D218">
        <v>3810</v>
      </c>
      <c r="E218">
        <v>4820</v>
      </c>
      <c r="F218">
        <v>4490</v>
      </c>
      <c r="G218">
        <v>3600</v>
      </c>
      <c r="H218">
        <v>6350</v>
      </c>
      <c r="I218">
        <v>7950</v>
      </c>
      <c r="J218">
        <v>6800</v>
      </c>
      <c r="K218">
        <v>2210</v>
      </c>
      <c r="L218">
        <v>21950</v>
      </c>
      <c r="M218">
        <v>4210</v>
      </c>
      <c r="N218">
        <v>3210</v>
      </c>
      <c r="O218">
        <v>2120</v>
      </c>
      <c r="P218" s="6">
        <v>525</v>
      </c>
      <c r="Q218">
        <v>3300</v>
      </c>
      <c r="R218">
        <v>1145</v>
      </c>
      <c r="S218">
        <v>4430</v>
      </c>
      <c r="T218">
        <v>2770</v>
      </c>
      <c r="U218">
        <v>2450</v>
      </c>
      <c r="V218">
        <v>26050</v>
      </c>
      <c r="W218" s="6">
        <v>2160</v>
      </c>
      <c r="X218">
        <v>1260</v>
      </c>
      <c r="Y218">
        <v>1745</v>
      </c>
      <c r="Z218" s="6">
        <v>400</v>
      </c>
      <c r="AA218">
        <v>1185</v>
      </c>
      <c r="AB218">
        <v>64</v>
      </c>
      <c r="AC218" s="6">
        <v>145</v>
      </c>
      <c r="AD218" s="6">
        <v>396</v>
      </c>
      <c r="AE218" s="6">
        <v>360</v>
      </c>
      <c r="AF218" s="6">
        <v>830</v>
      </c>
    </row>
    <row r="219" spans="1:32" x14ac:dyDescent="0.3">
      <c r="A219" s="2">
        <v>46055</v>
      </c>
      <c r="B219" s="5">
        <v>7922.73</v>
      </c>
      <c r="C219">
        <v>7600</v>
      </c>
      <c r="D219">
        <v>3830</v>
      </c>
      <c r="E219">
        <v>4800</v>
      </c>
      <c r="F219">
        <v>4500</v>
      </c>
      <c r="G219">
        <v>3500</v>
      </c>
      <c r="H219">
        <v>6275</v>
      </c>
      <c r="I219">
        <v>8375</v>
      </c>
      <c r="J219">
        <v>7025</v>
      </c>
      <c r="K219">
        <v>2140</v>
      </c>
      <c r="L219">
        <v>21900</v>
      </c>
      <c r="M219">
        <v>3810</v>
      </c>
      <c r="N219">
        <v>2730</v>
      </c>
      <c r="O219">
        <v>2180</v>
      </c>
      <c r="P219" s="6">
        <v>530</v>
      </c>
      <c r="Q219">
        <v>2910</v>
      </c>
      <c r="R219">
        <v>1140</v>
      </c>
      <c r="S219">
        <v>4440</v>
      </c>
      <c r="T219">
        <v>2670</v>
      </c>
      <c r="U219">
        <v>2580</v>
      </c>
      <c r="V219">
        <v>24450</v>
      </c>
      <c r="W219" s="6">
        <v>1840</v>
      </c>
      <c r="X219">
        <v>1240</v>
      </c>
      <c r="Y219">
        <v>1725</v>
      </c>
      <c r="Z219" s="6">
        <v>396</v>
      </c>
      <c r="AA219">
        <v>1205</v>
      </c>
      <c r="AB219">
        <v>61</v>
      </c>
      <c r="AC219" s="6">
        <v>139</v>
      </c>
      <c r="AD219" s="6">
        <v>384</v>
      </c>
      <c r="AE219" s="6">
        <v>360</v>
      </c>
      <c r="AF219" s="6">
        <v>810</v>
      </c>
    </row>
    <row r="220" spans="1:32" x14ac:dyDescent="0.3">
      <c r="A220" s="1">
        <v>46083</v>
      </c>
      <c r="B220" s="5">
        <v>8122.6</v>
      </c>
      <c r="C220">
        <v>7650</v>
      </c>
      <c r="D220">
        <v>3800</v>
      </c>
      <c r="E220">
        <v>4830</v>
      </c>
      <c r="F220">
        <v>4590</v>
      </c>
      <c r="G220">
        <v>3450</v>
      </c>
      <c r="H220">
        <v>6800</v>
      </c>
      <c r="I220">
        <v>8575</v>
      </c>
      <c r="J220">
        <v>7200</v>
      </c>
      <c r="K220">
        <v>2150</v>
      </c>
      <c r="L220">
        <v>22025</v>
      </c>
      <c r="M220">
        <v>3930</v>
      </c>
      <c r="N220">
        <v>2950</v>
      </c>
      <c r="O220">
        <v>2160</v>
      </c>
      <c r="P220" s="6">
        <v>540</v>
      </c>
      <c r="Q220">
        <v>3130</v>
      </c>
      <c r="R220">
        <v>1150</v>
      </c>
      <c r="S220">
        <v>4530</v>
      </c>
      <c r="T220">
        <v>2790</v>
      </c>
      <c r="U220">
        <v>2540</v>
      </c>
      <c r="V220">
        <v>26175</v>
      </c>
      <c r="W220" s="6">
        <v>1980</v>
      </c>
      <c r="X220">
        <v>1325</v>
      </c>
      <c r="Y220">
        <v>1750</v>
      </c>
      <c r="Z220" s="6">
        <v>400</v>
      </c>
      <c r="AA220">
        <v>1225</v>
      </c>
      <c r="AB220">
        <v>62</v>
      </c>
      <c r="AC220" s="6">
        <v>140</v>
      </c>
      <c r="AD220" s="6">
        <v>392</v>
      </c>
      <c r="AE220" s="6">
        <v>366</v>
      </c>
      <c r="AF220" s="6">
        <v>865</v>
      </c>
    </row>
    <row r="221" spans="1:32" x14ac:dyDescent="0.3">
      <c r="A221" s="2">
        <v>46114</v>
      </c>
      <c r="B221" s="5">
        <v>8146.72</v>
      </c>
      <c r="C221">
        <v>7800</v>
      </c>
      <c r="D221">
        <v>3870</v>
      </c>
      <c r="E221">
        <v>5000</v>
      </c>
      <c r="F221">
        <v>4630</v>
      </c>
      <c r="G221">
        <v>3330</v>
      </c>
      <c r="H221">
        <v>6675</v>
      </c>
      <c r="I221">
        <v>8300</v>
      </c>
      <c r="J221">
        <v>7050</v>
      </c>
      <c r="K221">
        <v>2180</v>
      </c>
      <c r="L221">
        <v>22050</v>
      </c>
      <c r="M221">
        <v>3990</v>
      </c>
      <c r="N221">
        <v>3030</v>
      </c>
      <c r="O221">
        <v>2200</v>
      </c>
      <c r="P221" s="6">
        <v>530</v>
      </c>
      <c r="Q221">
        <v>3100</v>
      </c>
      <c r="R221">
        <v>1140</v>
      </c>
      <c r="S221">
        <v>4450</v>
      </c>
      <c r="T221">
        <v>2600</v>
      </c>
      <c r="U221">
        <v>2550</v>
      </c>
      <c r="V221">
        <v>27850</v>
      </c>
      <c r="W221" s="6">
        <v>2130</v>
      </c>
      <c r="X221">
        <v>1295</v>
      </c>
      <c r="Y221">
        <v>1730</v>
      </c>
      <c r="Z221" s="6">
        <v>398</v>
      </c>
      <c r="AA221">
        <v>1245</v>
      </c>
      <c r="AB221">
        <v>62</v>
      </c>
      <c r="AC221" s="6">
        <v>141</v>
      </c>
      <c r="AD221" s="6">
        <v>394</v>
      </c>
      <c r="AE221" s="6">
        <v>362</v>
      </c>
      <c r="AF221" s="6">
        <v>865</v>
      </c>
    </row>
    <row r="222" spans="1:32" x14ac:dyDescent="0.3">
      <c r="A222" s="1">
        <v>46144</v>
      </c>
      <c r="B222" s="5">
        <v>8103.88</v>
      </c>
      <c r="C222">
        <v>7800</v>
      </c>
      <c r="D222">
        <v>3850</v>
      </c>
      <c r="E222">
        <v>5050</v>
      </c>
      <c r="F222">
        <v>4570</v>
      </c>
      <c r="G222">
        <v>3290</v>
      </c>
      <c r="H222">
        <v>6950</v>
      </c>
      <c r="I222">
        <v>8300</v>
      </c>
      <c r="J222">
        <v>7000</v>
      </c>
      <c r="K222">
        <v>2100</v>
      </c>
      <c r="L222">
        <v>22125</v>
      </c>
      <c r="M222">
        <v>3810</v>
      </c>
      <c r="N222">
        <v>3060</v>
      </c>
      <c r="O222">
        <v>2200</v>
      </c>
      <c r="P222" s="6">
        <v>535</v>
      </c>
      <c r="Q222">
        <v>2920</v>
      </c>
      <c r="R222">
        <v>1115</v>
      </c>
      <c r="S222">
        <v>4520</v>
      </c>
      <c r="T222">
        <v>2590</v>
      </c>
      <c r="U222">
        <v>2600</v>
      </c>
      <c r="V222">
        <v>27400</v>
      </c>
      <c r="W222" s="6">
        <v>2100</v>
      </c>
      <c r="X222">
        <v>1285</v>
      </c>
      <c r="Y222">
        <v>1770</v>
      </c>
      <c r="Z222" s="6">
        <v>406</v>
      </c>
      <c r="AA222">
        <v>1235</v>
      </c>
      <c r="AB222">
        <v>60</v>
      </c>
      <c r="AC222" s="6">
        <v>141</v>
      </c>
      <c r="AD222" s="6">
        <v>398</v>
      </c>
      <c r="AE222" s="6">
        <v>360</v>
      </c>
      <c r="AF222" s="6">
        <v>870</v>
      </c>
    </row>
    <row r="223" spans="1:32" x14ac:dyDescent="0.3">
      <c r="A223" s="2">
        <v>46175</v>
      </c>
      <c r="B223" s="5">
        <v>7935.26</v>
      </c>
      <c r="C223">
        <v>7675</v>
      </c>
      <c r="D223">
        <v>3780</v>
      </c>
      <c r="E223">
        <v>5050</v>
      </c>
      <c r="F223">
        <v>4530</v>
      </c>
      <c r="G223">
        <v>3380</v>
      </c>
      <c r="H223">
        <v>6700</v>
      </c>
      <c r="I223">
        <v>8075</v>
      </c>
      <c r="J223">
        <v>6850</v>
      </c>
      <c r="K223">
        <v>2080</v>
      </c>
      <c r="L223">
        <v>21950</v>
      </c>
      <c r="M223">
        <v>3710</v>
      </c>
      <c r="N223">
        <v>2850</v>
      </c>
      <c r="O223">
        <v>2230</v>
      </c>
      <c r="P223" s="6">
        <v>525</v>
      </c>
      <c r="Q223">
        <v>2890</v>
      </c>
      <c r="R223">
        <v>1120</v>
      </c>
      <c r="S223">
        <v>4490</v>
      </c>
      <c r="T223">
        <v>2500</v>
      </c>
      <c r="U223">
        <v>2630</v>
      </c>
      <c r="V223">
        <v>26400</v>
      </c>
      <c r="W223" s="6">
        <v>1945</v>
      </c>
      <c r="X223">
        <v>1270</v>
      </c>
      <c r="Y223">
        <v>1810</v>
      </c>
      <c r="Z223" s="6">
        <v>404</v>
      </c>
      <c r="AA223">
        <v>1215</v>
      </c>
      <c r="AB223">
        <v>60</v>
      </c>
      <c r="AC223" s="6">
        <v>138</v>
      </c>
      <c r="AD223" s="6">
        <v>386</v>
      </c>
      <c r="AE223" s="6">
        <v>358</v>
      </c>
      <c r="AF223" s="6">
        <v>845</v>
      </c>
    </row>
    <row r="224" spans="1:32" x14ac:dyDescent="0.3">
      <c r="A224" s="1">
        <v>46267</v>
      </c>
      <c r="B224" s="5">
        <v>8031.87</v>
      </c>
      <c r="C224">
        <v>7500</v>
      </c>
      <c r="D224">
        <v>3770</v>
      </c>
      <c r="E224">
        <v>5000</v>
      </c>
      <c r="F224">
        <v>4520</v>
      </c>
      <c r="G224">
        <v>3350</v>
      </c>
      <c r="H224">
        <v>6650</v>
      </c>
      <c r="I224">
        <v>8075</v>
      </c>
      <c r="J224">
        <v>6825</v>
      </c>
      <c r="K224">
        <v>2130</v>
      </c>
      <c r="L224">
        <v>22025</v>
      </c>
      <c r="M224">
        <v>3890</v>
      </c>
      <c r="N224">
        <v>3040</v>
      </c>
      <c r="O224">
        <v>2220</v>
      </c>
      <c r="P224" s="6">
        <v>530</v>
      </c>
      <c r="Q224">
        <v>2930</v>
      </c>
      <c r="R224">
        <v>1105</v>
      </c>
      <c r="S224">
        <v>4530</v>
      </c>
      <c r="T224">
        <v>2550</v>
      </c>
      <c r="U224">
        <v>2570</v>
      </c>
      <c r="V224">
        <v>27000</v>
      </c>
      <c r="W224" s="6">
        <v>1995</v>
      </c>
      <c r="X224">
        <v>1265</v>
      </c>
      <c r="Y224">
        <v>1920</v>
      </c>
      <c r="Z224" s="6">
        <v>404</v>
      </c>
      <c r="AA224">
        <v>1200</v>
      </c>
      <c r="AB224">
        <v>60</v>
      </c>
      <c r="AC224" s="6">
        <v>138</v>
      </c>
      <c r="AD224" s="6">
        <v>388</v>
      </c>
      <c r="AE224" s="6">
        <v>366</v>
      </c>
      <c r="AF224" s="6">
        <v>835</v>
      </c>
    </row>
    <row r="225" spans="1:32" x14ac:dyDescent="0.3">
      <c r="A225" s="2">
        <v>46297</v>
      </c>
      <c r="B225" s="5">
        <v>8131.74</v>
      </c>
      <c r="C225">
        <v>7475</v>
      </c>
      <c r="D225">
        <v>3780</v>
      </c>
      <c r="E225">
        <v>5100</v>
      </c>
      <c r="F225">
        <v>4510</v>
      </c>
      <c r="G225">
        <v>3400</v>
      </c>
      <c r="H225">
        <v>6850</v>
      </c>
      <c r="I225">
        <v>8125</v>
      </c>
      <c r="J225">
        <v>6900</v>
      </c>
      <c r="K225">
        <v>2170</v>
      </c>
      <c r="L225">
        <v>22100</v>
      </c>
      <c r="M225">
        <v>3890</v>
      </c>
      <c r="N225">
        <v>3090</v>
      </c>
      <c r="O225">
        <v>2220</v>
      </c>
      <c r="P225" s="6">
        <v>525</v>
      </c>
      <c r="Q225">
        <v>2900</v>
      </c>
      <c r="R225">
        <v>1110</v>
      </c>
      <c r="S225">
        <v>4450</v>
      </c>
      <c r="T225">
        <v>2580</v>
      </c>
      <c r="U225">
        <v>2800</v>
      </c>
      <c r="V225">
        <v>27475</v>
      </c>
      <c r="W225" s="6">
        <v>2030</v>
      </c>
      <c r="X225">
        <v>1305</v>
      </c>
      <c r="Y225">
        <v>1950</v>
      </c>
      <c r="Z225" s="6">
        <v>406</v>
      </c>
      <c r="AA225">
        <v>1200</v>
      </c>
      <c r="AB225">
        <v>59</v>
      </c>
      <c r="AC225" s="6">
        <v>150</v>
      </c>
      <c r="AD225" s="6">
        <v>392</v>
      </c>
      <c r="AE225" s="6">
        <v>364</v>
      </c>
      <c r="AF225" s="6">
        <v>840</v>
      </c>
    </row>
    <row r="226" spans="1:32" x14ac:dyDescent="0.3">
      <c r="A226" s="1">
        <v>46328</v>
      </c>
      <c r="B226" s="5">
        <v>8290.9699999999993</v>
      </c>
      <c r="C226">
        <v>7450</v>
      </c>
      <c r="D226">
        <v>3800</v>
      </c>
      <c r="E226">
        <v>5025</v>
      </c>
      <c r="F226">
        <v>4480</v>
      </c>
      <c r="G226">
        <v>3530</v>
      </c>
      <c r="H226">
        <v>6750</v>
      </c>
      <c r="I226">
        <v>8175</v>
      </c>
      <c r="J226">
        <v>6700</v>
      </c>
      <c r="K226">
        <v>2220</v>
      </c>
      <c r="L226">
        <v>22250</v>
      </c>
      <c r="M226">
        <v>3990</v>
      </c>
      <c r="N226">
        <v>3160</v>
      </c>
      <c r="O226">
        <v>2230</v>
      </c>
      <c r="P226" s="6">
        <v>525</v>
      </c>
      <c r="Q226">
        <v>3010</v>
      </c>
      <c r="R226">
        <v>1105</v>
      </c>
      <c r="S226">
        <v>4480</v>
      </c>
      <c r="T226">
        <v>2580</v>
      </c>
      <c r="U226">
        <v>2830</v>
      </c>
      <c r="V226">
        <v>28450</v>
      </c>
      <c r="W226" s="6">
        <v>2280</v>
      </c>
      <c r="X226">
        <v>1295</v>
      </c>
      <c r="Y226">
        <v>1930</v>
      </c>
      <c r="Z226" s="6">
        <v>408</v>
      </c>
      <c r="AA226">
        <v>1330</v>
      </c>
      <c r="AB226">
        <v>60</v>
      </c>
      <c r="AC226" s="6">
        <v>150</v>
      </c>
      <c r="AD226" s="6">
        <v>396</v>
      </c>
      <c r="AE226" s="6">
        <v>364</v>
      </c>
      <c r="AF226" s="6">
        <v>845</v>
      </c>
    </row>
    <row r="227" spans="1:32" x14ac:dyDescent="0.3">
      <c r="A227" s="2">
        <v>46358</v>
      </c>
      <c r="B227" s="5">
        <v>8265.35</v>
      </c>
      <c r="C227">
        <v>7325</v>
      </c>
      <c r="D227">
        <v>3790</v>
      </c>
      <c r="E227">
        <v>5075</v>
      </c>
      <c r="F227">
        <v>4510</v>
      </c>
      <c r="G227">
        <v>3560</v>
      </c>
      <c r="H227">
        <v>6775</v>
      </c>
      <c r="I227">
        <v>8200</v>
      </c>
      <c r="J227">
        <v>6775</v>
      </c>
      <c r="K227">
        <v>2220</v>
      </c>
      <c r="L227">
        <v>22025</v>
      </c>
      <c r="M227">
        <v>4120</v>
      </c>
      <c r="N227">
        <v>3190</v>
      </c>
      <c r="O227">
        <v>2220</v>
      </c>
      <c r="P227" s="6">
        <v>525</v>
      </c>
      <c r="Q227">
        <v>3010</v>
      </c>
      <c r="R227">
        <v>1100</v>
      </c>
      <c r="S227">
        <v>4410</v>
      </c>
      <c r="T227">
        <v>2550</v>
      </c>
      <c r="U227">
        <v>3200</v>
      </c>
      <c r="V227">
        <v>28750</v>
      </c>
      <c r="W227" s="6">
        <v>2200</v>
      </c>
      <c r="X227">
        <v>1285</v>
      </c>
      <c r="Y227">
        <v>1885</v>
      </c>
      <c r="Z227" s="6">
        <v>402</v>
      </c>
      <c r="AA227">
        <v>1295</v>
      </c>
      <c r="AB227">
        <v>60</v>
      </c>
      <c r="AC227" s="6">
        <v>148</v>
      </c>
      <c r="AD227" s="6">
        <v>396</v>
      </c>
      <c r="AE227" s="6">
        <v>372</v>
      </c>
      <c r="AF227" s="6">
        <v>840</v>
      </c>
    </row>
    <row r="228" spans="1:32" x14ac:dyDescent="0.3">
      <c r="A228" s="3" t="s">
        <v>134</v>
      </c>
      <c r="B228" s="5">
        <v>8212.27</v>
      </c>
      <c r="C228">
        <v>7200</v>
      </c>
      <c r="D228">
        <v>3780</v>
      </c>
      <c r="E228">
        <v>5075</v>
      </c>
      <c r="F228">
        <v>4480</v>
      </c>
      <c r="G228">
        <v>3450</v>
      </c>
      <c r="H228">
        <v>6650</v>
      </c>
      <c r="I228">
        <v>8200</v>
      </c>
      <c r="J228">
        <v>6675</v>
      </c>
      <c r="K228">
        <v>2220</v>
      </c>
      <c r="L228">
        <v>22200</v>
      </c>
      <c r="M228">
        <v>4050</v>
      </c>
      <c r="N228">
        <v>3220</v>
      </c>
      <c r="O228">
        <v>2130</v>
      </c>
      <c r="P228" s="6">
        <v>525</v>
      </c>
      <c r="Q228">
        <v>2850</v>
      </c>
      <c r="R228">
        <v>1080</v>
      </c>
      <c r="S228">
        <v>4300</v>
      </c>
      <c r="T228">
        <v>2560</v>
      </c>
      <c r="U228">
        <v>3010</v>
      </c>
      <c r="V228">
        <v>29400</v>
      </c>
      <c r="W228" s="6">
        <v>2150</v>
      </c>
      <c r="X228">
        <v>1280</v>
      </c>
      <c r="Y228">
        <v>1845</v>
      </c>
      <c r="Z228" s="6">
        <v>398</v>
      </c>
      <c r="AA228">
        <v>1325</v>
      </c>
      <c r="AB228">
        <v>59</v>
      </c>
      <c r="AC228" s="6">
        <v>149</v>
      </c>
      <c r="AD228" s="6">
        <v>398</v>
      </c>
      <c r="AE228" s="6">
        <v>368</v>
      </c>
      <c r="AF228" s="6">
        <v>830</v>
      </c>
    </row>
    <row r="229" spans="1:32" x14ac:dyDescent="0.3">
      <c r="A229" s="4" t="s">
        <v>135</v>
      </c>
      <c r="B229" s="5">
        <v>8310.23</v>
      </c>
      <c r="C229">
        <v>7275</v>
      </c>
      <c r="D229">
        <v>3830</v>
      </c>
      <c r="E229">
        <v>5275</v>
      </c>
      <c r="F229">
        <v>4490</v>
      </c>
      <c r="G229">
        <v>3490</v>
      </c>
      <c r="H229">
        <v>6700</v>
      </c>
      <c r="I229">
        <v>8200</v>
      </c>
      <c r="J229">
        <v>6750</v>
      </c>
      <c r="K229">
        <v>2250</v>
      </c>
      <c r="L229">
        <v>22350</v>
      </c>
      <c r="M229">
        <v>4050</v>
      </c>
      <c r="N229">
        <v>3290</v>
      </c>
      <c r="O229">
        <v>2160</v>
      </c>
      <c r="P229" s="6">
        <v>525</v>
      </c>
      <c r="Q229">
        <v>2890</v>
      </c>
      <c r="R229">
        <v>1080</v>
      </c>
      <c r="S229">
        <v>4270</v>
      </c>
      <c r="T229">
        <v>2560</v>
      </c>
      <c r="U229">
        <v>2950</v>
      </c>
      <c r="V229">
        <v>29975</v>
      </c>
      <c r="W229" s="6">
        <v>2150</v>
      </c>
      <c r="X229">
        <v>1300</v>
      </c>
      <c r="Y229">
        <v>1910</v>
      </c>
      <c r="Z229" s="6">
        <v>400</v>
      </c>
      <c r="AA229">
        <v>1320</v>
      </c>
      <c r="AB229">
        <v>60</v>
      </c>
      <c r="AC229" s="6">
        <v>150</v>
      </c>
      <c r="AD229" s="6">
        <v>398</v>
      </c>
      <c r="AE229" s="6">
        <v>366</v>
      </c>
      <c r="AF229" s="6">
        <v>820</v>
      </c>
    </row>
    <row r="230" spans="1:32" x14ac:dyDescent="0.3">
      <c r="A230" s="3" t="s">
        <v>136</v>
      </c>
      <c r="B230" s="5">
        <v>8274.08</v>
      </c>
      <c r="C230">
        <v>7175</v>
      </c>
      <c r="D230">
        <v>3770</v>
      </c>
      <c r="E230">
        <v>5075</v>
      </c>
      <c r="F230">
        <v>4450</v>
      </c>
      <c r="G230">
        <v>3480</v>
      </c>
      <c r="H230">
        <v>6600</v>
      </c>
      <c r="I230">
        <v>8125</v>
      </c>
      <c r="J230">
        <v>6725</v>
      </c>
      <c r="K230">
        <v>2300</v>
      </c>
      <c r="L230">
        <v>22600</v>
      </c>
      <c r="M230">
        <v>4230</v>
      </c>
      <c r="N230">
        <v>3530</v>
      </c>
      <c r="O230">
        <v>2180</v>
      </c>
      <c r="P230" s="6">
        <v>515</v>
      </c>
      <c r="Q230">
        <v>2860</v>
      </c>
      <c r="R230">
        <v>1080</v>
      </c>
      <c r="S230">
        <v>4270</v>
      </c>
      <c r="T230">
        <v>2480</v>
      </c>
      <c r="U230">
        <v>2860</v>
      </c>
      <c r="V230">
        <v>30275</v>
      </c>
      <c r="W230" s="6">
        <v>2100</v>
      </c>
      <c r="X230">
        <v>1315</v>
      </c>
      <c r="Y230">
        <v>1900</v>
      </c>
      <c r="Z230" s="6">
        <v>400</v>
      </c>
      <c r="AA230">
        <v>1330</v>
      </c>
      <c r="AB230">
        <v>61</v>
      </c>
      <c r="AC230" s="6">
        <v>150</v>
      </c>
      <c r="AD230" s="6">
        <v>398</v>
      </c>
      <c r="AE230" s="6">
        <v>368</v>
      </c>
      <c r="AF230" s="6">
        <v>810</v>
      </c>
    </row>
    <row r="231" spans="1:32" x14ac:dyDescent="0.3">
      <c r="A231" s="4" t="s">
        <v>137</v>
      </c>
      <c r="B231" s="5">
        <v>8271.77</v>
      </c>
      <c r="C231">
        <v>7225</v>
      </c>
      <c r="D231">
        <v>3840</v>
      </c>
      <c r="E231">
        <v>5125</v>
      </c>
      <c r="F231">
        <v>4470</v>
      </c>
      <c r="G231">
        <v>3480</v>
      </c>
      <c r="H231">
        <v>6550</v>
      </c>
      <c r="I231">
        <v>8025</v>
      </c>
      <c r="J231">
        <v>6650</v>
      </c>
      <c r="K231">
        <v>2300</v>
      </c>
      <c r="L231">
        <v>22475</v>
      </c>
      <c r="M231">
        <v>4220</v>
      </c>
      <c r="N231">
        <v>3590</v>
      </c>
      <c r="O231">
        <v>2190</v>
      </c>
      <c r="P231" s="6">
        <v>515</v>
      </c>
      <c r="Q231">
        <v>3120</v>
      </c>
      <c r="R231">
        <v>1055</v>
      </c>
      <c r="S231">
        <v>4330</v>
      </c>
      <c r="T231">
        <v>2380</v>
      </c>
      <c r="U231">
        <v>3070</v>
      </c>
      <c r="V231">
        <v>30725</v>
      </c>
      <c r="W231" s="6">
        <v>2020</v>
      </c>
      <c r="X231">
        <v>1315</v>
      </c>
      <c r="Y231">
        <v>1815</v>
      </c>
      <c r="Z231" s="6">
        <v>398</v>
      </c>
      <c r="AA231">
        <v>1315</v>
      </c>
      <c r="AB231">
        <v>61</v>
      </c>
      <c r="AC231" s="6">
        <v>148</v>
      </c>
      <c r="AD231" s="6">
        <v>390</v>
      </c>
      <c r="AE231" s="6">
        <v>374</v>
      </c>
      <c r="AF231" s="6">
        <v>810</v>
      </c>
    </row>
    <row r="232" spans="1:32" x14ac:dyDescent="0.3">
      <c r="A232" s="3" t="s">
        <v>138</v>
      </c>
      <c r="B232" s="5">
        <v>8396.08</v>
      </c>
      <c r="C232">
        <v>7300</v>
      </c>
      <c r="D232">
        <v>3900</v>
      </c>
      <c r="E232">
        <v>5275</v>
      </c>
      <c r="F232">
        <v>4500</v>
      </c>
      <c r="G232">
        <v>3550</v>
      </c>
      <c r="H232">
        <v>6625</v>
      </c>
      <c r="I232">
        <v>8150</v>
      </c>
      <c r="J232">
        <v>6650</v>
      </c>
      <c r="K232">
        <v>2320</v>
      </c>
      <c r="L232">
        <v>22625</v>
      </c>
      <c r="M232">
        <v>4390</v>
      </c>
      <c r="N232">
        <v>3740</v>
      </c>
      <c r="O232">
        <v>2270</v>
      </c>
      <c r="P232" s="6">
        <v>520</v>
      </c>
      <c r="Q232">
        <v>3280</v>
      </c>
      <c r="R232">
        <v>1080</v>
      </c>
      <c r="S232">
        <v>4430</v>
      </c>
      <c r="T232">
        <v>2420</v>
      </c>
      <c r="U232">
        <v>3200</v>
      </c>
      <c r="V232">
        <v>30725</v>
      </c>
      <c r="W232" s="6">
        <v>2140</v>
      </c>
      <c r="X232">
        <v>1325</v>
      </c>
      <c r="Y232">
        <v>1800</v>
      </c>
      <c r="Z232" s="6">
        <v>400</v>
      </c>
      <c r="AA232">
        <v>1360</v>
      </c>
      <c r="AB232">
        <v>62</v>
      </c>
      <c r="AC232" s="6">
        <v>150</v>
      </c>
      <c r="AD232" s="6">
        <v>390</v>
      </c>
      <c r="AE232" s="6">
        <v>374</v>
      </c>
      <c r="AF232" s="6">
        <v>820</v>
      </c>
    </row>
    <row r="233" spans="1:32" x14ac:dyDescent="0.3">
      <c r="A233" s="4" t="s">
        <v>139</v>
      </c>
      <c r="B233" s="5">
        <v>8280.83</v>
      </c>
      <c r="C233">
        <v>7225</v>
      </c>
      <c r="D233">
        <v>3870</v>
      </c>
      <c r="E233">
        <v>5375</v>
      </c>
      <c r="F233">
        <v>4450</v>
      </c>
      <c r="G233">
        <v>3580</v>
      </c>
      <c r="H233">
        <v>6550</v>
      </c>
      <c r="I233">
        <v>7950</v>
      </c>
      <c r="J233">
        <v>6600</v>
      </c>
      <c r="K233">
        <v>2290</v>
      </c>
      <c r="L233">
        <v>22650</v>
      </c>
      <c r="M233">
        <v>4380</v>
      </c>
      <c r="N233">
        <v>3790</v>
      </c>
      <c r="O233">
        <v>2250</v>
      </c>
      <c r="P233" s="6">
        <v>510</v>
      </c>
      <c r="Q233">
        <v>3170</v>
      </c>
      <c r="R233">
        <v>1060</v>
      </c>
      <c r="S233">
        <v>4360</v>
      </c>
      <c r="T233">
        <v>2420</v>
      </c>
      <c r="U233">
        <v>3110</v>
      </c>
      <c r="V233">
        <v>30800</v>
      </c>
      <c r="W233" s="6">
        <v>2030</v>
      </c>
      <c r="X233">
        <v>1300</v>
      </c>
      <c r="Y233">
        <v>1785</v>
      </c>
      <c r="Z233" s="6">
        <v>398</v>
      </c>
      <c r="AA233">
        <v>1300</v>
      </c>
      <c r="AB233">
        <v>61</v>
      </c>
      <c r="AC233" s="6">
        <v>148</v>
      </c>
      <c r="AD233" s="6">
        <v>384</v>
      </c>
      <c r="AE233" s="6">
        <v>366</v>
      </c>
      <c r="AF233" s="6">
        <v>795</v>
      </c>
    </row>
    <row r="234" spans="1:32" x14ac:dyDescent="0.3">
      <c r="A234" s="3" t="s">
        <v>140</v>
      </c>
      <c r="B234" s="5">
        <v>8322.23</v>
      </c>
      <c r="C234">
        <v>7325</v>
      </c>
      <c r="D234">
        <v>3970</v>
      </c>
      <c r="E234">
        <v>5300</v>
      </c>
      <c r="F234">
        <v>4500</v>
      </c>
      <c r="G234">
        <v>3600</v>
      </c>
      <c r="H234">
        <v>6650</v>
      </c>
      <c r="I234">
        <v>8025</v>
      </c>
      <c r="J234">
        <v>6575</v>
      </c>
      <c r="K234">
        <v>2370</v>
      </c>
      <c r="L234">
        <v>22575</v>
      </c>
      <c r="M234">
        <v>4460</v>
      </c>
      <c r="N234">
        <v>3820</v>
      </c>
      <c r="O234">
        <v>2290</v>
      </c>
      <c r="P234" s="6">
        <v>515</v>
      </c>
      <c r="Q234">
        <v>3360</v>
      </c>
      <c r="R234">
        <v>1115</v>
      </c>
      <c r="S234">
        <v>4340</v>
      </c>
      <c r="T234">
        <v>2410</v>
      </c>
      <c r="U234">
        <v>3030</v>
      </c>
      <c r="V234">
        <v>31500</v>
      </c>
      <c r="W234" s="6">
        <v>2020</v>
      </c>
      <c r="X234">
        <v>1305</v>
      </c>
      <c r="Y234">
        <v>1735</v>
      </c>
      <c r="Z234" s="6">
        <v>398</v>
      </c>
      <c r="AA234">
        <v>1320</v>
      </c>
      <c r="AB234">
        <v>60</v>
      </c>
      <c r="AC234" s="6">
        <v>150</v>
      </c>
      <c r="AD234" s="6">
        <v>388</v>
      </c>
      <c r="AE234" s="6">
        <v>370</v>
      </c>
      <c r="AF234" s="6">
        <v>795</v>
      </c>
    </row>
    <row r="235" spans="1:32" x14ac:dyDescent="0.3">
      <c r="A235" s="4" t="s">
        <v>141</v>
      </c>
      <c r="B235" s="5">
        <v>8235.26</v>
      </c>
      <c r="C235">
        <v>7300</v>
      </c>
      <c r="D235">
        <v>3950</v>
      </c>
      <c r="E235">
        <v>5325</v>
      </c>
      <c r="F235">
        <v>4460</v>
      </c>
      <c r="G235">
        <v>3650</v>
      </c>
      <c r="H235">
        <v>6725</v>
      </c>
      <c r="I235">
        <v>7900</v>
      </c>
      <c r="J235">
        <v>6725</v>
      </c>
      <c r="K235">
        <v>2320</v>
      </c>
      <c r="L235">
        <v>22450</v>
      </c>
      <c r="M235">
        <v>4330</v>
      </c>
      <c r="N235">
        <v>3640</v>
      </c>
      <c r="O235">
        <v>2300</v>
      </c>
      <c r="P235" s="6">
        <v>510</v>
      </c>
      <c r="Q235">
        <v>3180</v>
      </c>
      <c r="R235">
        <v>1075</v>
      </c>
      <c r="S235">
        <v>4410</v>
      </c>
      <c r="T235">
        <v>2350</v>
      </c>
      <c r="U235">
        <v>2890</v>
      </c>
      <c r="V235">
        <v>30400</v>
      </c>
      <c r="W235" s="6">
        <v>1950</v>
      </c>
      <c r="X235">
        <v>1250</v>
      </c>
      <c r="Y235">
        <v>1720</v>
      </c>
      <c r="Z235" s="6">
        <v>396</v>
      </c>
      <c r="AA235">
        <v>1300</v>
      </c>
      <c r="AB235">
        <v>60</v>
      </c>
      <c r="AC235" s="6">
        <v>146</v>
      </c>
      <c r="AD235" s="6">
        <v>376</v>
      </c>
      <c r="AE235" s="6">
        <v>372</v>
      </c>
      <c r="AF235" s="6">
        <v>770</v>
      </c>
    </row>
    <row r="236" spans="1:32" x14ac:dyDescent="0.3">
      <c r="A236" s="3" t="s">
        <v>142</v>
      </c>
      <c r="B236" s="5">
        <v>8235.49</v>
      </c>
      <c r="C236">
        <v>7175</v>
      </c>
      <c r="D236">
        <v>3910</v>
      </c>
      <c r="E236">
        <v>5275</v>
      </c>
      <c r="F236">
        <v>4400</v>
      </c>
      <c r="G236">
        <v>3540</v>
      </c>
      <c r="H236">
        <v>6675</v>
      </c>
      <c r="I236">
        <v>7850</v>
      </c>
      <c r="J236">
        <v>6450</v>
      </c>
      <c r="K236">
        <v>2340</v>
      </c>
      <c r="L236">
        <v>22775</v>
      </c>
      <c r="M236">
        <v>4350</v>
      </c>
      <c r="N236">
        <v>3750</v>
      </c>
      <c r="O236">
        <v>2390</v>
      </c>
      <c r="P236" s="6">
        <v>505</v>
      </c>
      <c r="Q236">
        <v>3170</v>
      </c>
      <c r="R236">
        <v>1100</v>
      </c>
      <c r="S236">
        <v>4250</v>
      </c>
      <c r="T236">
        <v>2380</v>
      </c>
      <c r="U236">
        <v>2920</v>
      </c>
      <c r="V236">
        <v>28600</v>
      </c>
      <c r="W236" s="6">
        <v>1990</v>
      </c>
      <c r="X236">
        <v>1295</v>
      </c>
      <c r="Y236">
        <v>1670</v>
      </c>
      <c r="Z236" s="6">
        <v>400</v>
      </c>
      <c r="AA236">
        <v>1340</v>
      </c>
      <c r="AB236">
        <v>61</v>
      </c>
      <c r="AC236" s="6">
        <v>146</v>
      </c>
      <c r="AD236" s="6">
        <v>376</v>
      </c>
      <c r="AE236" s="6">
        <v>366</v>
      </c>
      <c r="AF236" s="6">
        <v>770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291FD-4D7E-4D31-806E-70E1BD545E91}">
  <dimension ref="A1:AF236"/>
  <sheetViews>
    <sheetView topLeftCell="N210" workbookViewId="0">
      <selection activeCell="Q3" sqref="Q3:Q236"/>
    </sheetView>
  </sheetViews>
  <sheetFormatPr defaultRowHeight="14.4" x14ac:dyDescent="0.3"/>
  <cols>
    <col min="1" max="1" width="10.5546875" bestFit="1" customWidth="1"/>
  </cols>
  <sheetData>
    <row r="1" spans="1:32" x14ac:dyDescent="0.3">
      <c r="A1" t="s">
        <v>0</v>
      </c>
      <c r="B1" t="s">
        <v>143</v>
      </c>
      <c r="C1" t="s">
        <v>144</v>
      </c>
      <c r="D1" t="s">
        <v>145</v>
      </c>
      <c r="E1" t="s">
        <v>146</v>
      </c>
      <c r="F1" t="s">
        <v>147</v>
      </c>
      <c r="G1" t="s">
        <v>148</v>
      </c>
      <c r="H1" t="s">
        <v>149</v>
      </c>
      <c r="I1" t="s">
        <v>150</v>
      </c>
      <c r="J1" t="s">
        <v>151</v>
      </c>
      <c r="K1" t="s">
        <v>152</v>
      </c>
      <c r="L1" t="s">
        <v>153</v>
      </c>
      <c r="M1" t="s">
        <v>154</v>
      </c>
      <c r="N1" t="s">
        <v>155</v>
      </c>
      <c r="O1" t="s">
        <v>156</v>
      </c>
      <c r="P1" t="s">
        <v>157</v>
      </c>
      <c r="Q1" t="s">
        <v>158</v>
      </c>
      <c r="R1" t="s">
        <v>159</v>
      </c>
      <c r="S1" t="s">
        <v>160</v>
      </c>
      <c r="T1" t="s">
        <v>161</v>
      </c>
      <c r="U1" t="s">
        <v>162</v>
      </c>
      <c r="V1" t="s">
        <v>163</v>
      </c>
      <c r="W1" t="s">
        <v>164</v>
      </c>
      <c r="X1" t="s">
        <v>165</v>
      </c>
      <c r="Y1" t="s">
        <v>166</v>
      </c>
      <c r="Z1" t="s">
        <v>167</v>
      </c>
      <c r="AA1" t="s">
        <v>168</v>
      </c>
      <c r="AB1" t="s">
        <v>169</v>
      </c>
      <c r="AC1" t="s">
        <v>170</v>
      </c>
      <c r="AD1" t="s">
        <v>171</v>
      </c>
      <c r="AE1" t="s">
        <v>172</v>
      </c>
      <c r="AF1" t="s">
        <v>173</v>
      </c>
    </row>
    <row r="2" spans="1:32" x14ac:dyDescent="0.3">
      <c r="A2" s="1">
        <v>45719</v>
      </c>
    </row>
    <row r="3" spans="1:32" x14ac:dyDescent="0.3">
      <c r="A3" s="2">
        <v>45750</v>
      </c>
      <c r="B3">
        <f>('Data Saham'!B3-'Data Saham'!B2)/'Data Saham'!B2</f>
        <v>-2.1360009571051285E-2</v>
      </c>
      <c r="C3">
        <f>('Data Saham'!C3-'Data Saham'!C2)/'Data Saham'!C2</f>
        <v>5.681818181818182E-3</v>
      </c>
      <c r="D3">
        <f>('Data Saham'!D3-'Data Saham'!D2)/'Data Saham'!D2</f>
        <v>0</v>
      </c>
      <c r="E3">
        <f>('Data Saham'!E3-'Data Saham'!E2)/'Data Saham'!E2</f>
        <v>-1.2244897959183673E-2</v>
      </c>
      <c r="F3">
        <f>('Data Saham'!F3-'Data Saham'!F2)/'Data Saham'!F2</f>
        <v>-9.3896713615023476E-3</v>
      </c>
      <c r="G3">
        <f>('Data Saham'!G3-'Data Saham'!G2)/'Data Saham'!G2</f>
        <v>-8.3333333333333332E-3</v>
      </c>
      <c r="H3">
        <f>('Data Saham'!H3-'Data Saham'!H2)/'Data Saham'!H2</f>
        <v>2.136752136752137E-3</v>
      </c>
      <c r="I3">
        <f>('Data Saham'!I3-'Data Saham'!I2)/'Data Saham'!I2</f>
        <v>0</v>
      </c>
      <c r="J3">
        <f>('Data Saham'!J3-'Data Saham'!J2)/'Data Saham'!J2</f>
        <v>-3.4013605442176869E-3</v>
      </c>
      <c r="K3">
        <f>('Data Saham'!K3-'Data Saham'!K2)/'Data Saham'!K2</f>
        <v>-6.8292682926829273E-2</v>
      </c>
      <c r="L3">
        <f>('Data Saham'!L3-'Data Saham'!L2)/'Data Saham'!L2</f>
        <v>-3.9542143600416232E-2</v>
      </c>
      <c r="M3">
        <f>('Data Saham'!M3-'Data Saham'!M2)/'Data Saham'!M2</f>
        <v>-2.8391167192429023E-2</v>
      </c>
      <c r="N3">
        <f>('Data Saham'!N3-'Data Saham'!N2)/'Data Saham'!N2</f>
        <v>-3.6065573770491806E-2</v>
      </c>
      <c r="O3">
        <f>('Data Saham'!O3-'Data Saham'!O2)/'Data Saham'!O2</f>
        <v>0</v>
      </c>
      <c r="P3">
        <f>('Data Saham'!P3-'Data Saham'!P2)/'Data Saham'!P2</f>
        <v>-3.6036036036036036E-2</v>
      </c>
      <c r="Q3">
        <f>('Data Saham'!Q3-'Data Saham'!Q2)/'Data Saham'!Q2</f>
        <v>0</v>
      </c>
      <c r="R3">
        <f>('Data Saham'!R3-'Data Saham'!R2)/'Data Saham'!R2</f>
        <v>0</v>
      </c>
      <c r="S3">
        <f>('Data Saham'!S3-'Data Saham'!S2)/'Data Saham'!S2</f>
        <v>-3.6199095022624438E-2</v>
      </c>
      <c r="T3">
        <f>('Data Saham'!T3-'Data Saham'!T2)/'Data Saham'!T2</f>
        <v>0</v>
      </c>
      <c r="U3">
        <f>('Data Saham'!U3-'Data Saham'!U2)/'Data Saham'!U2</f>
        <v>-5.5555555555555552E-2</v>
      </c>
      <c r="V3">
        <f>('Data Saham'!V3-'Data Saham'!V2)/'Data Saham'!V2</f>
        <v>-1.1148272017837236E-2</v>
      </c>
      <c r="W3">
        <f>('Data Saham'!W3-'Data Saham'!W2)/'Data Saham'!W2</f>
        <v>-2.4390243902439025E-2</v>
      </c>
      <c r="X3">
        <f>('Data Saham'!X3-'Data Saham'!X2)/'Data Saham'!X2</f>
        <v>-2.0242914979757085E-2</v>
      </c>
      <c r="Y3">
        <f>('Data Saham'!Y3-'Data Saham'!Y2)/'Data Saham'!Y2</f>
        <v>1.2711864406779662E-2</v>
      </c>
      <c r="Z3">
        <f>('Data Saham'!Z3-'Data Saham'!Z2)/'Data Saham'!Z2</f>
        <v>-7.462686567164179E-3</v>
      </c>
      <c r="AA3">
        <f>('Data Saham'!AA3-'Data Saham'!AA2)/'Data Saham'!AA2</f>
        <v>-2.8169014084507043E-2</v>
      </c>
      <c r="AB3">
        <f>('Data Saham'!AB3-'Data Saham'!AB2)/'Data Saham'!AB2</f>
        <v>-3.7499999999999999E-2</v>
      </c>
      <c r="AC3">
        <f>('Data Saham'!AC3-'Data Saham'!AC2)/'Data Saham'!AC2</f>
        <v>-4.3165467625899283E-2</v>
      </c>
      <c r="AD3">
        <f>('Data Saham'!AD3-'Data Saham'!AD2)/'Data Saham'!AD2</f>
        <v>-3.6269430051813469E-2</v>
      </c>
      <c r="AE3">
        <f>('Data Saham'!AE3-'Data Saham'!AE2)/'Data Saham'!AE2</f>
        <v>0</v>
      </c>
      <c r="AF3">
        <f>('Data Saham'!AF3-'Data Saham'!AF2)/'Data Saham'!AF2</f>
        <v>-1.2195121951219513E-2</v>
      </c>
    </row>
    <row r="4" spans="1:32" x14ac:dyDescent="0.3">
      <c r="A4" s="1">
        <v>45780</v>
      </c>
      <c r="B4">
        <f>('Data Saham'!B4-'Data Saham'!B3)/'Data Saham'!B3</f>
        <v>2.3666227822707043E-2</v>
      </c>
      <c r="C4">
        <f>('Data Saham'!C4-'Data Saham'!C3)/'Data Saham'!C3</f>
        <v>1.6949152542372881E-2</v>
      </c>
      <c r="D4">
        <f>('Data Saham'!D4-'Data Saham'!D3)/'Data Saham'!D3</f>
        <v>4.632152588555858E-2</v>
      </c>
      <c r="E4">
        <f>('Data Saham'!E4-'Data Saham'!E3)/'Data Saham'!E3</f>
        <v>4.1322314049586778E-3</v>
      </c>
      <c r="F4">
        <f>('Data Saham'!F4-'Data Saham'!F3)/'Data Saham'!F3</f>
        <v>5.6872037914691941E-2</v>
      </c>
      <c r="G4">
        <f>('Data Saham'!G4-'Data Saham'!G3)/'Data Saham'!G3</f>
        <v>2.9411764705882353E-2</v>
      </c>
      <c r="H4">
        <f>('Data Saham'!H4-'Data Saham'!H3)/'Data Saham'!H3</f>
        <v>4.4776119402985072E-2</v>
      </c>
      <c r="I4">
        <f>('Data Saham'!I4-'Data Saham'!I3)/'Data Saham'!I3</f>
        <v>-1.6548463356973995E-2</v>
      </c>
      <c r="J4">
        <f>('Data Saham'!J4-'Data Saham'!J3)/'Data Saham'!J3</f>
        <v>1.3651877133105802E-2</v>
      </c>
      <c r="K4">
        <f>('Data Saham'!K4-'Data Saham'!K3)/'Data Saham'!K3</f>
        <v>-5.235602094240838E-3</v>
      </c>
      <c r="L4">
        <f>('Data Saham'!L4-'Data Saham'!L3)/'Data Saham'!L3</f>
        <v>6.5005417118093175E-3</v>
      </c>
      <c r="M4">
        <f>('Data Saham'!M4-'Data Saham'!M3)/'Data Saham'!M3</f>
        <v>5.1948051948051951E-2</v>
      </c>
      <c r="N4">
        <f>('Data Saham'!N4-'Data Saham'!N3)/'Data Saham'!N3</f>
        <v>6.8027210884353739E-3</v>
      </c>
      <c r="O4">
        <f>('Data Saham'!O4-'Data Saham'!O3)/'Data Saham'!O3</f>
        <v>0</v>
      </c>
      <c r="P4">
        <f>('Data Saham'!P4-'Data Saham'!P3)/'Data Saham'!P3</f>
        <v>1.8691588785046728E-2</v>
      </c>
      <c r="Q4">
        <f>('Data Saham'!Q4-'Data Saham'!Q3)/'Data Saham'!Q3</f>
        <v>2.2522522522522521E-2</v>
      </c>
      <c r="R4">
        <f>('Data Saham'!R4-'Data Saham'!R3)/'Data Saham'!R3</f>
        <v>-1.8018018018018018E-2</v>
      </c>
      <c r="S4">
        <f>('Data Saham'!S4-'Data Saham'!S3)/'Data Saham'!S3</f>
        <v>0.12441314553990611</v>
      </c>
      <c r="T4">
        <f>('Data Saham'!T4-'Data Saham'!T3)/'Data Saham'!T3</f>
        <v>4.4554455445544552E-2</v>
      </c>
      <c r="U4">
        <f>('Data Saham'!U4-'Data Saham'!U3)/'Data Saham'!U3</f>
        <v>2.7149321266968326E-2</v>
      </c>
      <c r="V4">
        <f>('Data Saham'!V4-'Data Saham'!V3)/'Data Saham'!V3</f>
        <v>6.7643742953776773E-2</v>
      </c>
      <c r="W4">
        <f>('Data Saham'!W4-'Data Saham'!W3)/'Data Saham'!W3</f>
        <v>-6.2500000000000003E-3</v>
      </c>
      <c r="X4">
        <f>('Data Saham'!X4-'Data Saham'!X3)/'Data Saham'!X3</f>
        <v>-4.1322314049586778E-3</v>
      </c>
      <c r="Y4">
        <f>('Data Saham'!Y4-'Data Saham'!Y3)/'Data Saham'!Y3</f>
        <v>0</v>
      </c>
      <c r="Z4">
        <f>('Data Saham'!Z4-'Data Saham'!Z3)/'Data Saham'!Z3</f>
        <v>2.2556390977443608E-2</v>
      </c>
      <c r="AA4">
        <f>('Data Saham'!AA4-'Data Saham'!AA3)/'Data Saham'!AA3</f>
        <v>3.2608695652173912E-2</v>
      </c>
      <c r="AB4">
        <f>('Data Saham'!AB4-'Data Saham'!AB3)/'Data Saham'!AB3</f>
        <v>6.4935064935064929E-2</v>
      </c>
      <c r="AC4">
        <f>('Data Saham'!AC4-'Data Saham'!AC3)/'Data Saham'!AC3</f>
        <v>1.5037593984962405E-2</v>
      </c>
      <c r="AD4">
        <f>('Data Saham'!AD4-'Data Saham'!AD3)/'Data Saham'!AD3</f>
        <v>5.3763440860215058E-3</v>
      </c>
      <c r="AE4">
        <f>('Data Saham'!AE4-'Data Saham'!AE3)/'Data Saham'!AE3</f>
        <v>3.1578947368421054E-2</v>
      </c>
      <c r="AF4">
        <f>('Data Saham'!AF4-'Data Saham'!AF3)/'Data Saham'!AF3</f>
        <v>3.0864197530864196E-2</v>
      </c>
    </row>
    <row r="5" spans="1:32" x14ac:dyDescent="0.3">
      <c r="A5" s="2">
        <v>45811</v>
      </c>
      <c r="B5">
        <f>('Data Saham'!B5-'Data Saham'!B4)/'Data Saham'!B4</f>
        <v>1.3236059650304794E-2</v>
      </c>
      <c r="C5">
        <f>('Data Saham'!C5-'Data Saham'!C4)/'Data Saham'!C4</f>
        <v>-2.7777777777777779E-3</v>
      </c>
      <c r="D5">
        <f>('Data Saham'!D5-'Data Saham'!D4)/'Data Saham'!D4</f>
        <v>2.8645833333333332E-2</v>
      </c>
      <c r="E5">
        <f>('Data Saham'!E5-'Data Saham'!E4)/'Data Saham'!E4</f>
        <v>2.05761316872428E-3</v>
      </c>
      <c r="F5">
        <f>('Data Saham'!F5-'Data Saham'!F4)/'Data Saham'!F4</f>
        <v>2.914798206278027E-2</v>
      </c>
      <c r="G5">
        <f>('Data Saham'!G5-'Data Saham'!G4)/'Data Saham'!G4</f>
        <v>-2.0408163265306121E-2</v>
      </c>
      <c r="H5">
        <f>('Data Saham'!H5-'Data Saham'!H4)/'Data Saham'!H4</f>
        <v>0</v>
      </c>
      <c r="I5">
        <f>('Data Saham'!I5-'Data Saham'!I4)/'Data Saham'!I4</f>
        <v>-4.807692307692308E-3</v>
      </c>
      <c r="J5">
        <f>('Data Saham'!J5-'Data Saham'!J4)/'Data Saham'!J4</f>
        <v>-1.6835016835016835E-2</v>
      </c>
      <c r="K5">
        <f>('Data Saham'!K5-'Data Saham'!K4)/'Data Saham'!K4</f>
        <v>7.8947368421052627E-2</v>
      </c>
      <c r="L5">
        <f>('Data Saham'!L5-'Data Saham'!L4)/'Data Saham'!L4</f>
        <v>1.1840688912809472E-2</v>
      </c>
      <c r="M5">
        <f>('Data Saham'!M5-'Data Saham'!M4)/'Data Saham'!M4</f>
        <v>3.0864197530864196E-3</v>
      </c>
      <c r="N5">
        <f>('Data Saham'!N5-'Data Saham'!N4)/'Data Saham'!N4</f>
        <v>-3.3783783783783786E-3</v>
      </c>
      <c r="O5">
        <f>('Data Saham'!O5-'Data Saham'!O4)/'Data Saham'!O4</f>
        <v>-9.8684210526315784E-3</v>
      </c>
      <c r="P5">
        <f>('Data Saham'!P5-'Data Saham'!P4)/'Data Saham'!P4</f>
        <v>-1.834862385321101E-2</v>
      </c>
      <c r="Q5">
        <f>('Data Saham'!Q5-'Data Saham'!Q4)/'Data Saham'!Q4</f>
        <v>-8.8105726872246704E-3</v>
      </c>
      <c r="R5">
        <f>('Data Saham'!R5-'Data Saham'!R4)/'Data Saham'!R4</f>
        <v>5.5045871559633031E-2</v>
      </c>
      <c r="S5">
        <f>('Data Saham'!S5-'Data Saham'!S4)/'Data Saham'!S4</f>
        <v>-8.3507306889352817E-2</v>
      </c>
      <c r="T5">
        <f>('Data Saham'!T5-'Data Saham'!T4)/'Data Saham'!T4</f>
        <v>9.4786729857819912E-3</v>
      </c>
      <c r="U5">
        <f>('Data Saham'!U5-'Data Saham'!U4)/'Data Saham'!U4</f>
        <v>2.643171806167401E-2</v>
      </c>
      <c r="V5">
        <f>('Data Saham'!V5-'Data Saham'!V4)/'Data Saham'!V4</f>
        <v>5.2798310454065467E-2</v>
      </c>
      <c r="W5">
        <f>('Data Saham'!W5-'Data Saham'!W4)/'Data Saham'!W4</f>
        <v>2.5157232704402517E-2</v>
      </c>
      <c r="X5">
        <f>('Data Saham'!X5-'Data Saham'!X4)/'Data Saham'!X4</f>
        <v>6.2240663900414939E-2</v>
      </c>
      <c r="Y5">
        <f>('Data Saham'!Y5-'Data Saham'!Y4)/'Data Saham'!Y4</f>
        <v>-8.368200836820083E-3</v>
      </c>
      <c r="Z5">
        <f>('Data Saham'!Z5-'Data Saham'!Z4)/'Data Saham'!Z4</f>
        <v>-7.3529411764705881E-3</v>
      </c>
      <c r="AA5">
        <f>('Data Saham'!AA5-'Data Saham'!AA4)/'Data Saham'!AA4</f>
        <v>7.0175438596491229E-3</v>
      </c>
      <c r="AB5">
        <f>('Data Saham'!AB5-'Data Saham'!AB4)/'Data Saham'!AB4</f>
        <v>0</v>
      </c>
      <c r="AC5">
        <f>('Data Saham'!AC5-'Data Saham'!AC4)/'Data Saham'!AC4</f>
        <v>5.9259259259259262E-2</v>
      </c>
      <c r="AD5">
        <f>('Data Saham'!AD5-'Data Saham'!AD4)/'Data Saham'!AD4</f>
        <v>2.1390374331550801E-2</v>
      </c>
      <c r="AE5">
        <f>('Data Saham'!AE5-'Data Saham'!AE4)/'Data Saham'!AE4</f>
        <v>4.5918367346938778E-2</v>
      </c>
      <c r="AF5">
        <f>('Data Saham'!AF5-'Data Saham'!AF4)/'Data Saham'!AF4</f>
        <v>4.1916167664670656E-2</v>
      </c>
    </row>
    <row r="6" spans="1:32" x14ac:dyDescent="0.3">
      <c r="A6" s="1">
        <v>45841</v>
      </c>
      <c r="B6">
        <f>('Data Saham'!B6-'Data Saham'!B5)/'Data Saham'!B5</f>
        <v>2.7425825608014135E-3</v>
      </c>
      <c r="C6">
        <f>('Data Saham'!C6-'Data Saham'!C5)/'Data Saham'!C5</f>
        <v>-5.5710306406685237E-3</v>
      </c>
      <c r="D6">
        <f>('Data Saham'!D6-'Data Saham'!D5)/'Data Saham'!D5</f>
        <v>-3.5443037974683546E-2</v>
      </c>
      <c r="E6">
        <f>('Data Saham'!E6-'Data Saham'!E5)/'Data Saham'!E5</f>
        <v>-6.1601642710472282E-3</v>
      </c>
      <c r="F6">
        <f>('Data Saham'!F6-'Data Saham'!F5)/'Data Saham'!F5</f>
        <v>-1.0893246187363835E-2</v>
      </c>
      <c r="G6">
        <f>('Data Saham'!G6-'Data Saham'!G5)/'Data Saham'!G5</f>
        <v>4.1666666666666666E-3</v>
      </c>
      <c r="H6">
        <f>('Data Saham'!H6-'Data Saham'!H5)/'Data Saham'!H5</f>
        <v>6.1224489795918364E-3</v>
      </c>
      <c r="I6">
        <f>('Data Saham'!I6-'Data Saham'!I5)/'Data Saham'!I5</f>
        <v>1.932367149758454E-2</v>
      </c>
      <c r="J6">
        <f>('Data Saham'!J6-'Data Saham'!J5)/'Data Saham'!J5</f>
        <v>-6.8493150684931503E-3</v>
      </c>
      <c r="K6">
        <f>('Data Saham'!K6-'Data Saham'!K5)/'Data Saham'!K5</f>
        <v>-2.4390243902439025E-2</v>
      </c>
      <c r="L6">
        <f>('Data Saham'!L6-'Data Saham'!L5)/'Data Saham'!L5</f>
        <v>8.5106382978723406E-3</v>
      </c>
      <c r="M6">
        <f>('Data Saham'!M6-'Data Saham'!M5)/'Data Saham'!M5</f>
        <v>3.0769230769230769E-3</v>
      </c>
      <c r="N6">
        <f>('Data Saham'!N6-'Data Saham'!N5)/'Data Saham'!N5</f>
        <v>3.7288135593220341E-2</v>
      </c>
      <c r="O6">
        <f>('Data Saham'!O6-'Data Saham'!O5)/'Data Saham'!O5</f>
        <v>3.3222591362126247E-3</v>
      </c>
      <c r="P6">
        <f>('Data Saham'!P6-'Data Saham'!P5)/'Data Saham'!P5</f>
        <v>0</v>
      </c>
      <c r="Q6">
        <f>('Data Saham'!Q6-'Data Saham'!Q5)/'Data Saham'!Q5</f>
        <v>0</v>
      </c>
      <c r="R6">
        <f>('Data Saham'!R6-'Data Saham'!R5)/'Data Saham'!R5</f>
        <v>8.6956521739130436E-3</v>
      </c>
      <c r="S6">
        <f>('Data Saham'!S6-'Data Saham'!S5)/'Data Saham'!S5</f>
        <v>-1.8223234624145785E-2</v>
      </c>
      <c r="T6">
        <f>('Data Saham'!T6-'Data Saham'!T5)/'Data Saham'!T5</f>
        <v>-4.6948356807511738E-3</v>
      </c>
      <c r="U6">
        <f>('Data Saham'!U6-'Data Saham'!U5)/'Data Saham'!U5</f>
        <v>1.2875536480686695E-2</v>
      </c>
      <c r="V6">
        <f>('Data Saham'!V6-'Data Saham'!V5)/'Data Saham'!V5</f>
        <v>-3.5105315947843531E-2</v>
      </c>
      <c r="W6">
        <f>('Data Saham'!W6-'Data Saham'!W5)/'Data Saham'!W5</f>
        <v>6.1349693251533744E-3</v>
      </c>
      <c r="X6">
        <f>('Data Saham'!X6-'Data Saham'!X5)/'Data Saham'!X5</f>
        <v>1.953125E-2</v>
      </c>
      <c r="Y6">
        <f>('Data Saham'!Y6-'Data Saham'!Y5)/'Data Saham'!Y5</f>
        <v>2.1097046413502109E-2</v>
      </c>
      <c r="Z6">
        <f>('Data Saham'!Z6-'Data Saham'!Z5)/'Data Saham'!Z5</f>
        <v>-7.4074074074074077E-3</v>
      </c>
      <c r="AA6">
        <f>('Data Saham'!AA6-'Data Saham'!AA5)/'Data Saham'!AA5</f>
        <v>1.3937282229965157E-2</v>
      </c>
      <c r="AB6">
        <f>('Data Saham'!AB6-'Data Saham'!AB5)/'Data Saham'!AB5</f>
        <v>4.878048780487805E-2</v>
      </c>
      <c r="AC6">
        <f>('Data Saham'!AC6-'Data Saham'!AC5)/'Data Saham'!AC5</f>
        <v>-3.4965034965034968E-2</v>
      </c>
      <c r="AD6">
        <f>('Data Saham'!AD6-'Data Saham'!AD5)/'Data Saham'!AD5</f>
        <v>1.5706806282722512E-2</v>
      </c>
      <c r="AE6">
        <f>('Data Saham'!AE6-'Data Saham'!AE5)/'Data Saham'!AE5</f>
        <v>9.7560975609756097E-3</v>
      </c>
      <c r="AF6">
        <f>('Data Saham'!AF6-'Data Saham'!AF5)/'Data Saham'!AF5</f>
        <v>1.1494252873563218E-2</v>
      </c>
    </row>
    <row r="7" spans="1:32" x14ac:dyDescent="0.3">
      <c r="A7" s="2">
        <v>45933</v>
      </c>
      <c r="B7">
        <f>('Data Saham'!B7-'Data Saham'!B6)/'Data Saham'!B6</f>
        <v>-5.6946955997588854E-3</v>
      </c>
      <c r="C7">
        <f>('Data Saham'!C7-'Data Saham'!C6)/'Data Saham'!C6</f>
        <v>0</v>
      </c>
      <c r="D7">
        <f>('Data Saham'!D7-'Data Saham'!D6)/'Data Saham'!D6</f>
        <v>-1.3123359580052493E-2</v>
      </c>
      <c r="E7">
        <f>('Data Saham'!E7-'Data Saham'!E6)/'Data Saham'!E6</f>
        <v>-2.6859504132231406E-2</v>
      </c>
      <c r="F7">
        <f>('Data Saham'!F7-'Data Saham'!F6)/'Data Saham'!F6</f>
        <v>-1.9823788546255508E-2</v>
      </c>
      <c r="G7">
        <f>('Data Saham'!G7-'Data Saham'!G6)/'Data Saham'!G6</f>
        <v>-8.2987551867219917E-3</v>
      </c>
      <c r="H7">
        <f>('Data Saham'!H7-'Data Saham'!H6)/'Data Saham'!H6</f>
        <v>-3.2454361054766734E-2</v>
      </c>
      <c r="I7">
        <f>('Data Saham'!I7-'Data Saham'!I6)/'Data Saham'!I6</f>
        <v>4.7393364928909956E-3</v>
      </c>
      <c r="J7">
        <f>('Data Saham'!J7-'Data Saham'!J6)/'Data Saham'!J6</f>
        <v>4.1379310344827586E-2</v>
      </c>
      <c r="K7">
        <f>('Data Saham'!K7-'Data Saham'!K6)/'Data Saham'!K6</f>
        <v>-4.2500000000000003E-2</v>
      </c>
      <c r="L7">
        <f>('Data Saham'!L7-'Data Saham'!L6)/'Data Saham'!L6</f>
        <v>6.3291139240506328E-3</v>
      </c>
      <c r="M7">
        <f>('Data Saham'!M7-'Data Saham'!M6)/'Data Saham'!M6</f>
        <v>-8.5889570552147243E-2</v>
      </c>
      <c r="N7">
        <f>('Data Saham'!N7-'Data Saham'!N6)/'Data Saham'!N6</f>
        <v>-8.4967320261437912E-2</v>
      </c>
      <c r="O7">
        <f>('Data Saham'!O7-'Data Saham'!O6)/'Data Saham'!O6</f>
        <v>-1.6556291390728478E-2</v>
      </c>
      <c r="P7">
        <f>('Data Saham'!P7-'Data Saham'!P6)/'Data Saham'!P6</f>
        <v>-1.8691588785046728E-2</v>
      </c>
      <c r="Q7">
        <f>('Data Saham'!Q7-'Data Saham'!Q6)/'Data Saham'!Q6</f>
        <v>8.8888888888888889E-3</v>
      </c>
      <c r="R7">
        <f>('Data Saham'!R7-'Data Saham'!R6)/'Data Saham'!R6</f>
        <v>-6.8965517241379309E-2</v>
      </c>
      <c r="S7">
        <f>('Data Saham'!S7-'Data Saham'!S6)/'Data Saham'!S6</f>
        <v>4.8723897911832945E-2</v>
      </c>
      <c r="T7">
        <f>('Data Saham'!T7-'Data Saham'!T6)/'Data Saham'!T6</f>
        <v>2.8301886792452831E-2</v>
      </c>
      <c r="U7">
        <f>('Data Saham'!U7-'Data Saham'!U6)/'Data Saham'!U6</f>
        <v>3.3898305084745763E-2</v>
      </c>
      <c r="V7">
        <f>('Data Saham'!V7-'Data Saham'!V6)/'Data Saham'!V6</f>
        <v>-1.6632016632016633E-2</v>
      </c>
      <c r="W7">
        <f>('Data Saham'!W7-'Data Saham'!W6)/'Data Saham'!W6</f>
        <v>-1.2195121951219513E-2</v>
      </c>
      <c r="X7">
        <f>('Data Saham'!X7-'Data Saham'!X6)/'Data Saham'!X6</f>
        <v>-1.1494252873563218E-2</v>
      </c>
      <c r="Y7">
        <f>('Data Saham'!Y7-'Data Saham'!Y6)/'Data Saham'!Y6</f>
        <v>8.2644628099173556E-3</v>
      </c>
      <c r="Z7">
        <f>('Data Saham'!Z7-'Data Saham'!Z6)/'Data Saham'!Z6</f>
        <v>7.462686567164179E-3</v>
      </c>
      <c r="AA7">
        <f>('Data Saham'!AA7-'Data Saham'!AA6)/'Data Saham'!AA6</f>
        <v>1.7182130584192441E-2</v>
      </c>
      <c r="AB7">
        <f>('Data Saham'!AB7-'Data Saham'!AB6)/'Data Saham'!AB6</f>
        <v>-1.1627906976744186E-2</v>
      </c>
      <c r="AC7">
        <f>('Data Saham'!AC7-'Data Saham'!AC6)/'Data Saham'!AC6</f>
        <v>0</v>
      </c>
      <c r="AD7">
        <f>('Data Saham'!AD7-'Data Saham'!AD6)/'Data Saham'!AD6</f>
        <v>0</v>
      </c>
      <c r="AE7">
        <f>('Data Saham'!AE7-'Data Saham'!AE6)/'Data Saham'!AE6</f>
        <v>-1.4492753623188406E-2</v>
      </c>
      <c r="AF7">
        <f>('Data Saham'!AF7-'Data Saham'!AF6)/'Data Saham'!AF6</f>
        <v>-1.7045454545454544E-2</v>
      </c>
    </row>
    <row r="8" spans="1:32" x14ac:dyDescent="0.3">
      <c r="A8" s="1">
        <v>45964</v>
      </c>
      <c r="B8">
        <f>('Data Saham'!B8-'Data Saham'!B7)/'Data Saham'!B7</f>
        <v>-7.935485533197591E-3</v>
      </c>
      <c r="C8">
        <f>('Data Saham'!C8-'Data Saham'!C7)/'Data Saham'!C7</f>
        <v>0</v>
      </c>
      <c r="D8">
        <f>('Data Saham'!D8-'Data Saham'!D7)/'Data Saham'!D7</f>
        <v>7.9787234042553185E-3</v>
      </c>
      <c r="E8">
        <f>('Data Saham'!E8-'Data Saham'!E7)/'Data Saham'!E7</f>
        <v>6.369426751592357E-3</v>
      </c>
      <c r="F8">
        <f>('Data Saham'!F8-'Data Saham'!F7)/'Data Saham'!F7</f>
        <v>0</v>
      </c>
      <c r="G8">
        <f>('Data Saham'!G8-'Data Saham'!G7)/'Data Saham'!G7</f>
        <v>-8.368200836820083E-3</v>
      </c>
      <c r="H8">
        <f>('Data Saham'!H8-'Data Saham'!H7)/'Data Saham'!H7</f>
        <v>6.2893081761006293E-3</v>
      </c>
      <c r="I8">
        <f>('Data Saham'!I8-'Data Saham'!I7)/'Data Saham'!I7</f>
        <v>-1.6509433962264151E-2</v>
      </c>
      <c r="J8">
        <f>('Data Saham'!J8-'Data Saham'!J7)/'Data Saham'!J7</f>
        <v>-3.6423841059602648E-2</v>
      </c>
      <c r="K8">
        <f>('Data Saham'!K8-'Data Saham'!K7)/'Data Saham'!K7</f>
        <v>-3.3942558746736295E-2</v>
      </c>
      <c r="L8">
        <f>('Data Saham'!L8-'Data Saham'!L7)/'Data Saham'!L7</f>
        <v>2.0964360587002098E-3</v>
      </c>
      <c r="M8">
        <f>('Data Saham'!M8-'Data Saham'!M7)/'Data Saham'!M7</f>
        <v>2.0134228187919462E-2</v>
      </c>
      <c r="N8">
        <f>('Data Saham'!N8-'Data Saham'!N7)/'Data Saham'!N7</f>
        <v>-6.4285714285714279E-2</v>
      </c>
      <c r="O8">
        <f>('Data Saham'!O8-'Data Saham'!O7)/'Data Saham'!O7</f>
        <v>-2.3569023569023569E-2</v>
      </c>
      <c r="P8">
        <f>('Data Saham'!P8-'Data Saham'!P7)/'Data Saham'!P7</f>
        <v>-2.8571428571428571E-2</v>
      </c>
      <c r="Q8">
        <f>('Data Saham'!Q8-'Data Saham'!Q7)/'Data Saham'!Q7</f>
        <v>-4.4052863436123352E-3</v>
      </c>
      <c r="R8">
        <f>('Data Saham'!R8-'Data Saham'!R7)/'Data Saham'!R7</f>
        <v>-1.8518518518518517E-2</v>
      </c>
      <c r="S8">
        <f>('Data Saham'!S8-'Data Saham'!S7)/'Data Saham'!S7</f>
        <v>-4.6460176991150445E-2</v>
      </c>
      <c r="T8">
        <f>('Data Saham'!T8-'Data Saham'!T7)/'Data Saham'!T7</f>
        <v>-2.7522935779816515E-2</v>
      </c>
      <c r="U8">
        <f>('Data Saham'!U8-'Data Saham'!U7)/'Data Saham'!U7</f>
        <v>-4.5081967213114756E-2</v>
      </c>
      <c r="V8">
        <f>('Data Saham'!V8-'Data Saham'!V7)/'Data Saham'!V7</f>
        <v>2.1141649048625794E-3</v>
      </c>
      <c r="W8">
        <f>('Data Saham'!W8-'Data Saham'!W7)/'Data Saham'!W7</f>
        <v>-1.2345679012345678E-2</v>
      </c>
      <c r="X8">
        <f>('Data Saham'!X8-'Data Saham'!X7)/'Data Saham'!X7</f>
        <v>-7.7519379844961239E-3</v>
      </c>
      <c r="Y8">
        <f>('Data Saham'!Y8-'Data Saham'!Y7)/'Data Saham'!Y7</f>
        <v>-4.9180327868852458E-2</v>
      </c>
      <c r="Z8">
        <f>('Data Saham'!Z8-'Data Saham'!Z7)/'Data Saham'!Z7</f>
        <v>-1.4814814814814815E-2</v>
      </c>
      <c r="AA8">
        <f>('Data Saham'!AA8-'Data Saham'!AA7)/'Data Saham'!AA7</f>
        <v>-1.0135135135135136E-2</v>
      </c>
      <c r="AB8">
        <f>('Data Saham'!AB8-'Data Saham'!AB7)/'Data Saham'!AB7</f>
        <v>-5.8823529411764705E-2</v>
      </c>
      <c r="AC8">
        <f>('Data Saham'!AC8-'Data Saham'!AC7)/'Data Saham'!AC7</f>
        <v>-2.8985507246376812E-2</v>
      </c>
      <c r="AD8">
        <f>('Data Saham'!AD8-'Data Saham'!AD7)/'Data Saham'!AD7</f>
        <v>-1.5463917525773196E-2</v>
      </c>
      <c r="AE8">
        <f>('Data Saham'!AE8-'Data Saham'!AE7)/'Data Saham'!AE7</f>
        <v>-2.4509803921568627E-2</v>
      </c>
      <c r="AF8">
        <f>('Data Saham'!AF8-'Data Saham'!AF7)/'Data Saham'!AF7</f>
        <v>-2.8901734104046242E-2</v>
      </c>
    </row>
    <row r="9" spans="1:32" x14ac:dyDescent="0.3">
      <c r="A9" s="2">
        <v>45994</v>
      </c>
      <c r="B9">
        <f>('Data Saham'!B9-'Data Saham'!B8)/'Data Saham'!B8</f>
        <v>1.8208483237471006E-2</v>
      </c>
      <c r="C9">
        <f>('Data Saham'!C9-'Data Saham'!C8)/'Data Saham'!C8</f>
        <v>2.2408963585434174E-2</v>
      </c>
      <c r="D9">
        <f>('Data Saham'!D9-'Data Saham'!D8)/'Data Saham'!D8</f>
        <v>2.6385224274406333E-2</v>
      </c>
      <c r="E9">
        <f>('Data Saham'!E9-'Data Saham'!E8)/'Data Saham'!E8</f>
        <v>2.9535864978902954E-2</v>
      </c>
      <c r="F9">
        <f>('Data Saham'!F9-'Data Saham'!F8)/'Data Saham'!F8</f>
        <v>1.7977528089887642E-2</v>
      </c>
      <c r="G9">
        <f>('Data Saham'!G9-'Data Saham'!G8)/'Data Saham'!G8</f>
        <v>3.3755274261603373E-2</v>
      </c>
      <c r="H9">
        <f>('Data Saham'!H9-'Data Saham'!H8)/'Data Saham'!H8</f>
        <v>2.0833333333333333E-3</v>
      </c>
      <c r="I9">
        <f>('Data Saham'!I9-'Data Saham'!I8)/'Data Saham'!I8</f>
        <v>4.7961630695443645E-2</v>
      </c>
      <c r="J9">
        <f>('Data Saham'!J9-'Data Saham'!J8)/'Data Saham'!J8</f>
        <v>2.7491408934707903E-2</v>
      </c>
      <c r="K9">
        <f>('Data Saham'!K9-'Data Saham'!K8)/'Data Saham'!K8</f>
        <v>0</v>
      </c>
      <c r="L9">
        <f>('Data Saham'!L9-'Data Saham'!L8)/'Data Saham'!L8</f>
        <v>-2.615062761506276E-2</v>
      </c>
      <c r="M9">
        <f>('Data Saham'!M9-'Data Saham'!M8)/'Data Saham'!M8</f>
        <v>1.6447368421052631E-2</v>
      </c>
      <c r="N9">
        <f>('Data Saham'!N9-'Data Saham'!N8)/'Data Saham'!N8</f>
        <v>1.5267175572519083E-2</v>
      </c>
      <c r="O9">
        <f>('Data Saham'!O9-'Data Saham'!O8)/'Data Saham'!O8</f>
        <v>4.1379310344827586E-2</v>
      </c>
      <c r="P9">
        <f>('Data Saham'!P9-'Data Saham'!P8)/'Data Saham'!P8</f>
        <v>0</v>
      </c>
      <c r="Q9">
        <f>('Data Saham'!Q9-'Data Saham'!Q8)/'Data Saham'!Q8</f>
        <v>4.4247787610619468E-3</v>
      </c>
      <c r="R9">
        <f>('Data Saham'!R9-'Data Saham'!R8)/'Data Saham'!R8</f>
        <v>9.433962264150943E-3</v>
      </c>
      <c r="S9">
        <f>('Data Saham'!S9-'Data Saham'!S8)/'Data Saham'!S8</f>
        <v>1.1600928074245939E-2</v>
      </c>
      <c r="T9">
        <f>('Data Saham'!T9-'Data Saham'!T8)/'Data Saham'!T8</f>
        <v>0</v>
      </c>
      <c r="U9">
        <f>('Data Saham'!U9-'Data Saham'!U8)/'Data Saham'!U8</f>
        <v>4.2918454935622317E-3</v>
      </c>
      <c r="V9">
        <f>('Data Saham'!V9-'Data Saham'!V8)/'Data Saham'!V8</f>
        <v>-1.4767932489451477E-2</v>
      </c>
      <c r="W9">
        <f>('Data Saham'!W9-'Data Saham'!W8)/'Data Saham'!W8</f>
        <v>-6.2500000000000003E-3</v>
      </c>
      <c r="X9">
        <f>('Data Saham'!X9-'Data Saham'!X8)/'Data Saham'!X8</f>
        <v>1.953125E-2</v>
      </c>
      <c r="Y9">
        <f>('Data Saham'!Y9-'Data Saham'!Y8)/'Data Saham'!Y8</f>
        <v>3.4482758620689655E-2</v>
      </c>
      <c r="Z9">
        <f>('Data Saham'!Z9-'Data Saham'!Z8)/'Data Saham'!Z8</f>
        <v>-1.5037593984962405E-2</v>
      </c>
      <c r="AA9">
        <f>('Data Saham'!AA9-'Data Saham'!AA8)/'Data Saham'!AA8</f>
        <v>6.4846416382252553E-2</v>
      </c>
      <c r="AB9">
        <f>('Data Saham'!AB9-'Data Saham'!AB8)/'Data Saham'!AB8</f>
        <v>3.7499999999999999E-2</v>
      </c>
      <c r="AC9">
        <f>('Data Saham'!AC9-'Data Saham'!AC8)/'Data Saham'!AC8</f>
        <v>-7.462686567164179E-3</v>
      </c>
      <c r="AD9">
        <f>('Data Saham'!AD9-'Data Saham'!AD8)/'Data Saham'!AD8</f>
        <v>1.5706806282722512E-2</v>
      </c>
      <c r="AE9">
        <f>('Data Saham'!AE9-'Data Saham'!AE8)/'Data Saham'!AE8</f>
        <v>0</v>
      </c>
      <c r="AF9">
        <f>('Data Saham'!AF9-'Data Saham'!AF8)/'Data Saham'!AF8</f>
        <v>5.9523809523809521E-3</v>
      </c>
    </row>
    <row r="10" spans="1:32" x14ac:dyDescent="0.3">
      <c r="A10" s="3" t="s">
        <v>1</v>
      </c>
      <c r="B10">
        <f>('Data Saham'!B10-'Data Saham'!B9)/'Data Saham'!B9</f>
        <v>-2.6436450493920352E-3</v>
      </c>
      <c r="C10">
        <f>('Data Saham'!C10-'Data Saham'!C9)/'Data Saham'!C9</f>
        <v>-1.643835616438356E-2</v>
      </c>
      <c r="D10">
        <f>('Data Saham'!D10-'Data Saham'!D9)/'Data Saham'!D9</f>
        <v>-2.313624678663239E-2</v>
      </c>
      <c r="E10">
        <f>('Data Saham'!E10-'Data Saham'!E9)/'Data Saham'!E9</f>
        <v>-2.8688524590163935E-2</v>
      </c>
      <c r="F10">
        <f>('Data Saham'!F10-'Data Saham'!F9)/'Data Saham'!F9</f>
        <v>0</v>
      </c>
      <c r="G10">
        <f>('Data Saham'!G10-'Data Saham'!G9)/'Data Saham'!G9</f>
        <v>-8.1632653061224497E-3</v>
      </c>
      <c r="H10">
        <f>('Data Saham'!H10-'Data Saham'!H9)/'Data Saham'!H9</f>
        <v>-1.6632016632016633E-2</v>
      </c>
      <c r="I10">
        <f>('Data Saham'!I10-'Data Saham'!I9)/'Data Saham'!I9</f>
        <v>6.8649885583524023E-3</v>
      </c>
      <c r="J10">
        <f>('Data Saham'!J10-'Data Saham'!J9)/'Data Saham'!J9</f>
        <v>-2.3411371237458192E-2</v>
      </c>
      <c r="K10">
        <f>('Data Saham'!K10-'Data Saham'!K9)/'Data Saham'!K9</f>
        <v>8.1081081081081086E-3</v>
      </c>
      <c r="L10">
        <f>('Data Saham'!L10-'Data Saham'!L9)/'Data Saham'!L9</f>
        <v>5.3705692803437165E-3</v>
      </c>
      <c r="M10">
        <f>('Data Saham'!M10-'Data Saham'!M9)/'Data Saham'!M9</f>
        <v>-6.4724919093851136E-3</v>
      </c>
      <c r="N10">
        <f>('Data Saham'!N10-'Data Saham'!N9)/'Data Saham'!N9</f>
        <v>7.5187969924812026E-3</v>
      </c>
      <c r="O10">
        <f>('Data Saham'!O10-'Data Saham'!O9)/'Data Saham'!O9</f>
        <v>2.9801324503311258E-2</v>
      </c>
      <c r="P10">
        <f>('Data Saham'!P10-'Data Saham'!P9)/'Data Saham'!P9</f>
        <v>9.8039215686274508E-3</v>
      </c>
      <c r="Q10">
        <f>('Data Saham'!Q10-'Data Saham'!Q9)/'Data Saham'!Q9</f>
        <v>-8.8105726872246704E-3</v>
      </c>
      <c r="R10">
        <f>('Data Saham'!R10-'Data Saham'!R9)/'Data Saham'!R9</f>
        <v>1.4018691588785047E-2</v>
      </c>
      <c r="S10">
        <f>('Data Saham'!S10-'Data Saham'!S9)/'Data Saham'!S9</f>
        <v>4.5871559633027525E-3</v>
      </c>
      <c r="T10">
        <f>('Data Saham'!T10-'Data Saham'!T9)/'Data Saham'!T9</f>
        <v>0</v>
      </c>
      <c r="U10">
        <f>('Data Saham'!U10-'Data Saham'!U9)/'Data Saham'!U9</f>
        <v>-4.2735042735042739E-3</v>
      </c>
      <c r="V10">
        <f>('Data Saham'!V10-'Data Saham'!V9)/'Data Saham'!V9</f>
        <v>-1.284796573875803E-2</v>
      </c>
      <c r="W10">
        <f>('Data Saham'!W10-'Data Saham'!W9)/'Data Saham'!W9</f>
        <v>6.2893081761006293E-3</v>
      </c>
      <c r="X10">
        <f>('Data Saham'!X10-'Data Saham'!X9)/'Data Saham'!X9</f>
        <v>-9.9616858237547887E-2</v>
      </c>
      <c r="Y10">
        <f>('Data Saham'!Y10-'Data Saham'!Y9)/'Data Saham'!Y9</f>
        <v>0</v>
      </c>
      <c r="Z10">
        <f>('Data Saham'!Z10-'Data Saham'!Z9)/'Data Saham'!Z9</f>
        <v>-1.5267175572519083E-2</v>
      </c>
      <c r="AA10">
        <f>('Data Saham'!AA10-'Data Saham'!AA9)/'Data Saham'!AA9</f>
        <v>-4.1666666666666664E-2</v>
      </c>
      <c r="AB10">
        <f>('Data Saham'!AB10-'Data Saham'!AB9)/'Data Saham'!AB9</f>
        <v>-2.4096385542168676E-2</v>
      </c>
      <c r="AC10">
        <f>('Data Saham'!AC10-'Data Saham'!AC9)/'Data Saham'!AC9</f>
        <v>-1.5037593984962405E-2</v>
      </c>
      <c r="AD10">
        <f>('Data Saham'!AD10-'Data Saham'!AD9)/'Data Saham'!AD9</f>
        <v>5.1546391752577319E-3</v>
      </c>
      <c r="AE10">
        <f>('Data Saham'!AE10-'Data Saham'!AE9)/'Data Saham'!AE9</f>
        <v>-1.0050251256281407E-2</v>
      </c>
      <c r="AF10">
        <f>('Data Saham'!AF10-'Data Saham'!AF9)/'Data Saham'!AF9</f>
        <v>-1.1834319526627219E-2</v>
      </c>
    </row>
    <row r="11" spans="1:32" x14ac:dyDescent="0.3">
      <c r="A11" s="4" t="s">
        <v>2</v>
      </c>
      <c r="B11">
        <f>('Data Saham'!B11-'Data Saham'!B10)/'Data Saham'!B10</f>
        <v>-1.982573690243733E-2</v>
      </c>
      <c r="C11">
        <f>('Data Saham'!C11-'Data Saham'!C10)/'Data Saham'!C10</f>
        <v>-2.5069637883008356E-2</v>
      </c>
      <c r="D11">
        <f>('Data Saham'!D11-'Data Saham'!D10)/'Data Saham'!D10</f>
        <v>-1.3157894736842105E-2</v>
      </c>
      <c r="E11">
        <f>('Data Saham'!E11-'Data Saham'!E10)/'Data Saham'!E10</f>
        <v>0</v>
      </c>
      <c r="F11">
        <f>('Data Saham'!F11-'Data Saham'!F10)/'Data Saham'!F10</f>
        <v>-2.2075055187637971E-2</v>
      </c>
      <c r="G11">
        <f>('Data Saham'!G11-'Data Saham'!G10)/'Data Saham'!G10</f>
        <v>-4.11522633744856E-3</v>
      </c>
      <c r="H11">
        <f>('Data Saham'!H11-'Data Saham'!H10)/'Data Saham'!H10</f>
        <v>-2.3255813953488372E-2</v>
      </c>
      <c r="I11">
        <f>('Data Saham'!I11-'Data Saham'!I10)/'Data Saham'!I10</f>
        <v>-2.2727272727272728E-2</v>
      </c>
      <c r="J11">
        <f>('Data Saham'!J11-'Data Saham'!J10)/'Data Saham'!J10</f>
        <v>-1.7123287671232876E-2</v>
      </c>
      <c r="K11">
        <f>('Data Saham'!K11-'Data Saham'!K10)/'Data Saham'!K10</f>
        <v>-2.9490616621983913E-2</v>
      </c>
      <c r="L11">
        <f>('Data Saham'!L11-'Data Saham'!L10)/'Data Saham'!L10</f>
        <v>-1.1752136752136752E-2</v>
      </c>
      <c r="M11">
        <f>('Data Saham'!M11-'Data Saham'!M10)/'Data Saham'!M10</f>
        <v>3.5830618892508145E-2</v>
      </c>
      <c r="N11">
        <f>('Data Saham'!N11-'Data Saham'!N10)/'Data Saham'!N10</f>
        <v>0</v>
      </c>
      <c r="O11">
        <f>('Data Saham'!O11-'Data Saham'!O10)/'Data Saham'!O10</f>
        <v>-1.2861736334405145E-2</v>
      </c>
      <c r="P11">
        <f>('Data Saham'!P11-'Data Saham'!P10)/'Data Saham'!P10</f>
        <v>-1.9417475728155338E-2</v>
      </c>
      <c r="Q11">
        <f>('Data Saham'!Q11-'Data Saham'!Q10)/'Data Saham'!Q10</f>
        <v>4.4444444444444444E-3</v>
      </c>
      <c r="R11">
        <f>('Data Saham'!R11-'Data Saham'!R10)/'Data Saham'!R10</f>
        <v>-3.2258064516129031E-2</v>
      </c>
      <c r="S11">
        <f>('Data Saham'!S11-'Data Saham'!S10)/'Data Saham'!S10</f>
        <v>-3.1963470319634701E-2</v>
      </c>
      <c r="T11">
        <f>('Data Saham'!T11-'Data Saham'!T10)/'Data Saham'!T10</f>
        <v>-1.4150943396226415E-2</v>
      </c>
      <c r="U11">
        <f>('Data Saham'!U11-'Data Saham'!U10)/'Data Saham'!U10</f>
        <v>-3.0042918454935622E-2</v>
      </c>
      <c r="V11">
        <f>('Data Saham'!V11-'Data Saham'!V10)/'Data Saham'!V10</f>
        <v>-1.4099783080260303E-2</v>
      </c>
      <c r="W11">
        <f>('Data Saham'!W11-'Data Saham'!W10)/'Data Saham'!W10</f>
        <v>-2.5000000000000001E-2</v>
      </c>
      <c r="X11">
        <f>('Data Saham'!X11-'Data Saham'!X10)/'Data Saham'!X10</f>
        <v>-2.9787234042553193E-2</v>
      </c>
      <c r="Y11">
        <f>('Data Saham'!Y11-'Data Saham'!Y10)/'Data Saham'!Y10</f>
        <v>-1.6666666666666666E-2</v>
      </c>
      <c r="Z11">
        <f>('Data Saham'!Z11-'Data Saham'!Z10)/'Data Saham'!Z10</f>
        <v>-6.9767441860465115E-2</v>
      </c>
      <c r="AA11">
        <f>('Data Saham'!AA11-'Data Saham'!AA10)/'Data Saham'!AA10</f>
        <v>3.3444816053511705E-3</v>
      </c>
      <c r="AB11">
        <f>('Data Saham'!AB11-'Data Saham'!AB10)/'Data Saham'!AB10</f>
        <v>-1.2345679012345678E-2</v>
      </c>
      <c r="AC11">
        <f>('Data Saham'!AC11-'Data Saham'!AC10)/'Data Saham'!AC10</f>
        <v>-7.6335877862595417E-3</v>
      </c>
      <c r="AD11">
        <f>('Data Saham'!AD11-'Data Saham'!AD10)/'Data Saham'!AD10</f>
        <v>1.5384615384615385E-2</v>
      </c>
      <c r="AE11">
        <f>('Data Saham'!AE11-'Data Saham'!AE10)/'Data Saham'!AE10</f>
        <v>-1.5228426395939087E-2</v>
      </c>
      <c r="AF11">
        <f>('Data Saham'!AF11-'Data Saham'!AF10)/'Data Saham'!AF10</f>
        <v>-5.9880239520958087E-3</v>
      </c>
    </row>
    <row r="12" spans="1:32" x14ac:dyDescent="0.3">
      <c r="A12" s="3" t="s">
        <v>3</v>
      </c>
      <c r="B12">
        <f>('Data Saham'!B12-'Data Saham'!B11)/'Data Saham'!B11</f>
        <v>-6.7038797476223003E-3</v>
      </c>
      <c r="C12">
        <f>('Data Saham'!C12-'Data Saham'!C11)/'Data Saham'!C11</f>
        <v>-1.7142857142857144E-2</v>
      </c>
      <c r="D12">
        <f>('Data Saham'!D12-'Data Saham'!D11)/'Data Saham'!D11</f>
        <v>2.1333333333333333E-2</v>
      </c>
      <c r="E12">
        <f>('Data Saham'!E12-'Data Saham'!E11)/'Data Saham'!E11</f>
        <v>-1.2658227848101266E-2</v>
      </c>
      <c r="F12">
        <f>('Data Saham'!F12-'Data Saham'!F11)/'Data Saham'!F11</f>
        <v>-2.2573363431151242E-2</v>
      </c>
      <c r="G12">
        <f>('Data Saham'!G12-'Data Saham'!G11)/'Data Saham'!G11</f>
        <v>0</v>
      </c>
      <c r="H12">
        <f>('Data Saham'!H12-'Data Saham'!H11)/'Data Saham'!H11</f>
        <v>0</v>
      </c>
      <c r="I12">
        <f>('Data Saham'!I12-'Data Saham'!I11)/'Data Saham'!I11</f>
        <v>1.8604651162790697E-2</v>
      </c>
      <c r="J12">
        <f>('Data Saham'!J12-'Data Saham'!J11)/'Data Saham'!J11</f>
        <v>1.3937282229965157E-2</v>
      </c>
      <c r="K12">
        <f>('Data Saham'!K12-'Data Saham'!K11)/'Data Saham'!K11</f>
        <v>2.7624309392265192E-3</v>
      </c>
      <c r="L12">
        <f>('Data Saham'!L12-'Data Saham'!L11)/'Data Saham'!L11</f>
        <v>-8.6486486486486488E-3</v>
      </c>
      <c r="M12">
        <f>('Data Saham'!M12-'Data Saham'!M11)/'Data Saham'!M11</f>
        <v>4.0880503144654086E-2</v>
      </c>
      <c r="N12">
        <f>('Data Saham'!N12-'Data Saham'!N11)/'Data Saham'!N11</f>
        <v>7.4626865671641784E-2</v>
      </c>
      <c r="O12">
        <f>('Data Saham'!O12-'Data Saham'!O11)/'Data Saham'!O11</f>
        <v>-6.5146579804560263E-3</v>
      </c>
      <c r="P12">
        <f>('Data Saham'!P12-'Data Saham'!P11)/'Data Saham'!P11</f>
        <v>2.9702970297029702E-2</v>
      </c>
      <c r="Q12">
        <f>('Data Saham'!Q12-'Data Saham'!Q11)/'Data Saham'!Q11</f>
        <v>4.4247787610619468E-3</v>
      </c>
      <c r="R12">
        <f>('Data Saham'!R12-'Data Saham'!R11)/'Data Saham'!R11</f>
        <v>9.5238095238095247E-3</v>
      </c>
      <c r="S12">
        <f>('Data Saham'!S12-'Data Saham'!S11)/'Data Saham'!S11</f>
        <v>1.8867924528301886E-2</v>
      </c>
      <c r="T12">
        <f>('Data Saham'!T12-'Data Saham'!T11)/'Data Saham'!T11</f>
        <v>-1.9138755980861243E-2</v>
      </c>
      <c r="U12">
        <f>('Data Saham'!U12-'Data Saham'!U11)/'Data Saham'!U11</f>
        <v>0</v>
      </c>
      <c r="V12">
        <f>('Data Saham'!V12-'Data Saham'!V11)/'Data Saham'!V11</f>
        <v>2.2002200220022004E-2</v>
      </c>
      <c r="W12">
        <f>('Data Saham'!W12-'Data Saham'!W11)/'Data Saham'!W11</f>
        <v>-6.41025641025641E-3</v>
      </c>
      <c r="X12">
        <f>('Data Saham'!X12-'Data Saham'!X11)/'Data Saham'!X11</f>
        <v>-1.3157894736842105E-2</v>
      </c>
      <c r="Y12">
        <f>('Data Saham'!Y12-'Data Saham'!Y11)/'Data Saham'!Y11</f>
        <v>2.9661016949152543E-2</v>
      </c>
      <c r="Z12">
        <f>('Data Saham'!Z12-'Data Saham'!Z11)/'Data Saham'!Z11</f>
        <v>2.5000000000000001E-2</v>
      </c>
      <c r="AA12">
        <f>('Data Saham'!AA12-'Data Saham'!AA11)/'Data Saham'!AA11</f>
        <v>-2.6666666666666668E-2</v>
      </c>
      <c r="AB12">
        <f>('Data Saham'!AB12-'Data Saham'!AB11)/'Data Saham'!AB11</f>
        <v>-1.2500000000000001E-2</v>
      </c>
      <c r="AC12">
        <f>('Data Saham'!AC12-'Data Saham'!AC11)/'Data Saham'!AC11</f>
        <v>3.0769230769230771E-2</v>
      </c>
      <c r="AD12">
        <f>('Data Saham'!AD12-'Data Saham'!AD11)/'Data Saham'!AD11</f>
        <v>1.0101010101010102E-2</v>
      </c>
      <c r="AE12">
        <f>('Data Saham'!AE12-'Data Saham'!AE11)/'Data Saham'!AE11</f>
        <v>-1.0309278350515464E-2</v>
      </c>
      <c r="AF12">
        <f>('Data Saham'!AF12-'Data Saham'!AF11)/'Data Saham'!AF11</f>
        <v>2.4096385542168676E-2</v>
      </c>
    </row>
    <row r="13" spans="1:32" x14ac:dyDescent="0.3">
      <c r="A13" s="4" t="s">
        <v>4</v>
      </c>
      <c r="B13">
        <f>('Data Saham'!B13-'Data Saham'!B12)/'Data Saham'!B12</f>
        <v>-3.8405735520206354E-2</v>
      </c>
      <c r="C13">
        <f>('Data Saham'!C13-'Data Saham'!C12)/'Data Saham'!C12</f>
        <v>-3.4883720930232558E-2</v>
      </c>
      <c r="D13">
        <f>('Data Saham'!D13-'Data Saham'!D12)/'Data Saham'!D12</f>
        <v>-3.91644908616188E-2</v>
      </c>
      <c r="E13">
        <f>('Data Saham'!E13-'Data Saham'!E12)/'Data Saham'!E12</f>
        <v>-3.2051282051282048E-2</v>
      </c>
      <c r="F13">
        <f>('Data Saham'!F13-'Data Saham'!F12)/'Data Saham'!F12</f>
        <v>-3.2332563510392612E-2</v>
      </c>
      <c r="G13">
        <f>('Data Saham'!G13-'Data Saham'!G12)/'Data Saham'!G12</f>
        <v>0</v>
      </c>
      <c r="H13">
        <f>('Data Saham'!H13-'Data Saham'!H12)/'Data Saham'!H12</f>
        <v>6.4935064935064939E-3</v>
      </c>
      <c r="I13">
        <f>('Data Saham'!I13-'Data Saham'!I12)/'Data Saham'!I12</f>
        <v>-1.1415525114155251E-2</v>
      </c>
      <c r="J13">
        <f>('Data Saham'!J13-'Data Saham'!J12)/'Data Saham'!J12</f>
        <v>-2.7491408934707903E-2</v>
      </c>
      <c r="K13">
        <f>('Data Saham'!K13-'Data Saham'!K12)/'Data Saham'!K12</f>
        <v>-1.1019283746556474E-2</v>
      </c>
      <c r="L13">
        <f>('Data Saham'!L13-'Data Saham'!L12)/'Data Saham'!L12</f>
        <v>-1.8538713195201745E-2</v>
      </c>
      <c r="M13">
        <f>('Data Saham'!M13-'Data Saham'!M12)/'Data Saham'!M12</f>
        <v>-1.2084592145015106E-2</v>
      </c>
      <c r="N13">
        <f>('Data Saham'!N13-'Data Saham'!N12)/'Data Saham'!N12</f>
        <v>-1.3888888888888888E-2</v>
      </c>
      <c r="O13">
        <f>('Data Saham'!O13-'Data Saham'!O12)/'Data Saham'!O12</f>
        <v>-9.8360655737704927E-3</v>
      </c>
      <c r="P13">
        <f>('Data Saham'!P13-'Data Saham'!P12)/'Data Saham'!P12</f>
        <v>-9.6153846153846159E-3</v>
      </c>
      <c r="Q13">
        <f>('Data Saham'!Q13-'Data Saham'!Q12)/'Data Saham'!Q12</f>
        <v>-8.8105726872246704E-3</v>
      </c>
      <c r="R13">
        <f>('Data Saham'!R13-'Data Saham'!R12)/'Data Saham'!R12</f>
        <v>-4.2452830188679243E-2</v>
      </c>
      <c r="S13">
        <f>('Data Saham'!S13-'Data Saham'!S12)/'Data Saham'!S12</f>
        <v>4.6296296296296294E-3</v>
      </c>
      <c r="T13">
        <f>('Data Saham'!T13-'Data Saham'!T12)/'Data Saham'!T12</f>
        <v>-2.9268292682926831E-2</v>
      </c>
      <c r="U13">
        <f>('Data Saham'!U13-'Data Saham'!U12)/'Data Saham'!U12</f>
        <v>-2.2123893805309734E-2</v>
      </c>
      <c r="V13">
        <f>('Data Saham'!V13-'Data Saham'!V12)/'Data Saham'!V12</f>
        <v>-3.3369214208826693E-2</v>
      </c>
      <c r="W13">
        <f>('Data Saham'!W13-'Data Saham'!W12)/'Data Saham'!W12</f>
        <v>-0.15483870967741936</v>
      </c>
      <c r="X13">
        <f>('Data Saham'!X13-'Data Saham'!X12)/'Data Saham'!X12</f>
        <v>-3.5555555555555556E-2</v>
      </c>
      <c r="Y13">
        <f>('Data Saham'!Y13-'Data Saham'!Y12)/'Data Saham'!Y12</f>
        <v>-7.8189300411522639E-2</v>
      </c>
      <c r="Z13">
        <f>('Data Saham'!Z13-'Data Saham'!Z12)/'Data Saham'!Z12</f>
        <v>-5.6910569105691054E-2</v>
      </c>
      <c r="AA13">
        <f>('Data Saham'!AA13-'Data Saham'!AA12)/'Data Saham'!AA12</f>
        <v>-8.2191780821917804E-2</v>
      </c>
      <c r="AB13">
        <f>('Data Saham'!AB13-'Data Saham'!AB12)/'Data Saham'!AB12</f>
        <v>5.0632911392405063E-2</v>
      </c>
      <c r="AC13">
        <f>('Data Saham'!AC13-'Data Saham'!AC12)/'Data Saham'!AC12</f>
        <v>-1.4925373134328358E-2</v>
      </c>
      <c r="AD13">
        <f>('Data Saham'!AD13-'Data Saham'!AD12)/'Data Saham'!AD12</f>
        <v>-0.04</v>
      </c>
      <c r="AE13">
        <f>('Data Saham'!AE13-'Data Saham'!AE12)/'Data Saham'!AE12</f>
        <v>-3.125E-2</v>
      </c>
      <c r="AF13">
        <f>('Data Saham'!AF13-'Data Saham'!AF12)/'Data Saham'!AF12</f>
        <v>-5.2941176470588235E-2</v>
      </c>
    </row>
    <row r="14" spans="1:32" x14ac:dyDescent="0.3">
      <c r="A14" s="3" t="s">
        <v>5</v>
      </c>
      <c r="B14">
        <f>('Data Saham'!B14-'Data Saham'!B13)/'Data Saham'!B13</f>
        <v>1.4183588044458007E-2</v>
      </c>
      <c r="C14">
        <f>('Data Saham'!C14-'Data Saham'!C13)/'Data Saham'!C13</f>
        <v>3.0120481927710845E-3</v>
      </c>
      <c r="D14">
        <f>('Data Saham'!D14-'Data Saham'!D13)/'Data Saham'!D13</f>
        <v>8.152173913043478E-3</v>
      </c>
      <c r="E14">
        <f>('Data Saham'!E14-'Data Saham'!E13)/'Data Saham'!E13</f>
        <v>3.3112582781456956E-2</v>
      </c>
      <c r="F14">
        <f>('Data Saham'!F14-'Data Saham'!F13)/'Data Saham'!F13</f>
        <v>-4.7732696897374704E-3</v>
      </c>
      <c r="G14">
        <f>('Data Saham'!G14-'Data Saham'!G13)/'Data Saham'!G13</f>
        <v>4.1322314049586778E-3</v>
      </c>
      <c r="H14">
        <f>('Data Saham'!H14-'Data Saham'!H13)/'Data Saham'!H13</f>
        <v>8.6021505376344086E-3</v>
      </c>
      <c r="I14">
        <f>('Data Saham'!I14-'Data Saham'!I13)/'Data Saham'!I13</f>
        <v>-9.2378752886836026E-3</v>
      </c>
      <c r="J14">
        <f>('Data Saham'!J14-'Data Saham'!J13)/'Data Saham'!J13</f>
        <v>1.7667844522968199E-2</v>
      </c>
      <c r="K14">
        <f>('Data Saham'!K14-'Data Saham'!K13)/'Data Saham'!K13</f>
        <v>2.7855153203342618E-3</v>
      </c>
      <c r="L14">
        <f>('Data Saham'!L14-'Data Saham'!L13)/'Data Saham'!L13</f>
        <v>6.6666666666666671E-3</v>
      </c>
      <c r="M14">
        <f>('Data Saham'!M14-'Data Saham'!M13)/'Data Saham'!M13</f>
        <v>1.5290519877675841E-2</v>
      </c>
      <c r="N14">
        <f>('Data Saham'!N14-'Data Saham'!N13)/'Data Saham'!N13</f>
        <v>-7.0422535211267607E-3</v>
      </c>
      <c r="O14">
        <f>('Data Saham'!O14-'Data Saham'!O13)/'Data Saham'!O13</f>
        <v>-6.6225165562913907E-3</v>
      </c>
      <c r="P14">
        <f>('Data Saham'!P14-'Data Saham'!P13)/'Data Saham'!P13</f>
        <v>9.7087378640776691E-3</v>
      </c>
      <c r="Q14">
        <f>('Data Saham'!Q14-'Data Saham'!Q13)/'Data Saham'!Q13</f>
        <v>8.8888888888888889E-3</v>
      </c>
      <c r="R14">
        <f>('Data Saham'!R14-'Data Saham'!R13)/'Data Saham'!R13</f>
        <v>1.4778325123152709E-2</v>
      </c>
      <c r="S14">
        <f>('Data Saham'!S14-'Data Saham'!S13)/'Data Saham'!S13</f>
        <v>3.6866359447004608E-2</v>
      </c>
      <c r="T14">
        <f>('Data Saham'!T14-'Data Saham'!T13)/'Data Saham'!T13</f>
        <v>-2.5125628140703518E-3</v>
      </c>
      <c r="U14">
        <f>('Data Saham'!U14-'Data Saham'!U13)/'Data Saham'!U13</f>
        <v>9.0497737556561094E-3</v>
      </c>
      <c r="V14">
        <f>('Data Saham'!V14-'Data Saham'!V13)/'Data Saham'!V13</f>
        <v>-5.5679287305122494E-3</v>
      </c>
      <c r="W14">
        <f>('Data Saham'!W14-'Data Saham'!W13)/'Data Saham'!W13</f>
        <v>2.2900763358778626E-2</v>
      </c>
      <c r="X14">
        <f>('Data Saham'!X14-'Data Saham'!X13)/'Data Saham'!X13</f>
        <v>9.2165898617511521E-3</v>
      </c>
      <c r="Y14">
        <f>('Data Saham'!Y14-'Data Saham'!Y13)/'Data Saham'!Y13</f>
        <v>-3.125E-2</v>
      </c>
      <c r="Z14">
        <f>('Data Saham'!Z14-'Data Saham'!Z13)/'Data Saham'!Z13</f>
        <v>2.5862068965517241E-2</v>
      </c>
      <c r="AA14">
        <f>('Data Saham'!AA14-'Data Saham'!AA13)/'Data Saham'!AA13</f>
        <v>-7.462686567164179E-3</v>
      </c>
      <c r="AB14">
        <f>('Data Saham'!AB14-'Data Saham'!AB13)/'Data Saham'!AB13</f>
        <v>-1.2048192771084338E-2</v>
      </c>
      <c r="AC14">
        <f>('Data Saham'!AC14-'Data Saham'!AC13)/'Data Saham'!AC13</f>
        <v>3.787878787878788E-2</v>
      </c>
      <c r="AD14">
        <f>('Data Saham'!AD14-'Data Saham'!AD13)/'Data Saham'!AD13</f>
        <v>4.1666666666666664E-2</v>
      </c>
      <c r="AE14">
        <f>('Data Saham'!AE14-'Data Saham'!AE13)/'Data Saham'!AE13</f>
        <v>2.1505376344086023E-2</v>
      </c>
      <c r="AF14">
        <f>('Data Saham'!AF14-'Data Saham'!AF13)/'Data Saham'!AF13</f>
        <v>6.2111801242236021E-3</v>
      </c>
    </row>
    <row r="15" spans="1:32" x14ac:dyDescent="0.3">
      <c r="A15" s="4" t="s">
        <v>6</v>
      </c>
      <c r="B15">
        <f>('Data Saham'!B15-'Data Saham'!B14)/'Data Saham'!B14</f>
        <v>1.1092169096561003E-2</v>
      </c>
      <c r="C15">
        <f>('Data Saham'!C15-'Data Saham'!C14)/'Data Saham'!C14</f>
        <v>6.006006006006006E-3</v>
      </c>
      <c r="D15">
        <f>('Data Saham'!D15-'Data Saham'!D14)/'Data Saham'!D14</f>
        <v>-1.3477088948787063E-2</v>
      </c>
      <c r="E15">
        <f>('Data Saham'!E15-'Data Saham'!E14)/'Data Saham'!E14</f>
        <v>-1.282051282051282E-2</v>
      </c>
      <c r="F15">
        <f>('Data Saham'!F15-'Data Saham'!F14)/'Data Saham'!F14</f>
        <v>-2.1582733812949641E-2</v>
      </c>
      <c r="G15">
        <f>('Data Saham'!G15-'Data Saham'!G14)/'Data Saham'!G14</f>
        <v>-1.646090534979424E-2</v>
      </c>
      <c r="H15">
        <f>('Data Saham'!H15-'Data Saham'!H14)/'Data Saham'!H14</f>
        <v>4.2643923240938165E-3</v>
      </c>
      <c r="I15">
        <f>('Data Saham'!I15-'Data Saham'!I14)/'Data Saham'!I14</f>
        <v>-1.1655011655011656E-2</v>
      </c>
      <c r="J15">
        <f>('Data Saham'!J15-'Data Saham'!J14)/'Data Saham'!J14</f>
        <v>-2.4305555555555556E-2</v>
      </c>
      <c r="K15">
        <f>('Data Saham'!K15-'Data Saham'!K14)/'Data Saham'!K14</f>
        <v>0</v>
      </c>
      <c r="L15">
        <f>('Data Saham'!L15-'Data Saham'!L14)/'Data Saham'!L14</f>
        <v>1.1037527593818985E-2</v>
      </c>
      <c r="M15">
        <f>('Data Saham'!M15-'Data Saham'!M14)/'Data Saham'!M14</f>
        <v>-9.0361445783132526E-3</v>
      </c>
      <c r="N15">
        <f>('Data Saham'!N15-'Data Saham'!N14)/'Data Saham'!N14</f>
        <v>1.4184397163120567E-2</v>
      </c>
      <c r="O15">
        <f>('Data Saham'!O15-'Data Saham'!O14)/'Data Saham'!O14</f>
        <v>2.6666666666666668E-2</v>
      </c>
      <c r="P15">
        <f>('Data Saham'!P15-'Data Saham'!P14)/'Data Saham'!P14</f>
        <v>0</v>
      </c>
      <c r="Q15">
        <f>('Data Saham'!Q15-'Data Saham'!Q14)/'Data Saham'!Q14</f>
        <v>0</v>
      </c>
      <c r="R15">
        <f>('Data Saham'!R15-'Data Saham'!R14)/'Data Saham'!R14</f>
        <v>5.8252427184466021E-2</v>
      </c>
      <c r="S15">
        <f>('Data Saham'!S15-'Data Saham'!S14)/'Data Saham'!S14</f>
        <v>0</v>
      </c>
      <c r="T15">
        <f>('Data Saham'!T15-'Data Saham'!T14)/'Data Saham'!T14</f>
        <v>5.0377833753148613E-3</v>
      </c>
      <c r="U15">
        <f>('Data Saham'!U15-'Data Saham'!U14)/'Data Saham'!U14</f>
        <v>8.9686098654708519E-3</v>
      </c>
      <c r="V15">
        <f>('Data Saham'!V15-'Data Saham'!V14)/'Data Saham'!V14</f>
        <v>1.3437849944008958E-2</v>
      </c>
      <c r="W15">
        <f>('Data Saham'!W15-'Data Saham'!W14)/'Data Saham'!W14</f>
        <v>7.462686567164179E-3</v>
      </c>
      <c r="X15">
        <f>('Data Saham'!X15-'Data Saham'!X14)/'Data Saham'!X14</f>
        <v>4.5662100456621002E-3</v>
      </c>
      <c r="Y15">
        <f>('Data Saham'!Y15-'Data Saham'!Y14)/'Data Saham'!Y14</f>
        <v>-1.8433179723502304E-2</v>
      </c>
      <c r="Z15">
        <f>('Data Saham'!Z15-'Data Saham'!Z14)/'Data Saham'!Z14</f>
        <v>-0.15126050420168066</v>
      </c>
      <c r="AA15">
        <f>('Data Saham'!AA15-'Data Saham'!AA14)/'Data Saham'!AA14</f>
        <v>-3.3834586466165412E-2</v>
      </c>
      <c r="AB15">
        <f>('Data Saham'!AB15-'Data Saham'!AB14)/'Data Saham'!AB14</f>
        <v>-1.2195121951219513E-2</v>
      </c>
      <c r="AC15">
        <f>('Data Saham'!AC15-'Data Saham'!AC14)/'Data Saham'!AC14</f>
        <v>5.1094890510948905E-2</v>
      </c>
      <c r="AD15">
        <f>('Data Saham'!AD15-'Data Saham'!AD14)/'Data Saham'!AD14</f>
        <v>-5.0000000000000001E-3</v>
      </c>
      <c r="AE15">
        <f>('Data Saham'!AE15-'Data Saham'!AE14)/'Data Saham'!AE14</f>
        <v>-2.6315789473684209E-2</v>
      </c>
      <c r="AF15">
        <f>('Data Saham'!AF15-'Data Saham'!AF14)/'Data Saham'!AF14</f>
        <v>-2.4691358024691357E-2</v>
      </c>
    </row>
    <row r="16" spans="1:32" x14ac:dyDescent="0.3">
      <c r="A16" s="3" t="s">
        <v>7</v>
      </c>
      <c r="B16">
        <f>('Data Saham'!B16-'Data Saham'!B15)/'Data Saham'!B15</f>
        <v>-1.9350734212204609E-2</v>
      </c>
      <c r="C16">
        <f>('Data Saham'!C16-'Data Saham'!C15)/'Data Saham'!C15</f>
        <v>-5.6716417910447764E-2</v>
      </c>
      <c r="D16">
        <f>('Data Saham'!D16-'Data Saham'!D15)/'Data Saham'!D15</f>
        <v>1.092896174863388E-2</v>
      </c>
      <c r="E16">
        <f>('Data Saham'!E16-'Data Saham'!E15)/'Data Saham'!E15</f>
        <v>-4.5454545454545456E-2</v>
      </c>
      <c r="F16">
        <f>('Data Saham'!F16-'Data Saham'!F15)/'Data Saham'!F15</f>
        <v>-7.5980392156862739E-2</v>
      </c>
      <c r="G16">
        <f>('Data Saham'!G16-'Data Saham'!G15)/'Data Saham'!G15</f>
        <v>-3.3472803347280332E-2</v>
      </c>
      <c r="H16">
        <f>('Data Saham'!H16-'Data Saham'!H15)/'Data Saham'!H15</f>
        <v>2.7600849256900213E-2</v>
      </c>
      <c r="I16">
        <f>('Data Saham'!I16-'Data Saham'!I15)/'Data Saham'!I15</f>
        <v>-2.3584905660377358E-3</v>
      </c>
      <c r="J16">
        <f>('Data Saham'!J16-'Data Saham'!J15)/'Data Saham'!J15</f>
        <v>-7.1174377224199285E-3</v>
      </c>
      <c r="K16">
        <f>('Data Saham'!K16-'Data Saham'!K15)/'Data Saham'!K15</f>
        <v>0</v>
      </c>
      <c r="L16">
        <f>('Data Saham'!L16-'Data Saham'!L15)/'Data Saham'!L15</f>
        <v>-1.8558951965065504E-2</v>
      </c>
      <c r="M16">
        <f>('Data Saham'!M16-'Data Saham'!M15)/'Data Saham'!M15</f>
        <v>-3.64741641337386E-2</v>
      </c>
      <c r="N16">
        <f>('Data Saham'!N16-'Data Saham'!N15)/'Data Saham'!N15</f>
        <v>-3.8461538461538464E-2</v>
      </c>
      <c r="O16">
        <f>('Data Saham'!O16-'Data Saham'!O15)/'Data Saham'!O15</f>
        <v>0</v>
      </c>
      <c r="P16">
        <f>('Data Saham'!P16-'Data Saham'!P15)/'Data Saham'!P15</f>
        <v>9.6153846153846159E-3</v>
      </c>
      <c r="Q16">
        <f>('Data Saham'!Q16-'Data Saham'!Q15)/'Data Saham'!Q15</f>
        <v>-4.4052863436123352E-3</v>
      </c>
      <c r="R16">
        <f>('Data Saham'!R16-'Data Saham'!R15)/'Data Saham'!R15</f>
        <v>2.7522935779816515E-2</v>
      </c>
      <c r="S16">
        <f>('Data Saham'!S16-'Data Saham'!S15)/'Data Saham'!S15</f>
        <v>-4.4444444444444444E-3</v>
      </c>
      <c r="T16">
        <f>('Data Saham'!T16-'Data Saham'!T15)/'Data Saham'!T15</f>
        <v>-7.5187969924812026E-3</v>
      </c>
      <c r="U16">
        <f>('Data Saham'!U16-'Data Saham'!U15)/'Data Saham'!U15</f>
        <v>-5.7777777777777775E-2</v>
      </c>
      <c r="V16">
        <f>('Data Saham'!V16-'Data Saham'!V15)/'Data Saham'!V15</f>
        <v>1.1049723756906077E-2</v>
      </c>
      <c r="W16">
        <f>('Data Saham'!W16-'Data Saham'!W15)/'Data Saham'!W15</f>
        <v>3.7037037037037035E-2</v>
      </c>
      <c r="X16">
        <f>('Data Saham'!X16-'Data Saham'!X15)/'Data Saham'!X15</f>
        <v>0</v>
      </c>
      <c r="Y16">
        <f>('Data Saham'!Y16-'Data Saham'!Y15)/'Data Saham'!Y15</f>
        <v>-8.9201877934272297E-2</v>
      </c>
      <c r="Z16">
        <f>('Data Saham'!Z16-'Data Saham'!Z15)/'Data Saham'!Z15</f>
        <v>-9.9009900990099011E-3</v>
      </c>
      <c r="AA16">
        <f>('Data Saham'!AA16-'Data Saham'!AA15)/'Data Saham'!AA15</f>
        <v>-2.7237354085603113E-2</v>
      </c>
      <c r="AB16">
        <f>('Data Saham'!AB16-'Data Saham'!AB15)/'Data Saham'!AB15</f>
        <v>0</v>
      </c>
      <c r="AC16">
        <f>('Data Saham'!AC16-'Data Saham'!AC15)/'Data Saham'!AC15</f>
        <v>-1.3888888888888888E-2</v>
      </c>
      <c r="AD16">
        <f>('Data Saham'!AD16-'Data Saham'!AD15)/'Data Saham'!AD15</f>
        <v>-3.015075376884422E-2</v>
      </c>
      <c r="AE16">
        <f>('Data Saham'!AE16-'Data Saham'!AE15)/'Data Saham'!AE15</f>
        <v>-4.8648648648648651E-2</v>
      </c>
      <c r="AF16">
        <f>('Data Saham'!AF16-'Data Saham'!AF15)/'Data Saham'!AF15</f>
        <v>-6.9620253164556958E-2</v>
      </c>
    </row>
    <row r="17" spans="1:32" x14ac:dyDescent="0.3">
      <c r="A17" s="4" t="s">
        <v>8</v>
      </c>
      <c r="B17">
        <f>('Data Saham'!B17-'Data Saham'!B16)/'Data Saham'!B16</f>
        <v>-1.5493322339721777E-2</v>
      </c>
      <c r="C17">
        <f>('Data Saham'!C17-'Data Saham'!C16)/'Data Saham'!C16</f>
        <v>6.3291139240506328E-3</v>
      </c>
      <c r="D17">
        <f>('Data Saham'!D17-'Data Saham'!D16)/'Data Saham'!D16</f>
        <v>-2.4324324324324326E-2</v>
      </c>
      <c r="E17">
        <f>('Data Saham'!E17-'Data Saham'!E16)/'Data Saham'!E16</f>
        <v>1.1337868480725623E-2</v>
      </c>
      <c r="F17">
        <f>('Data Saham'!F17-'Data Saham'!F16)/'Data Saham'!F16</f>
        <v>-1.3262599469496022E-2</v>
      </c>
      <c r="G17">
        <f>('Data Saham'!G17-'Data Saham'!G16)/'Data Saham'!G16</f>
        <v>8.658008658008658E-3</v>
      </c>
      <c r="H17">
        <f>('Data Saham'!H17-'Data Saham'!H16)/'Data Saham'!H16</f>
        <v>-3.0991735537190084E-2</v>
      </c>
      <c r="I17">
        <f>('Data Saham'!I17-'Data Saham'!I16)/'Data Saham'!I16</f>
        <v>-1.4184397163120567E-2</v>
      </c>
      <c r="J17">
        <f>('Data Saham'!J17-'Data Saham'!J16)/'Data Saham'!J16</f>
        <v>-2.5089605734767026E-2</v>
      </c>
      <c r="K17">
        <f>('Data Saham'!K17-'Data Saham'!K16)/'Data Saham'!K16</f>
        <v>-2.7777777777777776E-2</v>
      </c>
      <c r="L17">
        <f>('Data Saham'!L17-'Data Saham'!L16)/'Data Saham'!L16</f>
        <v>-2.6696329254727477E-2</v>
      </c>
      <c r="M17">
        <f>('Data Saham'!M17-'Data Saham'!M16)/'Data Saham'!M16</f>
        <v>3.1545741324921135E-3</v>
      </c>
      <c r="N17">
        <f>('Data Saham'!N17-'Data Saham'!N16)/'Data Saham'!N16</f>
        <v>-2.181818181818182E-2</v>
      </c>
      <c r="O17">
        <f>('Data Saham'!O17-'Data Saham'!O16)/'Data Saham'!O16</f>
        <v>-9.74025974025974E-3</v>
      </c>
      <c r="P17">
        <f>('Data Saham'!P17-'Data Saham'!P16)/'Data Saham'!P16</f>
        <v>-3.8095238095238099E-2</v>
      </c>
      <c r="Q17">
        <f>('Data Saham'!Q17-'Data Saham'!Q16)/'Data Saham'!Q16</f>
        <v>0</v>
      </c>
      <c r="R17">
        <f>('Data Saham'!R17-'Data Saham'!R16)/'Data Saham'!R16</f>
        <v>-1.3392857142857142E-2</v>
      </c>
      <c r="S17">
        <f>('Data Saham'!S17-'Data Saham'!S16)/'Data Saham'!S16</f>
        <v>-1.7857142857142856E-2</v>
      </c>
      <c r="T17">
        <f>('Data Saham'!T17-'Data Saham'!T16)/'Data Saham'!T16</f>
        <v>0</v>
      </c>
      <c r="U17">
        <f>('Data Saham'!U17-'Data Saham'!U16)/'Data Saham'!U16</f>
        <v>4.716981132075472E-2</v>
      </c>
      <c r="V17">
        <f>('Data Saham'!V17-'Data Saham'!V16)/'Data Saham'!V16</f>
        <v>-7.6502732240437158E-3</v>
      </c>
      <c r="W17">
        <f>('Data Saham'!W17-'Data Saham'!W16)/'Data Saham'!W16</f>
        <v>-6.4285714285714279E-2</v>
      </c>
      <c r="X17">
        <f>('Data Saham'!X17-'Data Saham'!X16)/'Data Saham'!X16</f>
        <v>-4.5454545454545452E-3</v>
      </c>
      <c r="Y17">
        <f>('Data Saham'!Y17-'Data Saham'!Y16)/'Data Saham'!Y16</f>
        <v>-6.1855670103092786E-2</v>
      </c>
      <c r="Z17">
        <f>('Data Saham'!Z17-'Data Saham'!Z16)/'Data Saham'!Z16</f>
        <v>0</v>
      </c>
      <c r="AA17">
        <f>('Data Saham'!AA17-'Data Saham'!AA16)/'Data Saham'!AA16</f>
        <v>8.0000000000000002E-3</v>
      </c>
      <c r="AB17">
        <f>('Data Saham'!AB17-'Data Saham'!AB16)/'Data Saham'!AB16</f>
        <v>-1.2345679012345678E-2</v>
      </c>
      <c r="AC17">
        <f>('Data Saham'!AC17-'Data Saham'!AC16)/'Data Saham'!AC16</f>
        <v>-1.4084507042253521E-2</v>
      </c>
      <c r="AD17">
        <f>('Data Saham'!AD17-'Data Saham'!AD16)/'Data Saham'!AD16</f>
        <v>-2.072538860103627E-2</v>
      </c>
      <c r="AE17">
        <f>('Data Saham'!AE17-'Data Saham'!AE16)/'Data Saham'!AE16</f>
        <v>-3.9772727272727272E-2</v>
      </c>
      <c r="AF17">
        <f>('Data Saham'!AF17-'Data Saham'!AF16)/'Data Saham'!AF16</f>
        <v>-2.0408163265306121E-2</v>
      </c>
    </row>
    <row r="18" spans="1:32" x14ac:dyDescent="0.3">
      <c r="A18" s="3" t="s">
        <v>9</v>
      </c>
      <c r="B18">
        <f>('Data Saham'!B18-'Data Saham'!B17)/'Data Saham'!B17</f>
        <v>1.2075530495583608E-2</v>
      </c>
      <c r="C18">
        <f>('Data Saham'!C18-'Data Saham'!C17)/'Data Saham'!C17</f>
        <v>1.2578616352201259E-2</v>
      </c>
      <c r="D18">
        <f>('Data Saham'!D18-'Data Saham'!D17)/'Data Saham'!D17</f>
        <v>5.2631578947368418E-2</v>
      </c>
      <c r="E18">
        <f>('Data Saham'!E18-'Data Saham'!E17)/'Data Saham'!E17</f>
        <v>6.2780269058295965E-2</v>
      </c>
      <c r="F18">
        <f>('Data Saham'!F18-'Data Saham'!F17)/'Data Saham'!F17</f>
        <v>4.8387096774193547E-2</v>
      </c>
      <c r="G18">
        <f>('Data Saham'!G18-'Data Saham'!G17)/'Data Saham'!G17</f>
        <v>4.2918454935622317E-3</v>
      </c>
      <c r="H18">
        <f>('Data Saham'!H18-'Data Saham'!H17)/'Data Saham'!H17</f>
        <v>-8.5287846481876331E-3</v>
      </c>
      <c r="I18">
        <f>('Data Saham'!I18-'Data Saham'!I17)/'Data Saham'!I17</f>
        <v>-4.7961630695443642E-3</v>
      </c>
      <c r="J18">
        <f>('Data Saham'!J18-'Data Saham'!J17)/'Data Saham'!J17</f>
        <v>0</v>
      </c>
      <c r="K18">
        <f>('Data Saham'!K18-'Data Saham'!K17)/'Data Saham'!K17</f>
        <v>-2.8571428571428571E-3</v>
      </c>
      <c r="L18">
        <f>('Data Saham'!L18-'Data Saham'!L17)/'Data Saham'!L17</f>
        <v>2.6285714285714287E-2</v>
      </c>
      <c r="M18">
        <f>('Data Saham'!M18-'Data Saham'!M17)/'Data Saham'!M17</f>
        <v>6.2893081761006293E-3</v>
      </c>
      <c r="N18">
        <f>('Data Saham'!N18-'Data Saham'!N17)/'Data Saham'!N17</f>
        <v>3.7174721189591076E-3</v>
      </c>
      <c r="O18">
        <f>('Data Saham'!O18-'Data Saham'!O17)/'Data Saham'!O17</f>
        <v>-1.6393442622950821E-2</v>
      </c>
      <c r="P18">
        <f>('Data Saham'!P18-'Data Saham'!P17)/'Data Saham'!P17</f>
        <v>0</v>
      </c>
      <c r="Q18">
        <f>('Data Saham'!Q18-'Data Saham'!Q17)/'Data Saham'!Q17</f>
        <v>-1.3274336283185841E-2</v>
      </c>
      <c r="R18">
        <f>('Data Saham'!R18-'Data Saham'!R17)/'Data Saham'!R17</f>
        <v>2.7149321266968326E-2</v>
      </c>
      <c r="S18">
        <f>('Data Saham'!S18-'Data Saham'!S17)/'Data Saham'!S17</f>
        <v>0</v>
      </c>
      <c r="T18">
        <f>('Data Saham'!T18-'Data Saham'!T17)/'Data Saham'!T17</f>
        <v>-1.2626262626262626E-2</v>
      </c>
      <c r="U18">
        <f>('Data Saham'!U18-'Data Saham'!U17)/'Data Saham'!U17</f>
        <v>0.13063063063063063</v>
      </c>
      <c r="V18">
        <f>('Data Saham'!V18-'Data Saham'!V17)/'Data Saham'!V17</f>
        <v>5.5066079295154188E-3</v>
      </c>
      <c r="W18">
        <f>('Data Saham'!W18-'Data Saham'!W17)/'Data Saham'!W17</f>
        <v>-1.5267175572519083E-2</v>
      </c>
      <c r="X18">
        <f>('Data Saham'!X18-'Data Saham'!X17)/'Data Saham'!X17</f>
        <v>3.6529680365296802E-2</v>
      </c>
      <c r="Y18">
        <f>('Data Saham'!Y18-'Data Saham'!Y17)/'Data Saham'!Y17</f>
        <v>2.7472527472527472E-2</v>
      </c>
      <c r="Z18">
        <f>('Data Saham'!Z18-'Data Saham'!Z17)/'Data Saham'!Z17</f>
        <v>0.01</v>
      </c>
      <c r="AA18">
        <f>('Data Saham'!AA18-'Data Saham'!AA17)/'Data Saham'!AA17</f>
        <v>3.5714285714285712E-2</v>
      </c>
      <c r="AB18">
        <f>('Data Saham'!AB18-'Data Saham'!AB17)/'Data Saham'!AB17</f>
        <v>-1.2500000000000001E-2</v>
      </c>
      <c r="AC18">
        <f>('Data Saham'!AC18-'Data Saham'!AC17)/'Data Saham'!AC17</f>
        <v>-2.1428571428571429E-2</v>
      </c>
      <c r="AD18">
        <f>('Data Saham'!AD18-'Data Saham'!AD17)/'Data Saham'!AD17</f>
        <v>5.2910052910052907E-3</v>
      </c>
      <c r="AE18">
        <f>('Data Saham'!AE18-'Data Saham'!AE17)/'Data Saham'!AE17</f>
        <v>5.9171597633136093E-3</v>
      </c>
      <c r="AF18">
        <f>('Data Saham'!AF18-'Data Saham'!AF17)/'Data Saham'!AF17</f>
        <v>3.4722222222222224E-2</v>
      </c>
    </row>
    <row r="19" spans="1:32" x14ac:dyDescent="0.3">
      <c r="A19" s="4" t="s">
        <v>10</v>
      </c>
      <c r="B19">
        <f>('Data Saham'!B19-'Data Saham'!B18)/'Data Saham'!B18</f>
        <v>3.7965751601284202E-2</v>
      </c>
      <c r="C19">
        <f>('Data Saham'!C19-'Data Saham'!C18)/'Data Saham'!C18</f>
        <v>5.9006211180124224E-2</v>
      </c>
      <c r="D19">
        <f>('Data Saham'!D19-'Data Saham'!D18)/'Data Saham'!D18</f>
        <v>5.2631578947368418E-2</v>
      </c>
      <c r="E19">
        <f>('Data Saham'!E19-'Data Saham'!E18)/'Data Saham'!E18</f>
        <v>8.6497890295358648E-2</v>
      </c>
      <c r="F19">
        <f>('Data Saham'!F19-'Data Saham'!F18)/'Data Saham'!F18</f>
        <v>8.9743589743589744E-2</v>
      </c>
      <c r="G19">
        <f>('Data Saham'!G19-'Data Saham'!G18)/'Data Saham'!G18</f>
        <v>4.2735042735042736E-2</v>
      </c>
      <c r="H19">
        <f>('Data Saham'!H19-'Data Saham'!H18)/'Data Saham'!H18</f>
        <v>3.2258064516129031E-2</v>
      </c>
      <c r="I19">
        <f>('Data Saham'!I19-'Data Saham'!I18)/'Data Saham'!I18</f>
        <v>1.6867469879518072E-2</v>
      </c>
      <c r="J19">
        <f>('Data Saham'!J19-'Data Saham'!J18)/'Data Saham'!J18</f>
        <v>1.8382352941176471E-2</v>
      </c>
      <c r="K19">
        <f>('Data Saham'!K19-'Data Saham'!K18)/'Data Saham'!K18</f>
        <v>5.4441260744985676E-2</v>
      </c>
      <c r="L19">
        <f>('Data Saham'!L19-'Data Saham'!L18)/'Data Saham'!L18</f>
        <v>2.2271714922048998E-2</v>
      </c>
      <c r="M19">
        <f>('Data Saham'!M19-'Data Saham'!M18)/'Data Saham'!M18</f>
        <v>3.125E-2</v>
      </c>
      <c r="N19">
        <f>('Data Saham'!N19-'Data Saham'!N18)/'Data Saham'!N18</f>
        <v>7.407407407407407E-2</v>
      </c>
      <c r="O19">
        <f>('Data Saham'!O19-'Data Saham'!O18)/'Data Saham'!O18</f>
        <v>3.3333333333333333E-2</v>
      </c>
      <c r="P19">
        <f>('Data Saham'!P19-'Data Saham'!P18)/'Data Saham'!P18</f>
        <v>3.9603960396039604E-2</v>
      </c>
      <c r="Q19">
        <f>('Data Saham'!Q19-'Data Saham'!Q18)/'Data Saham'!Q18</f>
        <v>8.9686098654708519E-3</v>
      </c>
      <c r="R19">
        <f>('Data Saham'!R19-'Data Saham'!R18)/'Data Saham'!R18</f>
        <v>-3.0837004405286344E-2</v>
      </c>
      <c r="S19">
        <f>('Data Saham'!S19-'Data Saham'!S18)/'Data Saham'!S18</f>
        <v>1.8181818181818181E-2</v>
      </c>
      <c r="T19">
        <f>('Data Saham'!T19-'Data Saham'!T18)/'Data Saham'!T18</f>
        <v>2.8132992327365727E-2</v>
      </c>
      <c r="U19">
        <f>('Data Saham'!U19-'Data Saham'!U18)/'Data Saham'!U18</f>
        <v>9.5617529880478086E-2</v>
      </c>
      <c r="V19">
        <f>('Data Saham'!V19-'Data Saham'!V18)/'Data Saham'!V18</f>
        <v>2.9572836801752465E-2</v>
      </c>
      <c r="W19">
        <f>('Data Saham'!W19-'Data Saham'!W18)/'Data Saham'!W18</f>
        <v>5.4263565891472867E-2</v>
      </c>
      <c r="X19">
        <f>('Data Saham'!X19-'Data Saham'!X18)/'Data Saham'!X18</f>
        <v>-2.643171806167401E-2</v>
      </c>
      <c r="Y19">
        <f>('Data Saham'!Y19-'Data Saham'!Y18)/'Data Saham'!Y18</f>
        <v>7.4866310160427801E-2</v>
      </c>
      <c r="Z19">
        <f>('Data Saham'!Z19-'Data Saham'!Z18)/'Data Saham'!Z18</f>
        <v>2.9702970297029702E-2</v>
      </c>
      <c r="AA19">
        <f>('Data Saham'!AA19-'Data Saham'!AA18)/'Data Saham'!AA18</f>
        <v>1.532567049808429E-2</v>
      </c>
      <c r="AB19">
        <f>('Data Saham'!AB19-'Data Saham'!AB18)/'Data Saham'!AB18</f>
        <v>5.0632911392405063E-2</v>
      </c>
      <c r="AC19">
        <f>('Data Saham'!AC19-'Data Saham'!AC18)/'Data Saham'!AC18</f>
        <v>4.3795620437956206E-2</v>
      </c>
      <c r="AD19">
        <f>('Data Saham'!AD19-'Data Saham'!AD18)/'Data Saham'!AD18</f>
        <v>3.1578947368421054E-2</v>
      </c>
      <c r="AE19">
        <f>('Data Saham'!AE19-'Data Saham'!AE18)/'Data Saham'!AE18</f>
        <v>2.3529411764705882E-2</v>
      </c>
      <c r="AF19">
        <f>('Data Saham'!AF19-'Data Saham'!AF18)/'Data Saham'!AF18</f>
        <v>3.3557046979865772E-2</v>
      </c>
    </row>
    <row r="20" spans="1:32" x14ac:dyDescent="0.3">
      <c r="A20" s="3" t="s">
        <v>11</v>
      </c>
      <c r="B20">
        <f>('Data Saham'!B20-'Data Saham'!B19)/'Data Saham'!B19</f>
        <v>5.9112904720998553E-3</v>
      </c>
      <c r="C20">
        <f>('Data Saham'!C20-'Data Saham'!C19)/'Data Saham'!C19</f>
        <v>-2.9325513196480938E-3</v>
      </c>
      <c r="D20">
        <f>('Data Saham'!D20-'Data Saham'!D19)/'Data Saham'!D19</f>
        <v>1.2500000000000001E-2</v>
      </c>
      <c r="E20">
        <f>('Data Saham'!E20-'Data Saham'!E19)/'Data Saham'!E19</f>
        <v>9.7087378640776691E-3</v>
      </c>
      <c r="F20">
        <f>('Data Saham'!F20-'Data Saham'!F19)/'Data Saham'!F19</f>
        <v>-2.352941176470588E-3</v>
      </c>
      <c r="G20">
        <f>('Data Saham'!G20-'Data Saham'!G19)/'Data Saham'!G19</f>
        <v>-1.2295081967213115E-2</v>
      </c>
      <c r="H20">
        <f>('Data Saham'!H20-'Data Saham'!H19)/'Data Saham'!H19</f>
        <v>2.5000000000000001E-2</v>
      </c>
      <c r="I20">
        <f>('Data Saham'!I20-'Data Saham'!I19)/'Data Saham'!I19</f>
        <v>-3.5545023696682464E-2</v>
      </c>
      <c r="J20">
        <f>('Data Saham'!J20-'Data Saham'!J19)/'Data Saham'!J19</f>
        <v>2.5270758122743681E-2</v>
      </c>
      <c r="K20">
        <f>('Data Saham'!K20-'Data Saham'!K19)/'Data Saham'!K19</f>
        <v>2.717391304347826E-3</v>
      </c>
      <c r="L20">
        <f>('Data Saham'!L20-'Data Saham'!L19)/'Data Saham'!L19</f>
        <v>0</v>
      </c>
      <c r="M20">
        <f>('Data Saham'!M20-'Data Saham'!M19)/'Data Saham'!M19</f>
        <v>-9.0909090909090905E-3</v>
      </c>
      <c r="N20">
        <f>('Data Saham'!N20-'Data Saham'!N19)/'Data Saham'!N19</f>
        <v>-1.3793103448275862E-2</v>
      </c>
      <c r="O20">
        <f>('Data Saham'!O20-'Data Saham'!O19)/'Data Saham'!O19</f>
        <v>3.2258064516129032E-3</v>
      </c>
      <c r="P20">
        <f>('Data Saham'!P20-'Data Saham'!P19)/'Data Saham'!P19</f>
        <v>-3.8095238095238099E-2</v>
      </c>
      <c r="Q20">
        <f>('Data Saham'!Q20-'Data Saham'!Q19)/'Data Saham'!Q19</f>
        <v>1.3333333333333334E-2</v>
      </c>
      <c r="R20">
        <f>('Data Saham'!R20-'Data Saham'!R19)/'Data Saham'!R19</f>
        <v>3.1818181818181815E-2</v>
      </c>
      <c r="S20">
        <f>('Data Saham'!S20-'Data Saham'!S19)/'Data Saham'!S19</f>
        <v>-2.0089285714285716E-2</v>
      </c>
      <c r="T20">
        <f>('Data Saham'!T20-'Data Saham'!T19)/'Data Saham'!T19</f>
        <v>0</v>
      </c>
      <c r="U20">
        <f>('Data Saham'!U20-'Data Saham'!U19)/'Data Saham'!U19</f>
        <v>-3.6363636363636362E-2</v>
      </c>
      <c r="V20">
        <f>('Data Saham'!V20-'Data Saham'!V19)/'Data Saham'!V19</f>
        <v>2.1276595744680851E-3</v>
      </c>
      <c r="W20">
        <f>('Data Saham'!W20-'Data Saham'!W19)/'Data Saham'!W19</f>
        <v>4.4117647058823532E-2</v>
      </c>
      <c r="X20">
        <f>('Data Saham'!X20-'Data Saham'!X19)/'Data Saham'!X19</f>
        <v>-9.0497737556561094E-3</v>
      </c>
      <c r="Y20">
        <f>('Data Saham'!Y20-'Data Saham'!Y19)/'Data Saham'!Y19</f>
        <v>1.9900497512437811E-2</v>
      </c>
      <c r="Z20">
        <f>('Data Saham'!Z20-'Data Saham'!Z19)/'Data Saham'!Z19</f>
        <v>-3.8461538461538464E-2</v>
      </c>
      <c r="AA20">
        <f>('Data Saham'!AA20-'Data Saham'!AA19)/'Data Saham'!AA19</f>
        <v>1.8867924528301886E-2</v>
      </c>
      <c r="AB20">
        <f>('Data Saham'!AB20-'Data Saham'!AB19)/'Data Saham'!AB19</f>
        <v>0</v>
      </c>
      <c r="AC20">
        <f>('Data Saham'!AC20-'Data Saham'!AC19)/'Data Saham'!AC19</f>
        <v>0</v>
      </c>
      <c r="AD20">
        <f>('Data Saham'!AD20-'Data Saham'!AD19)/'Data Saham'!AD19</f>
        <v>5.1020408163265302E-3</v>
      </c>
      <c r="AE20">
        <f>('Data Saham'!AE20-'Data Saham'!AE19)/'Data Saham'!AE19</f>
        <v>-2.2988505747126436E-2</v>
      </c>
      <c r="AF20">
        <f>('Data Saham'!AF20-'Data Saham'!AF19)/'Data Saham'!AF19</f>
        <v>-2.5974025974025976E-2</v>
      </c>
    </row>
    <row r="21" spans="1:32" x14ac:dyDescent="0.3">
      <c r="A21" s="2">
        <v>45873</v>
      </c>
      <c r="B21">
        <f>('Data Saham'!B21-'Data Saham'!B20)/'Data Saham'!B20</f>
        <v>-7.9021659995514956E-2</v>
      </c>
      <c r="C21">
        <f>('Data Saham'!C21-'Data Saham'!C20)/'Data Saham'!C20</f>
        <v>-8.5294117647058826E-2</v>
      </c>
      <c r="D21">
        <f>('Data Saham'!D21-'Data Saham'!D20)/'Data Saham'!D20</f>
        <v>-0.10123456790123457</v>
      </c>
      <c r="E21">
        <f>('Data Saham'!E21-'Data Saham'!E20)/'Data Saham'!E20</f>
        <v>-0.10192307692307692</v>
      </c>
      <c r="F21">
        <f>('Data Saham'!F21-'Data Saham'!F20)/'Data Saham'!F20</f>
        <v>-4.9528301886792456E-2</v>
      </c>
      <c r="G21">
        <f>('Data Saham'!G21-'Data Saham'!G20)/'Data Saham'!G20</f>
        <v>-4.9792531120331947E-2</v>
      </c>
      <c r="H21">
        <f>('Data Saham'!H21-'Data Saham'!H20)/'Data Saham'!H20</f>
        <v>-8.943089430894309E-2</v>
      </c>
      <c r="I21">
        <f>('Data Saham'!I21-'Data Saham'!I20)/'Data Saham'!I20</f>
        <v>-4.6683046683046681E-2</v>
      </c>
      <c r="J21">
        <f>('Data Saham'!J21-'Data Saham'!J20)/'Data Saham'!J20</f>
        <v>1.4084507042253521E-2</v>
      </c>
      <c r="K21">
        <f>('Data Saham'!K21-'Data Saham'!K20)/'Data Saham'!K20</f>
        <v>-0.10840108401084012</v>
      </c>
      <c r="L21">
        <f>('Data Saham'!L21-'Data Saham'!L20)/'Data Saham'!L20</f>
        <v>-4.9019607843137254E-2</v>
      </c>
      <c r="M21">
        <f>('Data Saham'!M21-'Data Saham'!M20)/'Data Saham'!M20</f>
        <v>-0.14373088685015289</v>
      </c>
      <c r="N21">
        <f>('Data Saham'!N21-'Data Saham'!N20)/'Data Saham'!N20</f>
        <v>-0.14685314685314685</v>
      </c>
      <c r="O21">
        <f>('Data Saham'!O21-'Data Saham'!O20)/'Data Saham'!O20</f>
        <v>-7.0739549839228297E-2</v>
      </c>
      <c r="P21">
        <f>('Data Saham'!P21-'Data Saham'!P20)/'Data Saham'!P20</f>
        <v>-8.9108910891089105E-2</v>
      </c>
      <c r="Q21">
        <f>('Data Saham'!Q21-'Data Saham'!Q20)/'Data Saham'!Q20</f>
        <v>-3.5087719298245612E-2</v>
      </c>
      <c r="R21">
        <f>('Data Saham'!R21-'Data Saham'!R20)/'Data Saham'!R20</f>
        <v>-7.0484581497797363E-2</v>
      </c>
      <c r="S21">
        <f>('Data Saham'!S21-'Data Saham'!S20)/'Data Saham'!S20</f>
        <v>-9.3394077448747156E-2</v>
      </c>
      <c r="T21">
        <f>('Data Saham'!T21-'Data Saham'!T20)/'Data Saham'!T20</f>
        <v>-5.721393034825871E-2</v>
      </c>
      <c r="U21">
        <f>('Data Saham'!U21-'Data Saham'!U20)/'Data Saham'!U20</f>
        <v>-0.14716981132075471</v>
      </c>
      <c r="V21">
        <f>('Data Saham'!V21-'Data Saham'!V20)/'Data Saham'!V20</f>
        <v>-0.1464968152866242</v>
      </c>
      <c r="W21">
        <f>('Data Saham'!W21-'Data Saham'!W20)/'Data Saham'!W20</f>
        <v>-9.154929577464789E-2</v>
      </c>
      <c r="X21">
        <f>('Data Saham'!X21-'Data Saham'!X20)/'Data Saham'!X20</f>
        <v>-0.11415525114155251</v>
      </c>
      <c r="Y21">
        <f>('Data Saham'!Y21-'Data Saham'!Y20)/'Data Saham'!Y20</f>
        <v>-9.7560975609756097E-3</v>
      </c>
      <c r="Z21">
        <f>('Data Saham'!Z21-'Data Saham'!Z20)/'Data Saham'!Z20</f>
        <v>-0.1</v>
      </c>
      <c r="AA21">
        <f>('Data Saham'!AA21-'Data Saham'!AA20)/'Data Saham'!AA20</f>
        <v>-0.14814814814814814</v>
      </c>
      <c r="AB21">
        <f>('Data Saham'!AB21-'Data Saham'!AB20)/'Data Saham'!AB20</f>
        <v>-0.14457831325301204</v>
      </c>
      <c r="AC21">
        <f>('Data Saham'!AC21-'Data Saham'!AC20)/'Data Saham'!AC20</f>
        <v>-0.11888111888111888</v>
      </c>
      <c r="AD21">
        <f>('Data Saham'!AD21-'Data Saham'!AD20)/'Data Saham'!AD20</f>
        <v>-0.1065989847715736</v>
      </c>
      <c r="AE21">
        <f>('Data Saham'!AE21-'Data Saham'!AE20)/'Data Saham'!AE20</f>
        <v>-8.2352941176470587E-2</v>
      </c>
      <c r="AF21">
        <f>('Data Saham'!AF21-'Data Saham'!AF20)/'Data Saham'!AF20</f>
        <v>-0.04</v>
      </c>
    </row>
    <row r="22" spans="1:32" x14ac:dyDescent="0.3">
      <c r="A22" s="1">
        <v>45904</v>
      </c>
      <c r="B22">
        <f>('Data Saham'!B22-'Data Saham'!B21)/'Data Saham'!B21</f>
        <v>-4.694686915248901E-3</v>
      </c>
      <c r="C22">
        <f>('Data Saham'!C22-'Data Saham'!C21)/'Data Saham'!C21</f>
        <v>1.9292604501607719E-2</v>
      </c>
      <c r="D22">
        <f>('Data Saham'!D22-'Data Saham'!D21)/'Data Saham'!D21</f>
        <v>-2.7472527472527475E-3</v>
      </c>
      <c r="E22">
        <f>('Data Saham'!E22-'Data Saham'!E21)/'Data Saham'!E21</f>
        <v>8.5653104925053538E-3</v>
      </c>
      <c r="F22">
        <f>('Data Saham'!F22-'Data Saham'!F21)/'Data Saham'!F21</f>
        <v>2.4813895781637717E-3</v>
      </c>
      <c r="G22">
        <f>('Data Saham'!G22-'Data Saham'!G21)/'Data Saham'!G21</f>
        <v>1.3100436681222707E-2</v>
      </c>
      <c r="H22">
        <f>('Data Saham'!H22-'Data Saham'!H21)/'Data Saham'!H21</f>
        <v>3.125E-2</v>
      </c>
      <c r="I22">
        <f>('Data Saham'!I22-'Data Saham'!I21)/'Data Saham'!I21</f>
        <v>-1.2886597938144329E-2</v>
      </c>
      <c r="J22">
        <f>('Data Saham'!J22-'Data Saham'!J21)/'Data Saham'!J21</f>
        <v>-7.2916666666666671E-2</v>
      </c>
      <c r="K22">
        <f>('Data Saham'!K22-'Data Saham'!K21)/'Data Saham'!K21</f>
        <v>3.0395136778115501E-3</v>
      </c>
      <c r="L22">
        <f>('Data Saham'!L22-'Data Saham'!L21)/'Data Saham'!L21</f>
        <v>4.3528064146620846E-2</v>
      </c>
      <c r="M22">
        <f>('Data Saham'!M22-'Data Saham'!M21)/'Data Saham'!M21</f>
        <v>5.3571428571428568E-2</v>
      </c>
      <c r="N22">
        <f>('Data Saham'!N22-'Data Saham'!N21)/'Data Saham'!N21</f>
        <v>-0.14754098360655737</v>
      </c>
      <c r="O22">
        <f>('Data Saham'!O22-'Data Saham'!O21)/'Data Saham'!O21</f>
        <v>3.1141868512110725E-2</v>
      </c>
      <c r="P22">
        <f>('Data Saham'!P22-'Data Saham'!P21)/'Data Saham'!P21</f>
        <v>1.7391304347826087E-2</v>
      </c>
      <c r="Q22">
        <f>('Data Saham'!Q22-'Data Saham'!Q21)/'Data Saham'!Q21</f>
        <v>2.2727272727272728E-2</v>
      </c>
      <c r="R22">
        <f>('Data Saham'!R22-'Data Saham'!R21)/'Data Saham'!R21</f>
        <v>4.7393364928909949E-2</v>
      </c>
      <c r="S22">
        <f>('Data Saham'!S22-'Data Saham'!S21)/'Data Saham'!S21</f>
        <v>1.7587939698492462E-2</v>
      </c>
      <c r="T22">
        <f>('Data Saham'!T22-'Data Saham'!T21)/'Data Saham'!T21</f>
        <v>-7.9155672823219003E-3</v>
      </c>
      <c r="U22">
        <f>('Data Saham'!U22-'Data Saham'!U21)/'Data Saham'!U21</f>
        <v>-7.5221238938053103E-2</v>
      </c>
      <c r="V22">
        <f>('Data Saham'!V22-'Data Saham'!V21)/'Data Saham'!V21</f>
        <v>2.2388059701492536E-2</v>
      </c>
      <c r="W22">
        <f>('Data Saham'!W22-'Data Saham'!W21)/'Data Saham'!W21</f>
        <v>-6.9767441860465115E-2</v>
      </c>
      <c r="X22">
        <f>('Data Saham'!X22-'Data Saham'!X21)/'Data Saham'!X21</f>
        <v>-7.2164948453608241E-2</v>
      </c>
      <c r="Y22">
        <f>('Data Saham'!Y22-'Data Saham'!Y21)/'Data Saham'!Y21</f>
        <v>1.9704433497536946E-2</v>
      </c>
      <c r="Z22">
        <f>('Data Saham'!Z22-'Data Saham'!Z21)/'Data Saham'!Z21</f>
        <v>2.6666666666666668E-2</v>
      </c>
      <c r="AA22">
        <f>('Data Saham'!AA22-'Data Saham'!AA21)/'Data Saham'!AA21</f>
        <v>-4.3478260869565216E-2</v>
      </c>
      <c r="AB22">
        <f>('Data Saham'!AB22-'Data Saham'!AB21)/'Data Saham'!AB21</f>
        <v>-5.6338028169014086E-2</v>
      </c>
      <c r="AC22">
        <f>('Data Saham'!AC22-'Data Saham'!AC21)/'Data Saham'!AC21</f>
        <v>-1.5873015873015872E-2</v>
      </c>
      <c r="AD22">
        <f>('Data Saham'!AD22-'Data Saham'!AD21)/'Data Saham'!AD21</f>
        <v>0</v>
      </c>
      <c r="AE22">
        <f>('Data Saham'!AE22-'Data Saham'!AE21)/'Data Saham'!AE21</f>
        <v>0</v>
      </c>
      <c r="AF22">
        <f>('Data Saham'!AF22-'Data Saham'!AF21)/'Data Saham'!AF21</f>
        <v>3.4722222222222224E-2</v>
      </c>
    </row>
    <row r="23" spans="1:32" x14ac:dyDescent="0.3">
      <c r="A23" s="2">
        <v>45934</v>
      </c>
      <c r="B23">
        <f>('Data Saham'!B23-'Data Saham'!B22)/'Data Saham'!B22</f>
        <v>4.792735912761259E-2</v>
      </c>
      <c r="C23">
        <f>('Data Saham'!C23-'Data Saham'!C22)/'Data Saham'!C22</f>
        <v>3.7854889589905363E-2</v>
      </c>
      <c r="D23">
        <f>('Data Saham'!D23-'Data Saham'!D22)/'Data Saham'!D22</f>
        <v>4.6831955922865015E-2</v>
      </c>
      <c r="E23">
        <f>('Data Saham'!E23-'Data Saham'!E22)/'Data Saham'!E22</f>
        <v>6.6878980891719744E-2</v>
      </c>
      <c r="F23">
        <f>('Data Saham'!F23-'Data Saham'!F22)/'Data Saham'!F22</f>
        <v>5.4455445544554455E-2</v>
      </c>
      <c r="G23">
        <f>('Data Saham'!G23-'Data Saham'!G22)/'Data Saham'!G22</f>
        <v>1.2931034482758621E-2</v>
      </c>
      <c r="H23">
        <f>('Data Saham'!H23-'Data Saham'!H22)/'Data Saham'!H22</f>
        <v>1.948051948051948E-2</v>
      </c>
      <c r="I23">
        <f>('Data Saham'!I23-'Data Saham'!I22)/'Data Saham'!I22</f>
        <v>4.4386422976501305E-2</v>
      </c>
      <c r="J23">
        <f>('Data Saham'!J23-'Data Saham'!J22)/'Data Saham'!J22</f>
        <v>5.9925093632958802E-2</v>
      </c>
      <c r="K23">
        <f>('Data Saham'!K23-'Data Saham'!K22)/'Data Saham'!K22</f>
        <v>3.0303030303030304E-2</v>
      </c>
      <c r="L23">
        <f>('Data Saham'!L23-'Data Saham'!L22)/'Data Saham'!L22</f>
        <v>2.1953896816684963E-2</v>
      </c>
      <c r="M23">
        <f>('Data Saham'!M23-'Data Saham'!M22)/'Data Saham'!M22</f>
        <v>0.10508474576271186</v>
      </c>
      <c r="N23">
        <f>('Data Saham'!N23-'Data Saham'!N22)/'Data Saham'!N22</f>
        <v>0.17307692307692307</v>
      </c>
      <c r="O23">
        <f>('Data Saham'!O23-'Data Saham'!O22)/'Data Saham'!O22</f>
        <v>4.0268456375838924E-2</v>
      </c>
      <c r="P23">
        <f>('Data Saham'!P23-'Data Saham'!P22)/'Data Saham'!P22</f>
        <v>0.10042735042735043</v>
      </c>
      <c r="Q23">
        <f>('Data Saham'!Q23-'Data Saham'!Q22)/'Data Saham'!Q22</f>
        <v>1.3333333333333334E-2</v>
      </c>
      <c r="R23">
        <f>('Data Saham'!R23-'Data Saham'!R22)/'Data Saham'!R22</f>
        <v>3.6199095022624438E-2</v>
      </c>
      <c r="S23">
        <f>('Data Saham'!S23-'Data Saham'!S22)/'Data Saham'!S22</f>
        <v>3.2098765432098768E-2</v>
      </c>
      <c r="T23">
        <f>('Data Saham'!T23-'Data Saham'!T22)/'Data Saham'!T22</f>
        <v>4.7872340425531915E-2</v>
      </c>
      <c r="U23">
        <f>('Data Saham'!U23-'Data Saham'!U22)/'Data Saham'!U22</f>
        <v>3.3492822966507178E-2</v>
      </c>
      <c r="V23">
        <f>('Data Saham'!V23-'Data Saham'!V22)/'Data Saham'!V22</f>
        <v>6.0827250608272508E-2</v>
      </c>
      <c r="W23">
        <f>('Data Saham'!W23-'Data Saham'!W22)/'Data Saham'!W22</f>
        <v>9.166666666666666E-2</v>
      </c>
      <c r="X23">
        <f>('Data Saham'!X23-'Data Saham'!X22)/'Data Saham'!X22</f>
        <v>0.22222222222222221</v>
      </c>
      <c r="Y23">
        <f>('Data Saham'!Y23-'Data Saham'!Y22)/'Data Saham'!Y22</f>
        <v>0.10628019323671498</v>
      </c>
      <c r="Z23">
        <f>('Data Saham'!Z23-'Data Saham'!Z22)/'Data Saham'!Z22</f>
        <v>8.2251082251082255E-2</v>
      </c>
      <c r="AA23">
        <f>('Data Saham'!AA23-'Data Saham'!AA22)/'Data Saham'!AA22</f>
        <v>0.15909090909090909</v>
      </c>
      <c r="AB23">
        <f>('Data Saham'!AB23-'Data Saham'!AB22)/'Data Saham'!AB22</f>
        <v>0.13432835820895522</v>
      </c>
      <c r="AC23">
        <f>('Data Saham'!AC23-'Data Saham'!AC22)/'Data Saham'!AC22</f>
        <v>4.0322580645161289E-2</v>
      </c>
      <c r="AD23">
        <f>('Data Saham'!AD23-'Data Saham'!AD22)/'Data Saham'!AD22</f>
        <v>3.9772727272727272E-2</v>
      </c>
      <c r="AE23">
        <f>('Data Saham'!AE23-'Data Saham'!AE22)/'Data Saham'!AE22</f>
        <v>5.128205128205128E-2</v>
      </c>
      <c r="AF23">
        <f>('Data Saham'!AF23-'Data Saham'!AF22)/'Data Saham'!AF22</f>
        <v>6.7114093959731544E-2</v>
      </c>
    </row>
    <row r="24" spans="1:32" x14ac:dyDescent="0.3">
      <c r="A24" s="1">
        <v>45965</v>
      </c>
      <c r="B24">
        <f>('Data Saham'!B24-'Data Saham'!B23)/'Data Saham'!B23</f>
        <v>1.3127556355750584E-3</v>
      </c>
      <c r="C24">
        <f>('Data Saham'!C24-'Data Saham'!C23)/'Data Saham'!C23</f>
        <v>6.0790273556231003E-3</v>
      </c>
      <c r="D24">
        <f>('Data Saham'!D24-'Data Saham'!D23)/'Data Saham'!D23</f>
        <v>-4.4736842105263158E-2</v>
      </c>
      <c r="E24">
        <f>('Data Saham'!E24-'Data Saham'!E23)/'Data Saham'!E23</f>
        <v>1.4925373134328358E-2</v>
      </c>
      <c r="F24">
        <f>('Data Saham'!F24-'Data Saham'!F23)/'Data Saham'!F23</f>
        <v>3.0516431924882629E-2</v>
      </c>
      <c r="G24">
        <f>('Data Saham'!G24-'Data Saham'!G23)/'Data Saham'!G23</f>
        <v>-8.5106382978723406E-3</v>
      </c>
      <c r="H24">
        <f>('Data Saham'!H24-'Data Saham'!H23)/'Data Saham'!H23</f>
        <v>0</v>
      </c>
      <c r="I24">
        <f>('Data Saham'!I24-'Data Saham'!I23)/'Data Saham'!I23</f>
        <v>-7.4999999999999997E-3</v>
      </c>
      <c r="J24">
        <f>('Data Saham'!J24-'Data Saham'!J23)/'Data Saham'!J23</f>
        <v>-2.4734982332155476E-2</v>
      </c>
      <c r="K24">
        <f>('Data Saham'!K24-'Data Saham'!K23)/'Data Saham'!K23</f>
        <v>8.8235294117647058E-3</v>
      </c>
      <c r="L24">
        <f>('Data Saham'!L24-'Data Saham'!L23)/'Data Saham'!L23</f>
        <v>5.3705692803437165E-3</v>
      </c>
      <c r="M24">
        <f>('Data Saham'!M24-'Data Saham'!M23)/'Data Saham'!M23</f>
        <v>3.6809815950920248E-2</v>
      </c>
      <c r="N24">
        <f>('Data Saham'!N24-'Data Saham'!N23)/'Data Saham'!N23</f>
        <v>6.9672131147540978E-2</v>
      </c>
      <c r="O24">
        <f>('Data Saham'!O24-'Data Saham'!O23)/'Data Saham'!O23</f>
        <v>1.935483870967742E-2</v>
      </c>
      <c r="P24">
        <f>('Data Saham'!P24-'Data Saham'!P23)/'Data Saham'!P23</f>
        <v>-9.7087378640776691E-3</v>
      </c>
      <c r="Q24">
        <f>('Data Saham'!Q24-'Data Saham'!Q23)/'Data Saham'!Q23</f>
        <v>-3.5087719298245612E-2</v>
      </c>
      <c r="R24">
        <f>('Data Saham'!R24-'Data Saham'!R23)/'Data Saham'!R23</f>
        <v>3.0567685589519649E-2</v>
      </c>
      <c r="S24">
        <f>('Data Saham'!S24-'Data Saham'!S23)/'Data Saham'!S23</f>
        <v>-1.4354066985645933E-2</v>
      </c>
      <c r="T24">
        <f>('Data Saham'!T24-'Data Saham'!T23)/'Data Saham'!T23</f>
        <v>-1.2690355329949238E-2</v>
      </c>
      <c r="U24">
        <f>('Data Saham'!U24-'Data Saham'!U23)/'Data Saham'!U23</f>
        <v>-9.2592592592592587E-3</v>
      </c>
      <c r="V24">
        <f>('Data Saham'!V24-'Data Saham'!V23)/'Data Saham'!V23</f>
        <v>2.2935779816513763E-3</v>
      </c>
      <c r="W24">
        <f>('Data Saham'!W24-'Data Saham'!W23)/'Data Saham'!W23</f>
        <v>1.5267175572519083E-2</v>
      </c>
      <c r="X24">
        <f>('Data Saham'!X24-'Data Saham'!X23)/'Data Saham'!X23</f>
        <v>-4.5454545454545456E-2</v>
      </c>
      <c r="Y24">
        <f>('Data Saham'!Y24-'Data Saham'!Y23)/'Data Saham'!Y23</f>
        <v>-3.4934497816593885E-2</v>
      </c>
      <c r="Z24">
        <f>('Data Saham'!Z24-'Data Saham'!Z23)/'Data Saham'!Z23</f>
        <v>-1.6E-2</v>
      </c>
      <c r="AA24">
        <f>('Data Saham'!AA24-'Data Saham'!AA23)/'Data Saham'!AA23</f>
        <v>2.3529411764705882E-2</v>
      </c>
      <c r="AB24">
        <f>('Data Saham'!AB24-'Data Saham'!AB23)/'Data Saham'!AB23</f>
        <v>1.3157894736842105E-2</v>
      </c>
      <c r="AC24">
        <f>('Data Saham'!AC24-'Data Saham'!AC23)/'Data Saham'!AC23</f>
        <v>7.7519379844961239E-3</v>
      </c>
      <c r="AD24">
        <f>('Data Saham'!AD24-'Data Saham'!AD23)/'Data Saham'!AD23</f>
        <v>5.4644808743169399E-3</v>
      </c>
      <c r="AE24">
        <f>('Data Saham'!AE24-'Data Saham'!AE23)/'Data Saham'!AE23</f>
        <v>6.0975609756097563E-3</v>
      </c>
      <c r="AF24">
        <f>('Data Saham'!AF24-'Data Saham'!AF23)/'Data Saham'!AF23</f>
        <v>-6.2893081761006293E-3</v>
      </c>
    </row>
    <row r="25" spans="1:32" x14ac:dyDescent="0.3">
      <c r="A25" s="4" t="s">
        <v>12</v>
      </c>
      <c r="B25">
        <f>('Data Saham'!B25-'Data Saham'!B24)/'Data Saham'!B24</f>
        <v>1.6973186867936963E-2</v>
      </c>
      <c r="C25">
        <f>('Data Saham'!C25-'Data Saham'!C24)/'Data Saham'!C24</f>
        <v>1.5105740181268883E-2</v>
      </c>
      <c r="D25">
        <f>('Data Saham'!D25-'Data Saham'!D24)/'Data Saham'!D24</f>
        <v>1.6528925619834711E-2</v>
      </c>
      <c r="E25">
        <f>('Data Saham'!E25-'Data Saham'!E24)/'Data Saham'!E24</f>
        <v>-6.8627450980392163E-2</v>
      </c>
      <c r="F25">
        <f>('Data Saham'!F25-'Data Saham'!F24)/'Data Saham'!F24</f>
        <v>3.644646924829157E-2</v>
      </c>
      <c r="G25">
        <f>('Data Saham'!G25-'Data Saham'!G24)/'Data Saham'!G24</f>
        <v>4.2918454935622317E-2</v>
      </c>
      <c r="H25">
        <f>('Data Saham'!H25-'Data Saham'!H24)/'Data Saham'!H24</f>
        <v>4.6709129511677279E-2</v>
      </c>
      <c r="I25">
        <f>('Data Saham'!I25-'Data Saham'!I24)/'Data Saham'!I24</f>
        <v>4.0302267002518891E-2</v>
      </c>
      <c r="J25">
        <f>('Data Saham'!J25-'Data Saham'!J24)/'Data Saham'!J24</f>
        <v>3.2608695652173912E-2</v>
      </c>
      <c r="K25">
        <f>('Data Saham'!K25-'Data Saham'!K24)/'Data Saham'!K24</f>
        <v>2.9154518950437316E-2</v>
      </c>
      <c r="L25">
        <f>('Data Saham'!L25-'Data Saham'!L24)/'Data Saham'!L24</f>
        <v>5.9829059829059832E-2</v>
      </c>
      <c r="M25">
        <f>('Data Saham'!M25-'Data Saham'!M24)/'Data Saham'!M24</f>
        <v>8.2840236686390539E-2</v>
      </c>
      <c r="N25">
        <f>('Data Saham'!N25-'Data Saham'!N24)/'Data Saham'!N24</f>
        <v>0.10344827586206896</v>
      </c>
      <c r="O25">
        <f>('Data Saham'!O25-'Data Saham'!O24)/'Data Saham'!O24</f>
        <v>3.7974683544303799E-2</v>
      </c>
      <c r="P25">
        <f>('Data Saham'!P25-'Data Saham'!P24)/'Data Saham'!P24</f>
        <v>2.9411764705882353E-2</v>
      </c>
      <c r="Q25">
        <f>('Data Saham'!Q25-'Data Saham'!Q24)/'Data Saham'!Q24</f>
        <v>-4.5454545454545452E-3</v>
      </c>
      <c r="R25">
        <f>('Data Saham'!R25-'Data Saham'!R24)/'Data Saham'!R24</f>
        <v>5.0847457627118647E-2</v>
      </c>
      <c r="S25">
        <f>('Data Saham'!S25-'Data Saham'!S24)/'Data Saham'!S24</f>
        <v>4.8543689320388349E-2</v>
      </c>
      <c r="T25">
        <f>('Data Saham'!T25-'Data Saham'!T24)/'Data Saham'!T24</f>
        <v>5.3984575835475578E-2</v>
      </c>
      <c r="U25">
        <f>('Data Saham'!U25-'Data Saham'!U24)/'Data Saham'!U24</f>
        <v>0.14953271028037382</v>
      </c>
      <c r="V25">
        <f>('Data Saham'!V25-'Data Saham'!V24)/'Data Saham'!V24</f>
        <v>3.6613272311212815E-2</v>
      </c>
      <c r="W25">
        <f>('Data Saham'!W25-'Data Saham'!W24)/'Data Saham'!W24</f>
        <v>4.5112781954887216E-2</v>
      </c>
      <c r="X25">
        <f>('Data Saham'!X25-'Data Saham'!X24)/'Data Saham'!X24</f>
        <v>2.3809523809523808E-2</v>
      </c>
      <c r="Y25">
        <f>('Data Saham'!Y25-'Data Saham'!Y24)/'Data Saham'!Y24</f>
        <v>-1.8099547511312219E-2</v>
      </c>
      <c r="Z25">
        <f>('Data Saham'!Z25-'Data Saham'!Z24)/'Data Saham'!Z24</f>
        <v>7.7235772357723581E-2</v>
      </c>
      <c r="AA25">
        <f>('Data Saham'!AA25-'Data Saham'!AA24)/'Data Saham'!AA24</f>
        <v>4.2145593869731802E-2</v>
      </c>
      <c r="AB25">
        <f>('Data Saham'!AB25-'Data Saham'!AB24)/'Data Saham'!AB24</f>
        <v>3.896103896103896E-2</v>
      </c>
      <c r="AC25">
        <f>('Data Saham'!AC25-'Data Saham'!AC24)/'Data Saham'!AC24</f>
        <v>7.6923076923076927E-3</v>
      </c>
      <c r="AD25">
        <f>('Data Saham'!AD25-'Data Saham'!AD24)/'Data Saham'!AD24</f>
        <v>3.8043478260869568E-2</v>
      </c>
      <c r="AE25">
        <f>('Data Saham'!AE25-'Data Saham'!AE24)/'Data Saham'!AE24</f>
        <v>6.6666666666666666E-2</v>
      </c>
      <c r="AF25">
        <f>('Data Saham'!AF25-'Data Saham'!AF24)/'Data Saham'!AF24</f>
        <v>6.3291139240506333E-2</v>
      </c>
    </row>
    <row r="26" spans="1:32" x14ac:dyDescent="0.3">
      <c r="A26" s="3" t="s">
        <v>13</v>
      </c>
      <c r="B26">
        <f>('Data Saham'!B26-'Data Saham'!B25)/'Data Saham'!B25</f>
        <v>1.1487755396858272E-2</v>
      </c>
      <c r="C26">
        <f>('Data Saham'!C26-'Data Saham'!C25)/'Data Saham'!C25</f>
        <v>2.0833333333333332E-2</v>
      </c>
      <c r="D26">
        <f>('Data Saham'!D26-'Data Saham'!D25)/'Data Saham'!D25</f>
        <v>0</v>
      </c>
      <c r="E26">
        <f>('Data Saham'!E26-'Data Saham'!E25)/'Data Saham'!E25</f>
        <v>-8.4210526315789472E-3</v>
      </c>
      <c r="F26">
        <f>('Data Saham'!F26-'Data Saham'!F25)/'Data Saham'!F25</f>
        <v>-5.9340659340659338E-2</v>
      </c>
      <c r="G26">
        <f>('Data Saham'!G26-'Data Saham'!G25)/'Data Saham'!G25</f>
        <v>8.23045267489712E-3</v>
      </c>
      <c r="H26">
        <f>('Data Saham'!H26-'Data Saham'!H25)/'Data Saham'!H25</f>
        <v>-1.2170385395537525E-2</v>
      </c>
      <c r="I26">
        <f>('Data Saham'!I26-'Data Saham'!I25)/'Data Saham'!I25</f>
        <v>1.4527845036319613E-2</v>
      </c>
      <c r="J26">
        <f>('Data Saham'!J26-'Data Saham'!J25)/'Data Saham'!J25</f>
        <v>2.456140350877193E-2</v>
      </c>
      <c r="K26">
        <f>('Data Saham'!K26-'Data Saham'!K25)/'Data Saham'!K25</f>
        <v>1.9830028328611898E-2</v>
      </c>
      <c r="L26">
        <f>('Data Saham'!L26-'Data Saham'!L25)/'Data Saham'!L25</f>
        <v>-4.0322580645161289E-3</v>
      </c>
      <c r="M26">
        <f>('Data Saham'!M26-'Data Saham'!M25)/'Data Saham'!M25</f>
        <v>1.6393442622950821E-2</v>
      </c>
      <c r="N26">
        <f>('Data Saham'!N26-'Data Saham'!N25)/'Data Saham'!N25</f>
        <v>-6.9444444444444441E-3</v>
      </c>
      <c r="O26">
        <f>('Data Saham'!O26-'Data Saham'!O25)/'Data Saham'!O25</f>
        <v>2.7439024390243903E-2</v>
      </c>
      <c r="P26">
        <f>('Data Saham'!P26-'Data Saham'!P25)/'Data Saham'!P25</f>
        <v>0</v>
      </c>
      <c r="Q26">
        <f>('Data Saham'!Q26-'Data Saham'!Q25)/'Data Saham'!Q25</f>
        <v>-9.1324200913242004E-3</v>
      </c>
      <c r="R26">
        <f>('Data Saham'!R26-'Data Saham'!R25)/'Data Saham'!R25</f>
        <v>-3.6290322580645164E-2</v>
      </c>
      <c r="S26">
        <f>('Data Saham'!S26-'Data Saham'!S25)/'Data Saham'!S25</f>
        <v>-1.6203703703703703E-2</v>
      </c>
      <c r="T26">
        <f>('Data Saham'!T26-'Data Saham'!T25)/'Data Saham'!T25</f>
        <v>-2.4390243902439025E-2</v>
      </c>
      <c r="U26">
        <f>('Data Saham'!U26-'Data Saham'!U25)/'Data Saham'!U25</f>
        <v>1.6260162601626018E-2</v>
      </c>
      <c r="V26">
        <f>('Data Saham'!V26-'Data Saham'!V25)/'Data Saham'!V25</f>
        <v>7.7262693156732896E-3</v>
      </c>
      <c r="W26">
        <f>('Data Saham'!W26-'Data Saham'!W25)/'Data Saham'!W25</f>
        <v>1.4388489208633094E-2</v>
      </c>
      <c r="X26">
        <f>('Data Saham'!X26-'Data Saham'!X25)/'Data Saham'!X25</f>
        <v>-2.3255813953488372E-2</v>
      </c>
      <c r="Y26">
        <f>('Data Saham'!Y26-'Data Saham'!Y25)/'Data Saham'!Y25</f>
        <v>-4.1474654377880185E-2</v>
      </c>
      <c r="Z26">
        <f>('Data Saham'!Z26-'Data Saham'!Z25)/'Data Saham'!Z25</f>
        <v>-6.4150943396226415E-2</v>
      </c>
      <c r="AA26">
        <f>('Data Saham'!AA26-'Data Saham'!AA25)/'Data Saham'!AA25</f>
        <v>3.6764705882352941E-3</v>
      </c>
      <c r="AB26">
        <f>('Data Saham'!AB26-'Data Saham'!AB25)/'Data Saham'!AB25</f>
        <v>-1.2500000000000001E-2</v>
      </c>
      <c r="AC26">
        <f>('Data Saham'!AC26-'Data Saham'!AC25)/'Data Saham'!AC25</f>
        <v>0</v>
      </c>
      <c r="AD26">
        <f>('Data Saham'!AD26-'Data Saham'!AD25)/'Data Saham'!AD25</f>
        <v>1.5706806282722512E-2</v>
      </c>
      <c r="AE26">
        <f>('Data Saham'!AE26-'Data Saham'!AE25)/'Data Saham'!AE25</f>
        <v>0</v>
      </c>
      <c r="AF26">
        <f>('Data Saham'!AF26-'Data Saham'!AF25)/'Data Saham'!AF25</f>
        <v>5.9523809523809521E-3</v>
      </c>
    </row>
    <row r="27" spans="1:32" x14ac:dyDescent="0.3">
      <c r="A27" s="4" t="s">
        <v>14</v>
      </c>
      <c r="B27">
        <f>('Data Saham'!B27-'Data Saham'!B26)/'Data Saham'!B26</f>
        <v>-6.4625998186808578E-3</v>
      </c>
      <c r="C27">
        <f>('Data Saham'!C27-'Data Saham'!C26)/'Data Saham'!C26</f>
        <v>-1.1661807580174927E-2</v>
      </c>
      <c r="D27">
        <f>('Data Saham'!D27-'Data Saham'!D26)/'Data Saham'!D26</f>
        <v>-1.0840108401084011E-2</v>
      </c>
      <c r="E27">
        <f>('Data Saham'!E27-'Data Saham'!E26)/'Data Saham'!E26</f>
        <v>-1.6985138004246284E-2</v>
      </c>
      <c r="F27">
        <f>('Data Saham'!F27-'Data Saham'!F26)/'Data Saham'!F26</f>
        <v>-4.2056074766355138E-2</v>
      </c>
      <c r="G27">
        <f>('Data Saham'!G27-'Data Saham'!G26)/'Data Saham'!G26</f>
        <v>1.2244897959183673E-2</v>
      </c>
      <c r="H27">
        <f>('Data Saham'!H27-'Data Saham'!H26)/'Data Saham'!H26</f>
        <v>-1.8480492813141684E-2</v>
      </c>
      <c r="I27">
        <f>('Data Saham'!I27-'Data Saham'!I26)/'Data Saham'!I26</f>
        <v>-2.1479713603818614E-2</v>
      </c>
      <c r="J27">
        <f>('Data Saham'!J27-'Data Saham'!J26)/'Data Saham'!J26</f>
        <v>1.3698630136986301E-2</v>
      </c>
      <c r="K27">
        <f>('Data Saham'!K27-'Data Saham'!K26)/'Data Saham'!K26</f>
        <v>0</v>
      </c>
      <c r="L27">
        <f>('Data Saham'!L27-'Data Saham'!L26)/'Data Saham'!L26</f>
        <v>-4.048582995951417E-3</v>
      </c>
      <c r="M27">
        <f>('Data Saham'!M27-'Data Saham'!M26)/'Data Saham'!M26</f>
        <v>3.4946236559139782E-2</v>
      </c>
      <c r="N27">
        <f>('Data Saham'!N27-'Data Saham'!N26)/'Data Saham'!N26</f>
        <v>-1.048951048951049E-2</v>
      </c>
      <c r="O27">
        <f>('Data Saham'!O27-'Data Saham'!O26)/'Data Saham'!O26</f>
        <v>-8.9020771513353119E-3</v>
      </c>
      <c r="P27">
        <f>('Data Saham'!P27-'Data Saham'!P26)/'Data Saham'!P26</f>
        <v>-1.9047619047619049E-2</v>
      </c>
      <c r="Q27">
        <f>('Data Saham'!Q27-'Data Saham'!Q26)/'Data Saham'!Q26</f>
        <v>9.2165898617511521E-3</v>
      </c>
      <c r="R27">
        <f>('Data Saham'!R27-'Data Saham'!R26)/'Data Saham'!R26</f>
        <v>5.0209205020920501E-2</v>
      </c>
      <c r="S27">
        <f>('Data Saham'!S27-'Data Saham'!S26)/'Data Saham'!S26</f>
        <v>2.352941176470588E-3</v>
      </c>
      <c r="T27">
        <f>('Data Saham'!T27-'Data Saham'!T26)/'Data Saham'!T26</f>
        <v>2.5000000000000001E-2</v>
      </c>
      <c r="U27">
        <f>('Data Saham'!U27-'Data Saham'!U26)/'Data Saham'!U26</f>
        <v>-0.02</v>
      </c>
      <c r="V27">
        <f>('Data Saham'!V27-'Data Saham'!V26)/'Data Saham'!V26</f>
        <v>-2.628696604600219E-2</v>
      </c>
      <c r="W27">
        <f>('Data Saham'!W27-'Data Saham'!W26)/'Data Saham'!W26</f>
        <v>3.5460992907801421E-2</v>
      </c>
      <c r="X27">
        <f>('Data Saham'!X27-'Data Saham'!X26)/'Data Saham'!X26</f>
        <v>-4.7619047619047623E-3</v>
      </c>
      <c r="Y27">
        <f>('Data Saham'!Y27-'Data Saham'!Y26)/'Data Saham'!Y26</f>
        <v>-6.0096153846153848E-2</v>
      </c>
      <c r="Z27">
        <f>('Data Saham'!Z27-'Data Saham'!Z26)/'Data Saham'!Z26</f>
        <v>-1.6129032258064516E-2</v>
      </c>
      <c r="AA27">
        <f>('Data Saham'!AA27-'Data Saham'!AA26)/'Data Saham'!AA26</f>
        <v>0</v>
      </c>
      <c r="AB27">
        <f>('Data Saham'!AB27-'Data Saham'!AB26)/'Data Saham'!AB26</f>
        <v>1.2658227848101266E-2</v>
      </c>
      <c r="AC27">
        <f>('Data Saham'!AC27-'Data Saham'!AC26)/'Data Saham'!AC26</f>
        <v>-1.5267175572519083E-2</v>
      </c>
      <c r="AD27">
        <f>('Data Saham'!AD27-'Data Saham'!AD26)/'Data Saham'!AD26</f>
        <v>-2.5773195876288658E-2</v>
      </c>
      <c r="AE27">
        <f>('Data Saham'!AE27-'Data Saham'!AE26)/'Data Saham'!AE26</f>
        <v>-1.1363636363636364E-2</v>
      </c>
      <c r="AF27">
        <f>('Data Saham'!AF27-'Data Saham'!AF26)/'Data Saham'!AF26</f>
        <v>-3.5502958579881658E-2</v>
      </c>
    </row>
    <row r="28" spans="1:32" x14ac:dyDescent="0.3">
      <c r="A28" s="3" t="s">
        <v>15</v>
      </c>
      <c r="B28">
        <f>('Data Saham'!B28-'Data Saham'!B27)/'Data Saham'!B27</f>
        <v>5.9718283450910939E-3</v>
      </c>
      <c r="C28">
        <f>('Data Saham'!C28-'Data Saham'!C27)/'Data Saham'!C27</f>
        <v>2.9498525073746312E-3</v>
      </c>
      <c r="D28">
        <f>('Data Saham'!D28-'Data Saham'!D27)/'Data Saham'!D27</f>
        <v>-2.7397260273972603E-3</v>
      </c>
      <c r="E28">
        <f>('Data Saham'!E28-'Data Saham'!E27)/'Data Saham'!E27</f>
        <v>-6.4794816414686825E-3</v>
      </c>
      <c r="F28">
        <f>('Data Saham'!F28-'Data Saham'!F27)/'Data Saham'!F27</f>
        <v>-1.4634146341463415E-2</v>
      </c>
      <c r="G28">
        <f>('Data Saham'!G28-'Data Saham'!G27)/'Data Saham'!G27</f>
        <v>2.8225806451612902E-2</v>
      </c>
      <c r="H28">
        <f>('Data Saham'!H28-'Data Saham'!H27)/'Data Saham'!H27</f>
        <v>-6.2761506276150627E-3</v>
      </c>
      <c r="I28">
        <f>('Data Saham'!I28-'Data Saham'!I27)/'Data Saham'!I27</f>
        <v>3.4146341463414637E-2</v>
      </c>
      <c r="J28">
        <f>('Data Saham'!J28-'Data Saham'!J27)/'Data Saham'!J27</f>
        <v>-1.3513513513513514E-2</v>
      </c>
      <c r="K28">
        <f>('Data Saham'!K28-'Data Saham'!K27)/'Data Saham'!K27</f>
        <v>0</v>
      </c>
      <c r="L28">
        <f>('Data Saham'!L28-'Data Saham'!L27)/'Data Saham'!L27</f>
        <v>8.130081300813009E-3</v>
      </c>
      <c r="M28">
        <f>('Data Saham'!M28-'Data Saham'!M27)/'Data Saham'!M27</f>
        <v>1.038961038961039E-2</v>
      </c>
      <c r="N28">
        <f>('Data Saham'!N28-'Data Saham'!N27)/'Data Saham'!N27</f>
        <v>0.16254416961130741</v>
      </c>
      <c r="O28">
        <f>('Data Saham'!O28-'Data Saham'!O27)/'Data Saham'!O27</f>
        <v>2.9940119760479044E-3</v>
      </c>
      <c r="P28">
        <f>('Data Saham'!P28-'Data Saham'!P27)/'Data Saham'!P27</f>
        <v>3.8834951456310676E-2</v>
      </c>
      <c r="Q28">
        <f>('Data Saham'!Q28-'Data Saham'!Q27)/'Data Saham'!Q27</f>
        <v>-4.5662100456621002E-3</v>
      </c>
      <c r="R28">
        <f>('Data Saham'!R28-'Data Saham'!R27)/'Data Saham'!R27</f>
        <v>-4.3824701195219126E-2</v>
      </c>
      <c r="S28">
        <f>('Data Saham'!S28-'Data Saham'!S27)/'Data Saham'!S27</f>
        <v>-4.6948356807511738E-3</v>
      </c>
      <c r="T28">
        <f>('Data Saham'!T28-'Data Saham'!T27)/'Data Saham'!T27</f>
        <v>-1.9512195121951219E-2</v>
      </c>
      <c r="U28">
        <f>('Data Saham'!U28-'Data Saham'!U27)/'Data Saham'!U27</f>
        <v>0</v>
      </c>
      <c r="V28">
        <f>('Data Saham'!V28-'Data Saham'!V27)/'Data Saham'!V27</f>
        <v>0</v>
      </c>
      <c r="W28">
        <f>('Data Saham'!W28-'Data Saham'!W27)/'Data Saham'!W27</f>
        <v>4.7945205479452052E-2</v>
      </c>
      <c r="X28">
        <f>('Data Saham'!X28-'Data Saham'!X27)/'Data Saham'!X27</f>
        <v>4.7846889952153108E-3</v>
      </c>
      <c r="Y28">
        <f>('Data Saham'!Y28-'Data Saham'!Y27)/'Data Saham'!Y27</f>
        <v>2.5575447570332483E-3</v>
      </c>
      <c r="Z28">
        <f>('Data Saham'!Z28-'Data Saham'!Z27)/'Data Saham'!Z27</f>
        <v>-3.2786885245901641E-2</v>
      </c>
      <c r="AA28">
        <f>('Data Saham'!AA28-'Data Saham'!AA27)/'Data Saham'!AA27</f>
        <v>3.663003663003663E-3</v>
      </c>
      <c r="AB28">
        <f>('Data Saham'!AB28-'Data Saham'!AB27)/'Data Saham'!AB27</f>
        <v>0</v>
      </c>
      <c r="AC28">
        <f>('Data Saham'!AC28-'Data Saham'!AC27)/'Data Saham'!AC27</f>
        <v>4.6511627906976744E-2</v>
      </c>
      <c r="AD28">
        <f>('Data Saham'!AD28-'Data Saham'!AD27)/'Data Saham'!AD27</f>
        <v>2.6455026455026454E-2</v>
      </c>
      <c r="AE28">
        <f>('Data Saham'!AE28-'Data Saham'!AE27)/'Data Saham'!AE27</f>
        <v>2.2988505747126436E-2</v>
      </c>
      <c r="AF28">
        <f>('Data Saham'!AF28-'Data Saham'!AF27)/'Data Saham'!AF27</f>
        <v>3.0674846625766871E-2</v>
      </c>
    </row>
    <row r="29" spans="1:32" x14ac:dyDescent="0.3">
      <c r="A29" s="4" t="s">
        <v>16</v>
      </c>
      <c r="B29">
        <f>('Data Saham'!B29-'Data Saham'!B28)/'Data Saham'!B28</f>
        <v>1.1959734524957509E-3</v>
      </c>
      <c r="C29">
        <f>('Data Saham'!C29-'Data Saham'!C28)/'Data Saham'!C28</f>
        <v>-2.3529411764705882E-2</v>
      </c>
      <c r="D29">
        <f>('Data Saham'!D29-'Data Saham'!D28)/'Data Saham'!D28</f>
        <v>-5.4945054945054949E-3</v>
      </c>
      <c r="E29">
        <f>('Data Saham'!E29-'Data Saham'!E28)/'Data Saham'!E28</f>
        <v>2.1739130434782609E-3</v>
      </c>
      <c r="F29">
        <f>('Data Saham'!F29-'Data Saham'!F28)/'Data Saham'!F28</f>
        <v>-1.2376237623762377E-2</v>
      </c>
      <c r="G29">
        <f>('Data Saham'!G29-'Data Saham'!G28)/'Data Saham'!G28</f>
        <v>7.8431372549019607E-3</v>
      </c>
      <c r="H29">
        <f>('Data Saham'!H29-'Data Saham'!H28)/'Data Saham'!H28</f>
        <v>8.4210526315789472E-3</v>
      </c>
      <c r="I29">
        <f>('Data Saham'!I29-'Data Saham'!I28)/'Data Saham'!I28</f>
        <v>-4.7169811320754715E-3</v>
      </c>
      <c r="J29">
        <f>('Data Saham'!J29-'Data Saham'!J28)/'Data Saham'!J28</f>
        <v>6.8493150684931503E-3</v>
      </c>
      <c r="K29">
        <f>('Data Saham'!K29-'Data Saham'!K28)/'Data Saham'!K28</f>
        <v>2.7777777777777779E-3</v>
      </c>
      <c r="L29">
        <f>('Data Saham'!L29-'Data Saham'!L28)/'Data Saham'!L28</f>
        <v>-0.10584677419354839</v>
      </c>
      <c r="M29">
        <f>('Data Saham'!M29-'Data Saham'!M28)/'Data Saham'!M28</f>
        <v>7.4550128534704371E-2</v>
      </c>
      <c r="N29">
        <f>('Data Saham'!N29-'Data Saham'!N28)/'Data Saham'!N28</f>
        <v>3.0395136778115502E-2</v>
      </c>
      <c r="O29">
        <f>('Data Saham'!O29-'Data Saham'!O28)/'Data Saham'!O28</f>
        <v>2.9850746268656717E-3</v>
      </c>
      <c r="P29">
        <f>('Data Saham'!P29-'Data Saham'!P28)/'Data Saham'!P28</f>
        <v>0</v>
      </c>
      <c r="Q29">
        <f>('Data Saham'!Q29-'Data Saham'!Q28)/'Data Saham'!Q28</f>
        <v>-2.7522935779816515E-2</v>
      </c>
      <c r="R29">
        <f>('Data Saham'!R29-'Data Saham'!R28)/'Data Saham'!R28</f>
        <v>2.0833333333333332E-2</v>
      </c>
      <c r="S29">
        <f>('Data Saham'!S29-'Data Saham'!S28)/'Data Saham'!S28</f>
        <v>-1.8867924528301886E-2</v>
      </c>
      <c r="T29">
        <f>('Data Saham'!T29-'Data Saham'!T28)/'Data Saham'!T28</f>
        <v>-5.2238805970149252E-2</v>
      </c>
      <c r="U29">
        <f>('Data Saham'!U29-'Data Saham'!U28)/'Data Saham'!U28</f>
        <v>-3.2653061224489799E-2</v>
      </c>
      <c r="V29">
        <f>('Data Saham'!V29-'Data Saham'!V28)/'Data Saham'!V28</f>
        <v>3.0371203599550055E-2</v>
      </c>
      <c r="W29">
        <f>('Data Saham'!W29-'Data Saham'!W28)/'Data Saham'!W28</f>
        <v>0</v>
      </c>
      <c r="X29">
        <f>('Data Saham'!X29-'Data Saham'!X28)/'Data Saham'!X28</f>
        <v>2.3809523809523808E-2</v>
      </c>
      <c r="Y29">
        <f>('Data Saham'!Y29-'Data Saham'!Y28)/'Data Saham'!Y28</f>
        <v>-1.2755102040816327E-2</v>
      </c>
      <c r="Z29">
        <f>('Data Saham'!Z29-'Data Saham'!Z28)/'Data Saham'!Z28</f>
        <v>1.2711864406779662E-2</v>
      </c>
      <c r="AA29">
        <f>('Data Saham'!AA29-'Data Saham'!AA28)/'Data Saham'!AA28</f>
        <v>7.2992700729927005E-3</v>
      </c>
      <c r="AB29">
        <f>('Data Saham'!AB29-'Data Saham'!AB28)/'Data Saham'!AB28</f>
        <v>-1.2500000000000001E-2</v>
      </c>
      <c r="AC29">
        <f>('Data Saham'!AC29-'Data Saham'!AC28)/'Data Saham'!AC28</f>
        <v>3.7037037037037035E-2</v>
      </c>
      <c r="AD29">
        <f>('Data Saham'!AD29-'Data Saham'!AD28)/'Data Saham'!AD28</f>
        <v>1.0309278350515464E-2</v>
      </c>
      <c r="AE29">
        <f>('Data Saham'!AE29-'Data Saham'!AE28)/'Data Saham'!AE28</f>
        <v>-1.1235955056179775E-2</v>
      </c>
      <c r="AF29">
        <f>('Data Saham'!AF29-'Data Saham'!AF28)/'Data Saham'!AF28</f>
        <v>5.9523809523809521E-3</v>
      </c>
    </row>
    <row r="30" spans="1:32" x14ac:dyDescent="0.3">
      <c r="A30" s="3" t="s">
        <v>17</v>
      </c>
      <c r="B30">
        <f>('Data Saham'!B30-'Data Saham'!B29)/'Data Saham'!B29</f>
        <v>1.4319024134459232E-2</v>
      </c>
      <c r="C30">
        <f>('Data Saham'!C30-'Data Saham'!C29)/'Data Saham'!C29</f>
        <v>2.4096385542168676E-2</v>
      </c>
      <c r="D30">
        <f>('Data Saham'!D30-'Data Saham'!D29)/'Data Saham'!D29</f>
        <v>2.7624309392265192E-3</v>
      </c>
      <c r="E30">
        <f>('Data Saham'!E30-'Data Saham'!E29)/'Data Saham'!E29</f>
        <v>2.3861171366594359E-2</v>
      </c>
      <c r="F30">
        <f>('Data Saham'!F30-'Data Saham'!F29)/'Data Saham'!F29</f>
        <v>5.0125313283208017E-3</v>
      </c>
      <c r="G30">
        <f>('Data Saham'!G30-'Data Saham'!G29)/'Data Saham'!G29</f>
        <v>-7.7821011673151752E-3</v>
      </c>
      <c r="H30">
        <f>('Data Saham'!H30-'Data Saham'!H29)/'Data Saham'!H29</f>
        <v>-1.0438413361169102E-2</v>
      </c>
      <c r="I30">
        <f>('Data Saham'!I30-'Data Saham'!I29)/'Data Saham'!I29</f>
        <v>-7.1090047393364926E-3</v>
      </c>
      <c r="J30">
        <f>('Data Saham'!J30-'Data Saham'!J29)/'Data Saham'!J29</f>
        <v>-2.0408163265306121E-2</v>
      </c>
      <c r="K30">
        <f>('Data Saham'!K30-'Data Saham'!K29)/'Data Saham'!K29</f>
        <v>4.1551246537396121E-2</v>
      </c>
      <c r="L30">
        <f>('Data Saham'!L30-'Data Saham'!L29)/'Data Saham'!L29</f>
        <v>6.7643742953776773E-3</v>
      </c>
      <c r="M30">
        <f>('Data Saham'!M30-'Data Saham'!M29)/'Data Saham'!M29</f>
        <v>4.784688995215311E-2</v>
      </c>
      <c r="N30">
        <f>('Data Saham'!N30-'Data Saham'!N29)/'Data Saham'!N29</f>
        <v>-1.7699115044247787E-2</v>
      </c>
      <c r="O30">
        <f>('Data Saham'!O30-'Data Saham'!O29)/'Data Saham'!O29</f>
        <v>-2.976190476190476E-3</v>
      </c>
      <c r="P30">
        <f>('Data Saham'!P30-'Data Saham'!P29)/'Data Saham'!P29</f>
        <v>9.3457943925233638E-3</v>
      </c>
      <c r="Q30">
        <f>('Data Saham'!Q30-'Data Saham'!Q29)/'Data Saham'!Q29</f>
        <v>-9.433962264150943E-3</v>
      </c>
      <c r="R30">
        <f>('Data Saham'!R30-'Data Saham'!R29)/'Data Saham'!R29</f>
        <v>-2.0408163265306121E-2</v>
      </c>
      <c r="S30">
        <f>('Data Saham'!S30-'Data Saham'!S29)/'Data Saham'!S29</f>
        <v>-2.6442307692307692E-2</v>
      </c>
      <c r="T30">
        <f>('Data Saham'!T30-'Data Saham'!T29)/'Data Saham'!T29</f>
        <v>-9.9737532808398949E-2</v>
      </c>
      <c r="U30">
        <f>('Data Saham'!U30-'Data Saham'!U29)/'Data Saham'!U29</f>
        <v>7.1729957805907171E-2</v>
      </c>
      <c r="V30">
        <f>('Data Saham'!V30-'Data Saham'!V29)/'Data Saham'!V29</f>
        <v>5.4585152838427945E-3</v>
      </c>
      <c r="W30">
        <f>('Data Saham'!W30-'Data Saham'!W29)/'Data Saham'!W29</f>
        <v>6.5359477124183009E-3</v>
      </c>
      <c r="X30">
        <f>('Data Saham'!X30-'Data Saham'!X29)/'Data Saham'!X29</f>
        <v>2.7906976744186046E-2</v>
      </c>
      <c r="Y30">
        <f>('Data Saham'!Y30-'Data Saham'!Y29)/'Data Saham'!Y29</f>
        <v>-1.2919896640826873E-2</v>
      </c>
      <c r="Z30">
        <f>('Data Saham'!Z30-'Data Saham'!Z29)/'Data Saham'!Z29</f>
        <v>1.2552301255230125E-2</v>
      </c>
      <c r="AA30">
        <f>('Data Saham'!AA30-'Data Saham'!AA29)/'Data Saham'!AA29</f>
        <v>0</v>
      </c>
      <c r="AB30">
        <f>('Data Saham'!AB30-'Data Saham'!AB29)/'Data Saham'!AB29</f>
        <v>0</v>
      </c>
      <c r="AC30">
        <f>('Data Saham'!AC30-'Data Saham'!AC29)/'Data Saham'!AC29</f>
        <v>-1.4285714285714285E-2</v>
      </c>
      <c r="AD30">
        <f>('Data Saham'!AD30-'Data Saham'!AD29)/'Data Saham'!AD29</f>
        <v>3.0612244897959183E-2</v>
      </c>
      <c r="AE30">
        <f>('Data Saham'!AE30-'Data Saham'!AE29)/'Data Saham'!AE29</f>
        <v>3.9772727272727272E-2</v>
      </c>
      <c r="AF30">
        <f>('Data Saham'!AF30-'Data Saham'!AF29)/'Data Saham'!AF29</f>
        <v>0</v>
      </c>
    </row>
    <row r="31" spans="1:32" x14ac:dyDescent="0.3">
      <c r="A31" s="4" t="s">
        <v>18</v>
      </c>
      <c r="B31">
        <f>('Data Saham'!B31-'Data Saham'!B30)/'Data Saham'!B30</f>
        <v>1.4699607082607428E-2</v>
      </c>
      <c r="C31">
        <f>('Data Saham'!C31-'Data Saham'!C30)/'Data Saham'!C30</f>
        <v>2.6470588235294117E-2</v>
      </c>
      <c r="D31">
        <f>('Data Saham'!D31-'Data Saham'!D30)/'Data Saham'!D30</f>
        <v>3.5812672176308541E-2</v>
      </c>
      <c r="E31">
        <f>('Data Saham'!E31-'Data Saham'!E30)/'Data Saham'!E30</f>
        <v>3.8135593220338986E-2</v>
      </c>
      <c r="F31">
        <f>('Data Saham'!F31-'Data Saham'!F30)/'Data Saham'!F30</f>
        <v>3.4912718204488775E-2</v>
      </c>
      <c r="G31">
        <f>('Data Saham'!G31-'Data Saham'!G30)/'Data Saham'!G30</f>
        <v>3.1372549019607843E-2</v>
      </c>
      <c r="H31">
        <f>('Data Saham'!H31-'Data Saham'!H30)/'Data Saham'!H30</f>
        <v>1.6877637130801686E-2</v>
      </c>
      <c r="I31">
        <f>('Data Saham'!I31-'Data Saham'!I30)/'Data Saham'!I30</f>
        <v>2.1479713603818614E-2</v>
      </c>
      <c r="J31">
        <f>('Data Saham'!J31-'Data Saham'!J30)/'Data Saham'!J30</f>
        <v>2.0833333333333332E-2</v>
      </c>
      <c r="K31">
        <f>('Data Saham'!K31-'Data Saham'!K30)/'Data Saham'!K30</f>
        <v>-1.5957446808510637E-2</v>
      </c>
      <c r="L31">
        <f>('Data Saham'!L31-'Data Saham'!L30)/'Data Saham'!L30</f>
        <v>-1.1198208286674132E-3</v>
      </c>
      <c r="M31">
        <f>('Data Saham'!M31-'Data Saham'!M30)/'Data Saham'!M30</f>
        <v>-5.4794520547945202E-2</v>
      </c>
      <c r="N31">
        <f>('Data Saham'!N31-'Data Saham'!N30)/'Data Saham'!N30</f>
        <v>-5.7057057057057055E-2</v>
      </c>
      <c r="O31">
        <f>('Data Saham'!O31-'Data Saham'!O30)/'Data Saham'!O30</f>
        <v>2.3880597014925373E-2</v>
      </c>
      <c r="P31">
        <f>('Data Saham'!P31-'Data Saham'!P30)/'Data Saham'!P30</f>
        <v>1.8518518518518517E-2</v>
      </c>
      <c r="Q31">
        <f>('Data Saham'!Q31-'Data Saham'!Q30)/'Data Saham'!Q30</f>
        <v>4.7619047619047623E-3</v>
      </c>
      <c r="R31">
        <f>('Data Saham'!R31-'Data Saham'!R30)/'Data Saham'!R30</f>
        <v>6.6666666666666666E-2</v>
      </c>
      <c r="S31">
        <f>('Data Saham'!S31-'Data Saham'!S30)/'Data Saham'!S30</f>
        <v>3.4567901234567898E-2</v>
      </c>
      <c r="T31">
        <f>('Data Saham'!T31-'Data Saham'!T30)/'Data Saham'!T30</f>
        <v>2.9154518950437317E-3</v>
      </c>
      <c r="U31">
        <f>('Data Saham'!U31-'Data Saham'!U30)/'Data Saham'!U30</f>
        <v>3.937007874015748E-3</v>
      </c>
      <c r="V31">
        <f>('Data Saham'!V31-'Data Saham'!V30)/'Data Saham'!V30</f>
        <v>1.0857763300760044E-3</v>
      </c>
      <c r="W31">
        <f>('Data Saham'!W31-'Data Saham'!W30)/'Data Saham'!W30</f>
        <v>6.4935064935064939E-3</v>
      </c>
      <c r="X31">
        <f>('Data Saham'!X31-'Data Saham'!X30)/'Data Saham'!X30</f>
        <v>2.7149321266968326E-2</v>
      </c>
      <c r="Y31">
        <f>('Data Saham'!Y31-'Data Saham'!Y30)/'Data Saham'!Y30</f>
        <v>4.712041884816754E-2</v>
      </c>
      <c r="Z31">
        <f>('Data Saham'!Z31-'Data Saham'!Z30)/'Data Saham'!Z30</f>
        <v>4.3388429752066117E-2</v>
      </c>
      <c r="AA31">
        <f>('Data Saham'!AA31-'Data Saham'!AA30)/'Data Saham'!AA30</f>
        <v>-1.8115942028985508E-2</v>
      </c>
      <c r="AB31">
        <f>('Data Saham'!AB31-'Data Saham'!AB30)/'Data Saham'!AB30</f>
        <v>1.2658227848101266E-2</v>
      </c>
      <c r="AC31">
        <f>('Data Saham'!AC31-'Data Saham'!AC30)/'Data Saham'!AC30</f>
        <v>1.4492753623188406E-2</v>
      </c>
      <c r="AD31">
        <f>('Data Saham'!AD31-'Data Saham'!AD30)/'Data Saham'!AD30</f>
        <v>1.9801980198019802E-2</v>
      </c>
      <c r="AE31">
        <f>('Data Saham'!AE31-'Data Saham'!AE30)/'Data Saham'!AE30</f>
        <v>5.4644808743169399E-3</v>
      </c>
      <c r="AF31">
        <f>('Data Saham'!AF31-'Data Saham'!AF30)/'Data Saham'!AF30</f>
        <v>1.1834319526627219E-2</v>
      </c>
    </row>
    <row r="32" spans="1:32" x14ac:dyDescent="0.3">
      <c r="A32" s="3" t="s">
        <v>19</v>
      </c>
      <c r="B32">
        <f>('Data Saham'!B32-'Data Saham'!B31)/'Data Saham'!B31</f>
        <v>-3.1502566931650802E-3</v>
      </c>
      <c r="C32">
        <f>('Data Saham'!C32-'Data Saham'!C31)/'Data Saham'!C31</f>
        <v>-2.865329512893983E-2</v>
      </c>
      <c r="D32">
        <f>('Data Saham'!D32-'Data Saham'!D31)/'Data Saham'!D31</f>
        <v>-7.9787234042553185E-3</v>
      </c>
      <c r="E32">
        <f>('Data Saham'!E32-'Data Saham'!E31)/'Data Saham'!E31</f>
        <v>-2.0408163265306124E-3</v>
      </c>
      <c r="F32">
        <f>('Data Saham'!F32-'Data Saham'!F31)/'Data Saham'!F31</f>
        <v>4.8192771084337354E-3</v>
      </c>
      <c r="G32">
        <f>('Data Saham'!G32-'Data Saham'!G31)/'Data Saham'!G31</f>
        <v>0</v>
      </c>
      <c r="H32">
        <f>('Data Saham'!H32-'Data Saham'!H31)/'Data Saham'!H31</f>
        <v>-1.0373443983402489E-2</v>
      </c>
      <c r="I32">
        <f>('Data Saham'!I32-'Data Saham'!I31)/'Data Saham'!I31</f>
        <v>2.8037383177570093E-2</v>
      </c>
      <c r="J32">
        <f>('Data Saham'!J32-'Data Saham'!J31)/'Data Saham'!J31</f>
        <v>-1.3605442176870748E-2</v>
      </c>
      <c r="K32">
        <f>('Data Saham'!K32-'Data Saham'!K31)/'Data Saham'!K31</f>
        <v>1.3513513513513514E-2</v>
      </c>
      <c r="L32">
        <f>('Data Saham'!L32-'Data Saham'!L31)/'Data Saham'!L31</f>
        <v>-1.1210762331838564E-2</v>
      </c>
      <c r="M32">
        <f>('Data Saham'!M32-'Data Saham'!M31)/'Data Saham'!M31</f>
        <v>3.864734299516908E-2</v>
      </c>
      <c r="N32">
        <f>('Data Saham'!N32-'Data Saham'!N31)/'Data Saham'!N31</f>
        <v>2.5477707006369428E-2</v>
      </c>
      <c r="O32">
        <f>('Data Saham'!O32-'Data Saham'!O31)/'Data Saham'!O31</f>
        <v>3.2069970845481049E-2</v>
      </c>
      <c r="P32">
        <f>('Data Saham'!P32-'Data Saham'!P31)/'Data Saham'!P31</f>
        <v>-9.0909090909090905E-3</v>
      </c>
      <c r="Q32">
        <f>('Data Saham'!Q32-'Data Saham'!Q31)/'Data Saham'!Q31</f>
        <v>-9.4786729857819912E-3</v>
      </c>
      <c r="R32">
        <f>('Data Saham'!R32-'Data Saham'!R31)/'Data Saham'!R31</f>
        <v>-1.171875E-2</v>
      </c>
      <c r="S32">
        <f>('Data Saham'!S32-'Data Saham'!S31)/'Data Saham'!S31</f>
        <v>2.1479713603818614E-2</v>
      </c>
      <c r="T32">
        <f>('Data Saham'!T32-'Data Saham'!T31)/'Data Saham'!T31</f>
        <v>5.8139534883720929E-3</v>
      </c>
      <c r="U32">
        <f>('Data Saham'!U32-'Data Saham'!U31)/'Data Saham'!U31</f>
        <v>-7.8431372549019607E-3</v>
      </c>
      <c r="V32">
        <f>('Data Saham'!V32-'Data Saham'!V31)/'Data Saham'!V31</f>
        <v>0</v>
      </c>
      <c r="W32">
        <f>('Data Saham'!W32-'Data Saham'!W31)/'Data Saham'!W31</f>
        <v>-1.2903225806451613E-2</v>
      </c>
      <c r="X32">
        <f>('Data Saham'!X32-'Data Saham'!X31)/'Data Saham'!X31</f>
        <v>5.2863436123348019E-2</v>
      </c>
      <c r="Y32">
        <f>('Data Saham'!Y32-'Data Saham'!Y31)/'Data Saham'!Y31</f>
        <v>1.4999999999999999E-2</v>
      </c>
      <c r="Z32">
        <f>('Data Saham'!Z32-'Data Saham'!Z31)/'Data Saham'!Z31</f>
        <v>-9.9009900990099011E-3</v>
      </c>
      <c r="AA32">
        <f>('Data Saham'!AA32-'Data Saham'!AA31)/'Data Saham'!AA31</f>
        <v>-1.4760147601476014E-2</v>
      </c>
      <c r="AB32">
        <f>('Data Saham'!AB32-'Data Saham'!AB31)/'Data Saham'!AB31</f>
        <v>0</v>
      </c>
      <c r="AC32">
        <f>('Data Saham'!AC32-'Data Saham'!AC31)/'Data Saham'!AC31</f>
        <v>0</v>
      </c>
      <c r="AD32">
        <f>('Data Saham'!AD32-'Data Saham'!AD31)/'Data Saham'!AD31</f>
        <v>9.7087378640776691E-3</v>
      </c>
      <c r="AE32">
        <f>('Data Saham'!AE32-'Data Saham'!AE31)/'Data Saham'!AE31</f>
        <v>-1.0869565217391304E-2</v>
      </c>
      <c r="AF32">
        <f>('Data Saham'!AF32-'Data Saham'!AF31)/'Data Saham'!AF31</f>
        <v>1.7543859649122806E-2</v>
      </c>
    </row>
    <row r="33" spans="1:32" x14ac:dyDescent="0.3">
      <c r="A33" s="4" t="s">
        <v>20</v>
      </c>
      <c r="B33">
        <f>('Data Saham'!B33-'Data Saham'!B32)/'Data Saham'!B32</f>
        <v>9.8949418460478472E-3</v>
      </c>
      <c r="C33">
        <f>('Data Saham'!C33-'Data Saham'!C32)/'Data Saham'!C32</f>
        <v>1.4749262536873156E-2</v>
      </c>
      <c r="D33">
        <f>('Data Saham'!D33-'Data Saham'!D32)/'Data Saham'!D32</f>
        <v>2.6809651474530832E-3</v>
      </c>
      <c r="E33">
        <f>('Data Saham'!E33-'Data Saham'!E32)/'Data Saham'!E32</f>
        <v>2.0449897750511249E-3</v>
      </c>
      <c r="F33">
        <f>('Data Saham'!F33-'Data Saham'!F32)/'Data Saham'!F32</f>
        <v>7.1942446043165471E-3</v>
      </c>
      <c r="G33">
        <f>('Data Saham'!G33-'Data Saham'!G32)/'Data Saham'!G32</f>
        <v>-1.1406844106463879E-2</v>
      </c>
      <c r="H33">
        <f>('Data Saham'!H33-'Data Saham'!H32)/'Data Saham'!H32</f>
        <v>1.8867924528301886E-2</v>
      </c>
      <c r="I33">
        <f>('Data Saham'!I33-'Data Saham'!I32)/'Data Saham'!I32</f>
        <v>0</v>
      </c>
      <c r="J33">
        <f>('Data Saham'!J33-'Data Saham'!J32)/'Data Saham'!J32</f>
        <v>3.1034482758620689E-2</v>
      </c>
      <c r="K33">
        <f>('Data Saham'!K33-'Data Saham'!K32)/'Data Saham'!K32</f>
        <v>2.6666666666666666E-3</v>
      </c>
      <c r="L33">
        <f>('Data Saham'!L33-'Data Saham'!L32)/'Data Saham'!L32</f>
        <v>2.2675736961451248E-3</v>
      </c>
      <c r="M33">
        <f>('Data Saham'!M33-'Data Saham'!M32)/'Data Saham'!M32</f>
        <v>-4.6511627906976744E-3</v>
      </c>
      <c r="N33">
        <f>('Data Saham'!N33-'Data Saham'!N32)/'Data Saham'!N32</f>
        <v>4.3478260869565216E-2</v>
      </c>
      <c r="O33">
        <f>('Data Saham'!O33-'Data Saham'!O32)/'Data Saham'!O32</f>
        <v>-2.5423728813559324E-2</v>
      </c>
      <c r="P33">
        <f>('Data Saham'!P33-'Data Saham'!P32)/'Data Saham'!P32</f>
        <v>1.834862385321101E-2</v>
      </c>
      <c r="Q33">
        <f>('Data Saham'!Q33-'Data Saham'!Q32)/'Data Saham'!Q32</f>
        <v>4.7846889952153108E-3</v>
      </c>
      <c r="R33">
        <f>('Data Saham'!R33-'Data Saham'!R32)/'Data Saham'!R32</f>
        <v>-1.9762845849802372E-2</v>
      </c>
      <c r="S33">
        <f>('Data Saham'!S33-'Data Saham'!S32)/'Data Saham'!S32</f>
        <v>3.2710280373831772E-2</v>
      </c>
      <c r="T33">
        <f>('Data Saham'!T33-'Data Saham'!T32)/'Data Saham'!T32</f>
        <v>2.8901734104046242E-2</v>
      </c>
      <c r="U33">
        <f>('Data Saham'!U33-'Data Saham'!U32)/'Data Saham'!U32</f>
        <v>2.766798418972332E-2</v>
      </c>
      <c r="V33">
        <f>('Data Saham'!V33-'Data Saham'!V32)/'Data Saham'!V32</f>
        <v>2.1691973969631237E-3</v>
      </c>
      <c r="W33">
        <f>('Data Saham'!W33-'Data Saham'!W32)/'Data Saham'!W32</f>
        <v>-1.9607843137254902E-2</v>
      </c>
      <c r="X33">
        <f>('Data Saham'!X33-'Data Saham'!X32)/'Data Saham'!X32</f>
        <v>-8.368200836820083E-3</v>
      </c>
      <c r="Y33">
        <f>('Data Saham'!Y33-'Data Saham'!Y32)/'Data Saham'!Y32</f>
        <v>2.9556650246305417E-2</v>
      </c>
      <c r="Z33">
        <f>('Data Saham'!Z33-'Data Saham'!Z32)/'Data Saham'!Z32</f>
        <v>0.05</v>
      </c>
      <c r="AA33">
        <f>('Data Saham'!AA33-'Data Saham'!AA32)/'Data Saham'!AA32</f>
        <v>7.4906367041198503E-3</v>
      </c>
      <c r="AB33">
        <f>('Data Saham'!AB33-'Data Saham'!AB32)/'Data Saham'!AB32</f>
        <v>0.05</v>
      </c>
      <c r="AC33">
        <f>('Data Saham'!AC33-'Data Saham'!AC32)/'Data Saham'!AC32</f>
        <v>7.1428571428571425E-2</v>
      </c>
      <c r="AD33">
        <f>('Data Saham'!AD33-'Data Saham'!AD32)/'Data Saham'!AD32</f>
        <v>4.3269230769230768E-2</v>
      </c>
      <c r="AE33">
        <f>('Data Saham'!AE33-'Data Saham'!AE32)/'Data Saham'!AE32</f>
        <v>2.7472527472527472E-2</v>
      </c>
      <c r="AF33">
        <f>('Data Saham'!AF33-'Data Saham'!AF32)/'Data Saham'!AF32</f>
        <v>6.3218390804597707E-2</v>
      </c>
    </row>
    <row r="34" spans="1:32" x14ac:dyDescent="0.3">
      <c r="A34" s="3" t="s">
        <v>21</v>
      </c>
      <c r="B34">
        <f>('Data Saham'!B34-'Data Saham'!B33)/'Data Saham'!B33</f>
        <v>6.5953776957951554E-3</v>
      </c>
      <c r="C34">
        <f>('Data Saham'!C34-'Data Saham'!C33)/'Data Saham'!C33</f>
        <v>2.0348837209302327E-2</v>
      </c>
      <c r="D34">
        <f>('Data Saham'!D34-'Data Saham'!D33)/'Data Saham'!D33</f>
        <v>2.6737967914438502E-2</v>
      </c>
      <c r="E34">
        <f>('Data Saham'!E34-'Data Saham'!E33)/'Data Saham'!E33</f>
        <v>4.0816326530612249E-3</v>
      </c>
      <c r="F34">
        <f>('Data Saham'!F34-'Data Saham'!F33)/'Data Saham'!F33</f>
        <v>-2.3809523809523812E-3</v>
      </c>
      <c r="G34">
        <f>('Data Saham'!G34-'Data Saham'!G33)/'Data Saham'!G33</f>
        <v>-1.5384615384615385E-2</v>
      </c>
      <c r="H34">
        <f>('Data Saham'!H34-'Data Saham'!H33)/'Data Saham'!H33</f>
        <v>6.1728395061728392E-3</v>
      </c>
      <c r="I34">
        <f>('Data Saham'!I34-'Data Saham'!I33)/'Data Saham'!I33</f>
        <v>0</v>
      </c>
      <c r="J34">
        <f>('Data Saham'!J34-'Data Saham'!J33)/'Data Saham'!J33</f>
        <v>-6.688963210702341E-3</v>
      </c>
      <c r="K34">
        <f>('Data Saham'!K34-'Data Saham'!K33)/'Data Saham'!K33</f>
        <v>1.0638297872340425E-2</v>
      </c>
      <c r="L34">
        <f>('Data Saham'!L34-'Data Saham'!L33)/'Data Saham'!L33</f>
        <v>-1.1312217194570137E-3</v>
      </c>
      <c r="M34">
        <f>('Data Saham'!M34-'Data Saham'!M33)/'Data Saham'!M33</f>
        <v>-4.6728971962616819E-3</v>
      </c>
      <c r="N34">
        <f>('Data Saham'!N34-'Data Saham'!N33)/'Data Saham'!N33</f>
        <v>-1.1904761904761904E-2</v>
      </c>
      <c r="O34">
        <f>('Data Saham'!O34-'Data Saham'!O33)/'Data Saham'!O33</f>
        <v>-8.6956521739130436E-3</v>
      </c>
      <c r="P34">
        <f>('Data Saham'!P34-'Data Saham'!P33)/'Data Saham'!P33</f>
        <v>1.8018018018018018E-2</v>
      </c>
      <c r="Q34">
        <f>('Data Saham'!Q34-'Data Saham'!Q33)/'Data Saham'!Q33</f>
        <v>0</v>
      </c>
      <c r="R34">
        <f>('Data Saham'!R34-'Data Saham'!R33)/'Data Saham'!R33</f>
        <v>1.6129032258064516E-2</v>
      </c>
      <c r="S34">
        <f>('Data Saham'!S34-'Data Saham'!S33)/'Data Saham'!S33</f>
        <v>9.0497737556561094E-3</v>
      </c>
      <c r="T34">
        <f>('Data Saham'!T34-'Data Saham'!T33)/'Data Saham'!T33</f>
        <v>5.8988764044943819E-2</v>
      </c>
      <c r="U34">
        <f>('Data Saham'!U34-'Data Saham'!U33)/'Data Saham'!U33</f>
        <v>-1.1538461538461539E-2</v>
      </c>
      <c r="V34">
        <f>('Data Saham'!V34-'Data Saham'!V33)/'Data Saham'!V33</f>
        <v>-8.658008658008658E-3</v>
      </c>
      <c r="W34">
        <f>('Data Saham'!W34-'Data Saham'!W33)/'Data Saham'!W33</f>
        <v>6.6666666666666671E-3</v>
      </c>
      <c r="X34">
        <f>('Data Saham'!X34-'Data Saham'!X33)/'Data Saham'!X33</f>
        <v>1.2658227848101266E-2</v>
      </c>
      <c r="Y34">
        <f>('Data Saham'!Y34-'Data Saham'!Y33)/'Data Saham'!Y33</f>
        <v>-2.3923444976076555E-2</v>
      </c>
      <c r="Z34">
        <f>('Data Saham'!Z34-'Data Saham'!Z33)/'Data Saham'!Z33</f>
        <v>-1.9047619047619049E-2</v>
      </c>
      <c r="AA34">
        <f>('Data Saham'!AA34-'Data Saham'!AA33)/'Data Saham'!AA33</f>
        <v>0</v>
      </c>
      <c r="AB34">
        <f>('Data Saham'!AB34-'Data Saham'!AB33)/'Data Saham'!AB33</f>
        <v>-2.3809523809523808E-2</v>
      </c>
      <c r="AC34">
        <f>('Data Saham'!AC34-'Data Saham'!AC33)/'Data Saham'!AC33</f>
        <v>-3.3333333333333333E-2</v>
      </c>
      <c r="AD34">
        <f>('Data Saham'!AD34-'Data Saham'!AD33)/'Data Saham'!AD33</f>
        <v>-4.608294930875576E-3</v>
      </c>
      <c r="AE34">
        <f>('Data Saham'!AE34-'Data Saham'!AE33)/'Data Saham'!AE33</f>
        <v>0</v>
      </c>
      <c r="AF34">
        <f>('Data Saham'!AF34-'Data Saham'!AF33)/'Data Saham'!AF33</f>
        <v>-2.1621621621621623E-2</v>
      </c>
    </row>
    <row r="35" spans="1:32" x14ac:dyDescent="0.3">
      <c r="A35" s="4" t="s">
        <v>22</v>
      </c>
      <c r="B35">
        <f>('Data Saham'!B35-'Data Saham'!B34)/'Data Saham'!B34</f>
        <v>3.8837002098774309E-3</v>
      </c>
      <c r="C35">
        <f>('Data Saham'!C35-'Data Saham'!C34)/'Data Saham'!C34</f>
        <v>-5.6980056980056983E-3</v>
      </c>
      <c r="D35">
        <f>('Data Saham'!D35-'Data Saham'!D34)/'Data Saham'!D34</f>
        <v>2.6041666666666665E-3</v>
      </c>
      <c r="E35">
        <f>('Data Saham'!E35-'Data Saham'!E34)/'Data Saham'!E34</f>
        <v>4.0650406504065045E-3</v>
      </c>
      <c r="F35">
        <f>('Data Saham'!F35-'Data Saham'!F34)/'Data Saham'!F34</f>
        <v>-1.1933174224343675E-2</v>
      </c>
      <c r="G35">
        <f>('Data Saham'!G35-'Data Saham'!G34)/'Data Saham'!G34</f>
        <v>1.171875E-2</v>
      </c>
      <c r="H35">
        <f>('Data Saham'!H35-'Data Saham'!H34)/'Data Saham'!H34</f>
        <v>-1.8404907975460124E-2</v>
      </c>
      <c r="I35">
        <f>('Data Saham'!I35-'Data Saham'!I34)/'Data Saham'!I34</f>
        <v>2.2727272727272728E-2</v>
      </c>
      <c r="J35">
        <f>('Data Saham'!J35-'Data Saham'!J34)/'Data Saham'!J34</f>
        <v>1.0101010101010102E-2</v>
      </c>
      <c r="K35">
        <f>('Data Saham'!K35-'Data Saham'!K34)/'Data Saham'!K34</f>
        <v>0</v>
      </c>
      <c r="L35">
        <f>('Data Saham'!L35-'Data Saham'!L34)/'Data Saham'!L34</f>
        <v>-1.1325028312570782E-3</v>
      </c>
      <c r="M35">
        <f>('Data Saham'!M35-'Data Saham'!M34)/'Data Saham'!M34</f>
        <v>2.3474178403755867E-2</v>
      </c>
      <c r="N35">
        <f>('Data Saham'!N35-'Data Saham'!N34)/'Data Saham'!N34</f>
        <v>3.614457831325301E-2</v>
      </c>
      <c r="O35">
        <f>('Data Saham'!O35-'Data Saham'!O34)/'Data Saham'!O34</f>
        <v>5.8479532163742687E-3</v>
      </c>
      <c r="P35">
        <f>('Data Saham'!P35-'Data Saham'!P34)/'Data Saham'!P34</f>
        <v>4.4247787610619468E-2</v>
      </c>
      <c r="Q35">
        <f>('Data Saham'!Q35-'Data Saham'!Q34)/'Data Saham'!Q34</f>
        <v>1.4285714285714285E-2</v>
      </c>
      <c r="R35">
        <f>('Data Saham'!R35-'Data Saham'!R34)/'Data Saham'!R34</f>
        <v>0</v>
      </c>
      <c r="S35">
        <f>('Data Saham'!S35-'Data Saham'!S34)/'Data Saham'!S34</f>
        <v>-4.4843049327354259E-3</v>
      </c>
      <c r="T35">
        <f>('Data Saham'!T35-'Data Saham'!T34)/'Data Saham'!T34</f>
        <v>-2.1220159151193633E-2</v>
      </c>
      <c r="U35">
        <f>('Data Saham'!U35-'Data Saham'!U34)/'Data Saham'!U34</f>
        <v>-3.8910505836575876E-3</v>
      </c>
      <c r="V35">
        <f>('Data Saham'!V35-'Data Saham'!V34)/'Data Saham'!V34</f>
        <v>-9.8253275109170309E-3</v>
      </c>
      <c r="W35">
        <f>('Data Saham'!W35-'Data Saham'!W34)/'Data Saham'!W34</f>
        <v>0</v>
      </c>
      <c r="X35">
        <f>('Data Saham'!X35-'Data Saham'!X34)/'Data Saham'!X34</f>
        <v>3.3333333333333333E-2</v>
      </c>
      <c r="Y35">
        <f>('Data Saham'!Y35-'Data Saham'!Y34)/'Data Saham'!Y34</f>
        <v>2.4509803921568627E-2</v>
      </c>
      <c r="Z35">
        <f>('Data Saham'!Z35-'Data Saham'!Z34)/'Data Saham'!Z34</f>
        <v>5.8252427184466021E-2</v>
      </c>
      <c r="AA35">
        <f>('Data Saham'!AA35-'Data Saham'!AA34)/'Data Saham'!AA34</f>
        <v>7.4349442379182153E-3</v>
      </c>
      <c r="AB35">
        <f>('Data Saham'!AB35-'Data Saham'!AB34)/'Data Saham'!AB34</f>
        <v>3.6585365853658534E-2</v>
      </c>
      <c r="AC35">
        <f>('Data Saham'!AC35-'Data Saham'!AC34)/'Data Saham'!AC34</f>
        <v>-6.8965517241379309E-3</v>
      </c>
      <c r="AD35">
        <f>('Data Saham'!AD35-'Data Saham'!AD34)/'Data Saham'!AD34</f>
        <v>-9.2592592592592587E-3</v>
      </c>
      <c r="AE35">
        <f>('Data Saham'!AE35-'Data Saham'!AE34)/'Data Saham'!AE34</f>
        <v>1.06951871657754E-2</v>
      </c>
      <c r="AF35">
        <f>('Data Saham'!AF35-'Data Saham'!AF34)/'Data Saham'!AF34</f>
        <v>0</v>
      </c>
    </row>
    <row r="36" spans="1:32" x14ac:dyDescent="0.3">
      <c r="A36" s="3" t="s">
        <v>23</v>
      </c>
      <c r="B36">
        <f>('Data Saham'!B36-'Data Saham'!B35)/'Data Saham'!B35</f>
        <v>2.6240613535474517E-3</v>
      </c>
      <c r="C36">
        <f>('Data Saham'!C36-'Data Saham'!C35)/'Data Saham'!C35</f>
        <v>1.1461318051575931E-2</v>
      </c>
      <c r="D36">
        <f>('Data Saham'!D36-'Data Saham'!D35)/'Data Saham'!D35</f>
        <v>0</v>
      </c>
      <c r="E36">
        <f>('Data Saham'!E36-'Data Saham'!E35)/'Data Saham'!E35</f>
        <v>-1.0121457489878543E-2</v>
      </c>
      <c r="F36">
        <f>('Data Saham'!F36-'Data Saham'!F35)/'Data Saham'!F35</f>
        <v>9.6618357487922701E-3</v>
      </c>
      <c r="G36">
        <f>('Data Saham'!G36-'Data Saham'!G35)/'Data Saham'!G35</f>
        <v>1.9305019305019305E-2</v>
      </c>
      <c r="H36">
        <f>('Data Saham'!H36-'Data Saham'!H35)/'Data Saham'!H35</f>
        <v>0</v>
      </c>
      <c r="I36">
        <f>('Data Saham'!I36-'Data Saham'!I35)/'Data Saham'!I35</f>
        <v>8.8888888888888889E-3</v>
      </c>
      <c r="J36">
        <f>('Data Saham'!J36-'Data Saham'!J35)/'Data Saham'!J35</f>
        <v>6.6666666666666666E-2</v>
      </c>
      <c r="K36">
        <f>('Data Saham'!K36-'Data Saham'!K35)/'Data Saham'!K35</f>
        <v>0</v>
      </c>
      <c r="L36">
        <f>('Data Saham'!L36-'Data Saham'!L35)/'Data Saham'!L35</f>
        <v>-2.2675736961451248E-3</v>
      </c>
      <c r="M36">
        <f>('Data Saham'!M36-'Data Saham'!M35)/'Data Saham'!M35</f>
        <v>-4.5871559633027525E-3</v>
      </c>
      <c r="N36">
        <f>('Data Saham'!N36-'Data Saham'!N35)/'Data Saham'!N35</f>
        <v>-2.9069767441860465E-2</v>
      </c>
      <c r="O36">
        <f>('Data Saham'!O36-'Data Saham'!O35)/'Data Saham'!O35</f>
        <v>-2.0348837209302327E-2</v>
      </c>
      <c r="P36">
        <f>('Data Saham'!P36-'Data Saham'!P35)/'Data Saham'!P35</f>
        <v>-3.3898305084745763E-2</v>
      </c>
      <c r="Q36">
        <f>('Data Saham'!Q36-'Data Saham'!Q35)/'Data Saham'!Q35</f>
        <v>9.3896713615023476E-3</v>
      </c>
      <c r="R36">
        <f>('Data Saham'!R36-'Data Saham'!R35)/'Data Saham'!R35</f>
        <v>8.3333333333333329E-2</v>
      </c>
      <c r="S36">
        <f>('Data Saham'!S36-'Data Saham'!S35)/'Data Saham'!S35</f>
        <v>6.5315315315315314E-2</v>
      </c>
      <c r="T36">
        <f>('Data Saham'!T36-'Data Saham'!T35)/'Data Saham'!T35</f>
        <v>-1.3550135501355014E-2</v>
      </c>
      <c r="U36">
        <f>('Data Saham'!U36-'Data Saham'!U35)/'Data Saham'!U35</f>
        <v>1.953125E-2</v>
      </c>
      <c r="V36">
        <f>('Data Saham'!V36-'Data Saham'!V35)/'Data Saham'!V35</f>
        <v>1.1025358324145535E-3</v>
      </c>
      <c r="W36">
        <f>('Data Saham'!W36-'Data Saham'!W35)/'Data Saham'!W35</f>
        <v>-1.3245033112582781E-2</v>
      </c>
      <c r="X36">
        <f>('Data Saham'!X36-'Data Saham'!X35)/'Data Saham'!X35</f>
        <v>1.6129032258064516E-2</v>
      </c>
      <c r="Y36">
        <f>('Data Saham'!Y36-'Data Saham'!Y35)/'Data Saham'!Y35</f>
        <v>3.3492822966507178E-2</v>
      </c>
      <c r="Z36">
        <f>('Data Saham'!Z36-'Data Saham'!Z35)/'Data Saham'!Z35</f>
        <v>-1.834862385321101E-2</v>
      </c>
      <c r="AA36">
        <f>('Data Saham'!AA36-'Data Saham'!AA35)/'Data Saham'!AA35</f>
        <v>7.3800738007380072E-3</v>
      </c>
      <c r="AB36">
        <f>('Data Saham'!AB36-'Data Saham'!AB35)/'Data Saham'!AB35</f>
        <v>0</v>
      </c>
      <c r="AC36">
        <f>('Data Saham'!AC36-'Data Saham'!AC35)/'Data Saham'!AC35</f>
        <v>6.9444444444444441E-3</v>
      </c>
      <c r="AD36">
        <f>('Data Saham'!AD36-'Data Saham'!AD35)/'Data Saham'!AD35</f>
        <v>9.3457943925233638E-3</v>
      </c>
      <c r="AE36">
        <f>('Data Saham'!AE36-'Data Saham'!AE35)/'Data Saham'!AE35</f>
        <v>1.0582010582010581E-2</v>
      </c>
      <c r="AF36">
        <f>('Data Saham'!AF36-'Data Saham'!AF35)/'Data Saham'!AF35</f>
        <v>1.6574585635359115E-2</v>
      </c>
    </row>
    <row r="37" spans="1:32" x14ac:dyDescent="0.3">
      <c r="A37" s="2">
        <v>45693</v>
      </c>
      <c r="B37">
        <f>('Data Saham'!B37-'Data Saham'!B36)/'Data Saham'!B36</f>
        <v>7.2323804935574476E-3</v>
      </c>
      <c r="C37">
        <f>('Data Saham'!C37-'Data Saham'!C36)/'Data Saham'!C36</f>
        <v>1.69971671388102E-2</v>
      </c>
      <c r="D37">
        <f>('Data Saham'!D37-'Data Saham'!D36)/'Data Saham'!D36</f>
        <v>7.7922077922077922E-3</v>
      </c>
      <c r="E37">
        <f>('Data Saham'!E37-'Data Saham'!E36)/'Data Saham'!E36</f>
        <v>1.4314928425357873E-2</v>
      </c>
      <c r="F37">
        <f>('Data Saham'!F37-'Data Saham'!F36)/'Data Saham'!F36</f>
        <v>4.7846889952153108E-3</v>
      </c>
      <c r="G37">
        <f>('Data Saham'!G37-'Data Saham'!G36)/'Data Saham'!G36</f>
        <v>1.5151515151515152E-2</v>
      </c>
      <c r="H37">
        <f>('Data Saham'!H37-'Data Saham'!H36)/'Data Saham'!H36</f>
        <v>-2.0833333333333333E-3</v>
      </c>
      <c r="I37">
        <f>('Data Saham'!I37-'Data Saham'!I36)/'Data Saham'!I36</f>
        <v>-3.0837004405286344E-2</v>
      </c>
      <c r="J37">
        <f>('Data Saham'!J37-'Data Saham'!J36)/'Data Saham'!J36</f>
        <v>-3.7499999999999999E-2</v>
      </c>
      <c r="K37">
        <f>('Data Saham'!K37-'Data Saham'!K36)/'Data Saham'!K36</f>
        <v>-7.8947368421052634E-3</v>
      </c>
      <c r="L37">
        <f>('Data Saham'!L37-'Data Saham'!L36)/'Data Saham'!L36</f>
        <v>-2.2727272727272726E-3</v>
      </c>
      <c r="M37">
        <f>('Data Saham'!M37-'Data Saham'!M36)/'Data Saham'!M36</f>
        <v>5.5299539170506916E-2</v>
      </c>
      <c r="N37">
        <f>('Data Saham'!N37-'Data Saham'!N36)/'Data Saham'!N36</f>
        <v>1.1976047904191617E-2</v>
      </c>
      <c r="O37">
        <f>('Data Saham'!O37-'Data Saham'!O36)/'Data Saham'!O36</f>
        <v>-2.967359050445104E-2</v>
      </c>
      <c r="P37">
        <f>('Data Saham'!P37-'Data Saham'!P36)/'Data Saham'!P36</f>
        <v>2.6315789473684209E-2</v>
      </c>
      <c r="Q37">
        <f>('Data Saham'!Q37-'Data Saham'!Q36)/'Data Saham'!Q36</f>
        <v>3.255813953488372E-2</v>
      </c>
      <c r="R37">
        <f>('Data Saham'!R37-'Data Saham'!R36)/'Data Saham'!R36</f>
        <v>-3.6630036630036632E-2</v>
      </c>
      <c r="S37">
        <f>('Data Saham'!S37-'Data Saham'!S36)/'Data Saham'!S36</f>
        <v>2.1141649048625794E-3</v>
      </c>
      <c r="T37">
        <f>('Data Saham'!T37-'Data Saham'!T36)/'Data Saham'!T36</f>
        <v>-3.8461538461538464E-2</v>
      </c>
      <c r="U37">
        <f>('Data Saham'!U37-'Data Saham'!U36)/'Data Saham'!U36</f>
        <v>-2.681992337164751E-2</v>
      </c>
      <c r="V37">
        <f>('Data Saham'!V37-'Data Saham'!V36)/'Data Saham'!V36</f>
        <v>3.3039647577092512E-3</v>
      </c>
      <c r="W37">
        <f>('Data Saham'!W37-'Data Saham'!W36)/'Data Saham'!W36</f>
        <v>1.3422818791946308E-2</v>
      </c>
      <c r="X37">
        <f>('Data Saham'!X37-'Data Saham'!X36)/'Data Saham'!X36</f>
        <v>-1.1904761904761904E-2</v>
      </c>
      <c r="Y37">
        <f>('Data Saham'!Y37-'Data Saham'!Y36)/'Data Saham'!Y36</f>
        <v>-1.8518518518518517E-2</v>
      </c>
      <c r="Z37">
        <f>('Data Saham'!Z37-'Data Saham'!Z36)/'Data Saham'!Z36</f>
        <v>-2.8037383177570093E-2</v>
      </c>
      <c r="AA37">
        <f>('Data Saham'!AA37-'Data Saham'!AA36)/'Data Saham'!AA36</f>
        <v>-2.197802197802198E-2</v>
      </c>
      <c r="AB37">
        <f>('Data Saham'!AB37-'Data Saham'!AB36)/'Data Saham'!AB36</f>
        <v>-3.5294117647058823E-2</v>
      </c>
      <c r="AC37">
        <f>('Data Saham'!AC37-'Data Saham'!AC36)/'Data Saham'!AC36</f>
        <v>1.3793103448275862E-2</v>
      </c>
      <c r="AD37">
        <f>('Data Saham'!AD37-'Data Saham'!AD36)/'Data Saham'!AD36</f>
        <v>-3.2407407407407406E-2</v>
      </c>
      <c r="AE37">
        <f>('Data Saham'!AE37-'Data Saham'!AE36)/'Data Saham'!AE36</f>
        <v>-5.235602094240838E-3</v>
      </c>
      <c r="AF37">
        <f>('Data Saham'!AF37-'Data Saham'!AF36)/'Data Saham'!AF36</f>
        <v>1.0869565217391304E-2</v>
      </c>
    </row>
    <row r="38" spans="1:32" x14ac:dyDescent="0.3">
      <c r="A38" s="1">
        <v>45782</v>
      </c>
      <c r="B38">
        <f>('Data Saham'!B38-'Data Saham'!B37)/'Data Saham'!B37</f>
        <v>2.379789105495707E-3</v>
      </c>
      <c r="C38">
        <f>('Data Saham'!C38-'Data Saham'!C37)/'Data Saham'!C37</f>
        <v>0</v>
      </c>
      <c r="D38">
        <f>('Data Saham'!D38-'Data Saham'!D37)/'Data Saham'!D37</f>
        <v>-5.1546391752577319E-3</v>
      </c>
      <c r="E38">
        <f>('Data Saham'!E38-'Data Saham'!E37)/'Data Saham'!E37</f>
        <v>4.0322580645161289E-3</v>
      </c>
      <c r="F38">
        <f>('Data Saham'!F38-'Data Saham'!F37)/'Data Saham'!F37</f>
        <v>2.3809523809523812E-3</v>
      </c>
      <c r="G38">
        <f>('Data Saham'!G38-'Data Saham'!G37)/'Data Saham'!G37</f>
        <v>7.462686567164179E-3</v>
      </c>
      <c r="H38">
        <f>('Data Saham'!H38-'Data Saham'!H37)/'Data Saham'!H37</f>
        <v>-2.0876826722338203E-3</v>
      </c>
      <c r="I38">
        <f>('Data Saham'!I38-'Data Saham'!I37)/'Data Saham'!I37</f>
        <v>1.8181818181818181E-2</v>
      </c>
      <c r="J38">
        <f>('Data Saham'!J38-'Data Saham'!J37)/'Data Saham'!J37</f>
        <v>-1.2987012987012988E-2</v>
      </c>
      <c r="K38">
        <f>('Data Saham'!K38-'Data Saham'!K37)/'Data Saham'!K37</f>
        <v>-1.3262599469496022E-2</v>
      </c>
      <c r="L38">
        <f>('Data Saham'!L38-'Data Saham'!L37)/'Data Saham'!L37</f>
        <v>4.5558086560364463E-3</v>
      </c>
      <c r="M38">
        <f>('Data Saham'!M38-'Data Saham'!M37)/'Data Saham'!M37</f>
        <v>1.3100436681222707E-2</v>
      </c>
      <c r="N38">
        <f>('Data Saham'!N38-'Data Saham'!N37)/'Data Saham'!N37</f>
        <v>-5.9171597633136093E-3</v>
      </c>
      <c r="O38">
        <f>('Data Saham'!O38-'Data Saham'!O37)/'Data Saham'!O37</f>
        <v>-3.0581039755351682E-3</v>
      </c>
      <c r="P38">
        <f>('Data Saham'!P38-'Data Saham'!P37)/'Data Saham'!P37</f>
        <v>-8.5470085470085479E-3</v>
      </c>
      <c r="Q38">
        <f>('Data Saham'!Q38-'Data Saham'!Q37)/'Data Saham'!Q37</f>
        <v>-9.0090090090090089E-3</v>
      </c>
      <c r="R38">
        <f>('Data Saham'!R38-'Data Saham'!R37)/'Data Saham'!R37</f>
        <v>5.7034220532319393E-2</v>
      </c>
      <c r="S38">
        <f>('Data Saham'!S38-'Data Saham'!S37)/'Data Saham'!S37</f>
        <v>-1.8987341772151899E-2</v>
      </c>
      <c r="T38">
        <f>('Data Saham'!T38-'Data Saham'!T37)/'Data Saham'!T37</f>
        <v>-2.8571428571428571E-3</v>
      </c>
      <c r="U38">
        <f>('Data Saham'!U38-'Data Saham'!U37)/'Data Saham'!U37</f>
        <v>3.937007874015748E-3</v>
      </c>
      <c r="V38">
        <f>('Data Saham'!V38-'Data Saham'!V37)/'Data Saham'!V37</f>
        <v>1.0976948408342481E-3</v>
      </c>
      <c r="W38">
        <f>('Data Saham'!W38-'Data Saham'!W37)/'Data Saham'!W37</f>
        <v>1.9867549668874173E-2</v>
      </c>
      <c r="X38">
        <f>('Data Saham'!X38-'Data Saham'!X37)/'Data Saham'!X37</f>
        <v>2.0080321285140562E-2</v>
      </c>
      <c r="Y38">
        <f>('Data Saham'!Y38-'Data Saham'!Y37)/'Data Saham'!Y37</f>
        <v>2.8301886792452831E-2</v>
      </c>
      <c r="Z38">
        <f>('Data Saham'!Z38-'Data Saham'!Z37)/'Data Saham'!Z37</f>
        <v>9.6153846153846159E-3</v>
      </c>
      <c r="AA38">
        <f>('Data Saham'!AA38-'Data Saham'!AA37)/'Data Saham'!AA37</f>
        <v>0</v>
      </c>
      <c r="AB38">
        <f>('Data Saham'!AB38-'Data Saham'!AB37)/'Data Saham'!AB37</f>
        <v>1.2195121951219513E-2</v>
      </c>
      <c r="AC38">
        <f>('Data Saham'!AC38-'Data Saham'!AC37)/'Data Saham'!AC37</f>
        <v>-1.3605442176870748E-2</v>
      </c>
      <c r="AD38">
        <f>('Data Saham'!AD38-'Data Saham'!AD37)/'Data Saham'!AD37</f>
        <v>2.8708133971291867E-2</v>
      </c>
      <c r="AE38">
        <f>('Data Saham'!AE38-'Data Saham'!AE37)/'Data Saham'!AE37</f>
        <v>1.5789473684210527E-2</v>
      </c>
      <c r="AF38">
        <f>('Data Saham'!AF38-'Data Saham'!AF37)/'Data Saham'!AF37</f>
        <v>2.1505376344086023E-2</v>
      </c>
    </row>
    <row r="39" spans="1:32" x14ac:dyDescent="0.3">
      <c r="A39" s="2">
        <v>45813</v>
      </c>
      <c r="B39">
        <f>('Data Saham'!B39-'Data Saham'!B38)/'Data Saham'!B38</f>
        <v>9.697085019650319E-3</v>
      </c>
      <c r="C39">
        <f>('Data Saham'!C39-'Data Saham'!C38)/'Data Saham'!C38</f>
        <v>5.5710306406685237E-3</v>
      </c>
      <c r="D39">
        <f>('Data Saham'!D39-'Data Saham'!D38)/'Data Saham'!D38</f>
        <v>5.1813471502590676E-3</v>
      </c>
      <c r="E39">
        <f>('Data Saham'!E39-'Data Saham'!E38)/'Data Saham'!E38</f>
        <v>0</v>
      </c>
      <c r="F39">
        <f>('Data Saham'!F39-'Data Saham'!F38)/'Data Saham'!F38</f>
        <v>-7.1258907363420431E-3</v>
      </c>
      <c r="G39">
        <f>('Data Saham'!G39-'Data Saham'!G38)/'Data Saham'!G38</f>
        <v>-7.4074074074074077E-3</v>
      </c>
      <c r="H39">
        <f>('Data Saham'!H39-'Data Saham'!H38)/'Data Saham'!H38</f>
        <v>-6.2761506276150627E-3</v>
      </c>
      <c r="I39">
        <f>('Data Saham'!I39-'Data Saham'!I38)/'Data Saham'!I38</f>
        <v>6.6964285714285711E-3</v>
      </c>
      <c r="J39">
        <f>('Data Saham'!J39-'Data Saham'!J38)/'Data Saham'!J38</f>
        <v>-9.8684210526315784E-3</v>
      </c>
      <c r="K39">
        <f>('Data Saham'!K39-'Data Saham'!K38)/'Data Saham'!K38</f>
        <v>8.0645161290322578E-3</v>
      </c>
      <c r="L39">
        <f>('Data Saham'!L39-'Data Saham'!L38)/'Data Saham'!L38</f>
        <v>1.020408163265306E-2</v>
      </c>
      <c r="M39">
        <f>('Data Saham'!M39-'Data Saham'!M38)/'Data Saham'!M38</f>
        <v>9.4827586206896547E-2</v>
      </c>
      <c r="N39">
        <f>('Data Saham'!N39-'Data Saham'!N38)/'Data Saham'!N38</f>
        <v>5.9523809523809521E-2</v>
      </c>
      <c r="O39">
        <f>('Data Saham'!O39-'Data Saham'!O38)/'Data Saham'!O38</f>
        <v>-6.1349693251533744E-3</v>
      </c>
      <c r="P39">
        <f>('Data Saham'!P39-'Data Saham'!P38)/'Data Saham'!P38</f>
        <v>-8.6206896551724137E-3</v>
      </c>
      <c r="Q39">
        <f>('Data Saham'!Q39-'Data Saham'!Q38)/'Data Saham'!Q38</f>
        <v>-9.0909090909090905E-3</v>
      </c>
      <c r="R39">
        <f>('Data Saham'!R39-'Data Saham'!R38)/'Data Saham'!R38</f>
        <v>1.4388489208633094E-2</v>
      </c>
      <c r="S39">
        <f>('Data Saham'!S39-'Data Saham'!S38)/'Data Saham'!S38</f>
        <v>3.2258064516129031E-2</v>
      </c>
      <c r="T39">
        <f>('Data Saham'!T39-'Data Saham'!T38)/'Data Saham'!T38</f>
        <v>1.1461318051575931E-2</v>
      </c>
      <c r="U39">
        <f>('Data Saham'!U39-'Data Saham'!U38)/'Data Saham'!U38</f>
        <v>0</v>
      </c>
      <c r="V39">
        <f>('Data Saham'!V39-'Data Saham'!V38)/'Data Saham'!V38</f>
        <v>3.2894736842105261E-3</v>
      </c>
      <c r="W39">
        <f>('Data Saham'!W39-'Data Saham'!W38)/'Data Saham'!W38</f>
        <v>1.2987012987012988E-2</v>
      </c>
      <c r="X39">
        <f>('Data Saham'!X39-'Data Saham'!X38)/'Data Saham'!X38</f>
        <v>0</v>
      </c>
      <c r="Y39">
        <f>('Data Saham'!Y39-'Data Saham'!Y38)/'Data Saham'!Y38</f>
        <v>4.5871559633027525E-2</v>
      </c>
      <c r="Z39">
        <f>('Data Saham'!Z39-'Data Saham'!Z38)/'Data Saham'!Z38</f>
        <v>0</v>
      </c>
      <c r="AA39">
        <f>('Data Saham'!AA39-'Data Saham'!AA38)/'Data Saham'!AA38</f>
        <v>1.1235955056179775E-2</v>
      </c>
      <c r="AB39">
        <f>('Data Saham'!AB39-'Data Saham'!AB38)/'Data Saham'!AB38</f>
        <v>0</v>
      </c>
      <c r="AC39">
        <f>('Data Saham'!AC39-'Data Saham'!AC38)/'Data Saham'!AC38</f>
        <v>1.3793103448275862E-2</v>
      </c>
      <c r="AD39">
        <f>('Data Saham'!AD39-'Data Saham'!AD38)/'Data Saham'!AD38</f>
        <v>1.3953488372093023E-2</v>
      </c>
      <c r="AE39">
        <f>('Data Saham'!AE39-'Data Saham'!AE38)/'Data Saham'!AE38</f>
        <v>-5.1813471502590676E-3</v>
      </c>
      <c r="AF39">
        <f>('Data Saham'!AF39-'Data Saham'!AF38)/'Data Saham'!AF38</f>
        <v>0</v>
      </c>
    </row>
    <row r="40" spans="1:32" x14ac:dyDescent="0.3">
      <c r="A40" s="1">
        <v>45843</v>
      </c>
      <c r="B40">
        <f>('Data Saham'!B40-'Data Saham'!B39)/'Data Saham'!B39</f>
        <v>4.0633788524542264E-3</v>
      </c>
      <c r="C40">
        <f>('Data Saham'!C40-'Data Saham'!C39)/'Data Saham'!C39</f>
        <v>5.5401662049861496E-3</v>
      </c>
      <c r="D40">
        <f>('Data Saham'!D40-'Data Saham'!D39)/'Data Saham'!D39</f>
        <v>7.7319587628865982E-3</v>
      </c>
      <c r="E40">
        <f>('Data Saham'!E40-'Data Saham'!E39)/'Data Saham'!E39</f>
        <v>-6.024096385542169E-3</v>
      </c>
      <c r="F40">
        <f>('Data Saham'!F40-'Data Saham'!F39)/'Data Saham'!F39</f>
        <v>-4.7846889952153108E-3</v>
      </c>
      <c r="G40">
        <f>('Data Saham'!G40-'Data Saham'!G39)/'Data Saham'!G39</f>
        <v>-2.2388059701492536E-2</v>
      </c>
      <c r="H40">
        <f>('Data Saham'!H40-'Data Saham'!H39)/'Data Saham'!H39</f>
        <v>1.6842105263157894E-2</v>
      </c>
      <c r="I40">
        <f>('Data Saham'!I40-'Data Saham'!I39)/'Data Saham'!I39</f>
        <v>-1.7738359201773836E-2</v>
      </c>
      <c r="J40">
        <f>('Data Saham'!J40-'Data Saham'!J39)/'Data Saham'!J39</f>
        <v>2.9900332225913623E-2</v>
      </c>
      <c r="K40">
        <f>('Data Saham'!K40-'Data Saham'!K39)/'Data Saham'!K39</f>
        <v>1.3333333333333334E-2</v>
      </c>
      <c r="L40">
        <f>('Data Saham'!L40-'Data Saham'!L39)/'Data Saham'!L39</f>
        <v>3.3670033670033669E-3</v>
      </c>
      <c r="M40">
        <f>('Data Saham'!M40-'Data Saham'!M39)/'Data Saham'!M39</f>
        <v>8.2677165354330714E-2</v>
      </c>
      <c r="N40">
        <f>('Data Saham'!N40-'Data Saham'!N39)/'Data Saham'!N39</f>
        <v>4.2134831460674156E-2</v>
      </c>
      <c r="O40">
        <f>('Data Saham'!O40-'Data Saham'!O39)/'Data Saham'!O39</f>
        <v>9.2592592592592587E-3</v>
      </c>
      <c r="P40">
        <f>('Data Saham'!P40-'Data Saham'!P39)/'Data Saham'!P39</f>
        <v>2.6086956521739129E-2</v>
      </c>
      <c r="Q40">
        <f>('Data Saham'!Q40-'Data Saham'!Q39)/'Data Saham'!Q39</f>
        <v>0</v>
      </c>
      <c r="R40">
        <f>('Data Saham'!R40-'Data Saham'!R39)/'Data Saham'!R39</f>
        <v>-3.5460992907801418E-3</v>
      </c>
      <c r="S40">
        <f>('Data Saham'!S40-'Data Saham'!S39)/'Data Saham'!S39</f>
        <v>1.0416666666666666E-2</v>
      </c>
      <c r="T40">
        <f>('Data Saham'!T40-'Data Saham'!T39)/'Data Saham'!T39</f>
        <v>1.69971671388102E-2</v>
      </c>
      <c r="U40">
        <f>('Data Saham'!U40-'Data Saham'!U39)/'Data Saham'!U39</f>
        <v>-1.5686274509803921E-2</v>
      </c>
      <c r="V40">
        <f>('Data Saham'!V40-'Data Saham'!V39)/'Data Saham'!V39</f>
        <v>-4.9180327868852458E-2</v>
      </c>
      <c r="W40">
        <f>('Data Saham'!W40-'Data Saham'!W39)/'Data Saham'!W39</f>
        <v>8.3333333333333329E-2</v>
      </c>
      <c r="X40">
        <f>('Data Saham'!X40-'Data Saham'!X39)/'Data Saham'!X39</f>
        <v>1.5748031496062992E-2</v>
      </c>
      <c r="Y40">
        <f>('Data Saham'!Y40-'Data Saham'!Y39)/'Data Saham'!Y39</f>
        <v>1.3157894736842105E-2</v>
      </c>
      <c r="Z40">
        <f>('Data Saham'!Z40-'Data Saham'!Z39)/'Data Saham'!Z39</f>
        <v>3.8095238095238099E-2</v>
      </c>
      <c r="AA40">
        <f>('Data Saham'!AA40-'Data Saham'!AA39)/'Data Saham'!AA39</f>
        <v>7.4074074074074077E-3</v>
      </c>
      <c r="AB40">
        <f>('Data Saham'!AB40-'Data Saham'!AB39)/'Data Saham'!AB39</f>
        <v>1.2048192771084338E-2</v>
      </c>
      <c r="AC40">
        <f>('Data Saham'!AC40-'Data Saham'!AC39)/'Data Saham'!AC39</f>
        <v>-6.8027210884353739E-3</v>
      </c>
      <c r="AD40">
        <f>('Data Saham'!AD40-'Data Saham'!AD39)/'Data Saham'!AD39</f>
        <v>3.2110091743119268E-2</v>
      </c>
      <c r="AE40">
        <f>('Data Saham'!AE40-'Data Saham'!AE39)/'Data Saham'!AE39</f>
        <v>3.6458333333333336E-2</v>
      </c>
      <c r="AF40">
        <f>('Data Saham'!AF40-'Data Saham'!AF39)/'Data Saham'!AF39</f>
        <v>3.6842105263157891E-2</v>
      </c>
    </row>
    <row r="41" spans="1:32" x14ac:dyDescent="0.3">
      <c r="A41" s="2">
        <v>45874</v>
      </c>
      <c r="B41">
        <f>('Data Saham'!B41-'Data Saham'!B40)/'Data Saham'!B40</f>
        <v>-1.4218413191591901E-2</v>
      </c>
      <c r="C41">
        <f>('Data Saham'!C41-'Data Saham'!C40)/'Data Saham'!C40</f>
        <v>-1.1019283746556474E-2</v>
      </c>
      <c r="D41">
        <f>('Data Saham'!D41-'Data Saham'!D40)/'Data Saham'!D40</f>
        <v>-3.0690537084398978E-2</v>
      </c>
      <c r="E41">
        <f>('Data Saham'!E41-'Data Saham'!E40)/'Data Saham'!E40</f>
        <v>-3.2323232323232323E-2</v>
      </c>
      <c r="F41">
        <f>('Data Saham'!F41-'Data Saham'!F40)/'Data Saham'!F40</f>
        <v>-9.6153846153846159E-3</v>
      </c>
      <c r="G41">
        <f>('Data Saham'!G41-'Data Saham'!G40)/'Data Saham'!G40</f>
        <v>-1.9083969465648856E-2</v>
      </c>
      <c r="H41">
        <f>('Data Saham'!H41-'Data Saham'!H40)/'Data Saham'!H40</f>
        <v>-1.0351966873706004E-2</v>
      </c>
      <c r="I41">
        <f>('Data Saham'!I41-'Data Saham'!I40)/'Data Saham'!I40</f>
        <v>2.9345372460496615E-2</v>
      </c>
      <c r="J41">
        <f>('Data Saham'!J41-'Data Saham'!J40)/'Data Saham'!J40</f>
        <v>3.2258064516129032E-3</v>
      </c>
      <c r="K41">
        <f>('Data Saham'!K41-'Data Saham'!K40)/'Data Saham'!K40</f>
        <v>-2.631578947368421E-3</v>
      </c>
      <c r="L41">
        <f>('Data Saham'!L41-'Data Saham'!L40)/'Data Saham'!L40</f>
        <v>-1.0067114093959731E-2</v>
      </c>
      <c r="M41">
        <f>('Data Saham'!M41-'Data Saham'!M40)/'Data Saham'!M40</f>
        <v>-5.0909090909090911E-2</v>
      </c>
      <c r="N41">
        <f>('Data Saham'!N41-'Data Saham'!N40)/'Data Saham'!N40</f>
        <v>-2.9649595687331536E-2</v>
      </c>
      <c r="O41">
        <f>('Data Saham'!O41-'Data Saham'!O40)/'Data Saham'!O40</f>
        <v>-2.1406727828746176E-2</v>
      </c>
      <c r="P41">
        <f>('Data Saham'!P41-'Data Saham'!P40)/'Data Saham'!P40</f>
        <v>1.6949152542372881E-2</v>
      </c>
      <c r="Q41">
        <f>('Data Saham'!Q41-'Data Saham'!Q40)/'Data Saham'!Q40</f>
        <v>-2.2935779816513763E-2</v>
      </c>
      <c r="R41">
        <f>('Data Saham'!R41-'Data Saham'!R40)/'Data Saham'!R40</f>
        <v>2.491103202846975E-2</v>
      </c>
      <c r="S41">
        <f>('Data Saham'!S41-'Data Saham'!S40)/'Data Saham'!S40</f>
        <v>0</v>
      </c>
      <c r="T41">
        <f>('Data Saham'!T41-'Data Saham'!T40)/'Data Saham'!T40</f>
        <v>-2.2284122562674095E-2</v>
      </c>
      <c r="U41">
        <f>('Data Saham'!U41-'Data Saham'!U40)/'Data Saham'!U40</f>
        <v>-7.9681274900398405E-3</v>
      </c>
      <c r="V41">
        <f>('Data Saham'!V41-'Data Saham'!V40)/'Data Saham'!V40</f>
        <v>-1.264367816091954E-2</v>
      </c>
      <c r="W41">
        <f>('Data Saham'!W41-'Data Saham'!W40)/'Data Saham'!W40</f>
        <v>-2.9585798816568046E-2</v>
      </c>
      <c r="X41">
        <f>('Data Saham'!X41-'Data Saham'!X40)/'Data Saham'!X40</f>
        <v>-3.875968992248062E-2</v>
      </c>
      <c r="Y41">
        <f>('Data Saham'!Y41-'Data Saham'!Y40)/'Data Saham'!Y40</f>
        <v>1.7316017316017316E-2</v>
      </c>
      <c r="Z41">
        <f>('Data Saham'!Z41-'Data Saham'!Z40)/'Data Saham'!Z40</f>
        <v>-3.669724770642202E-2</v>
      </c>
      <c r="AA41">
        <f>('Data Saham'!AA41-'Data Saham'!AA40)/'Data Saham'!AA40</f>
        <v>-1.4705882352941176E-2</v>
      </c>
      <c r="AB41">
        <f>('Data Saham'!AB41-'Data Saham'!AB40)/'Data Saham'!AB40</f>
        <v>-3.5714285714285712E-2</v>
      </c>
      <c r="AC41">
        <f>('Data Saham'!AC41-'Data Saham'!AC40)/'Data Saham'!AC40</f>
        <v>0</v>
      </c>
      <c r="AD41">
        <f>('Data Saham'!AD41-'Data Saham'!AD40)/'Data Saham'!AD40</f>
        <v>-4.4444444444444446E-2</v>
      </c>
      <c r="AE41">
        <f>('Data Saham'!AE41-'Data Saham'!AE40)/'Data Saham'!AE40</f>
        <v>-1.507537688442211E-2</v>
      </c>
      <c r="AF41">
        <f>('Data Saham'!AF41-'Data Saham'!AF40)/'Data Saham'!AF40</f>
        <v>-2.5380710659898477E-2</v>
      </c>
    </row>
    <row r="42" spans="1:32" x14ac:dyDescent="0.3">
      <c r="A42" s="1">
        <v>45905</v>
      </c>
      <c r="B42">
        <f>('Data Saham'!B42-'Data Saham'!B41)/'Data Saham'!B41</f>
        <v>7.3962872102818376E-4</v>
      </c>
      <c r="C42">
        <f>('Data Saham'!C42-'Data Saham'!C41)/'Data Saham'!C41</f>
        <v>2.7855153203342618E-3</v>
      </c>
      <c r="D42">
        <f>('Data Saham'!D42-'Data Saham'!D41)/'Data Saham'!D41</f>
        <v>1.3192612137203167E-2</v>
      </c>
      <c r="E42">
        <f>('Data Saham'!E42-'Data Saham'!E41)/'Data Saham'!E41</f>
        <v>-4.1753653444676405E-3</v>
      </c>
      <c r="F42">
        <f>('Data Saham'!F42-'Data Saham'!F41)/'Data Saham'!F41</f>
        <v>-4.8543689320388345E-3</v>
      </c>
      <c r="G42">
        <f>('Data Saham'!G42-'Data Saham'!G41)/'Data Saham'!G41</f>
        <v>1.1673151750972763E-2</v>
      </c>
      <c r="H42">
        <f>('Data Saham'!H42-'Data Saham'!H41)/'Data Saham'!H41</f>
        <v>0</v>
      </c>
      <c r="I42">
        <f>('Data Saham'!I42-'Data Saham'!I41)/'Data Saham'!I41</f>
        <v>-1.7543859649122806E-2</v>
      </c>
      <c r="J42">
        <f>('Data Saham'!J42-'Data Saham'!J41)/'Data Saham'!J41</f>
        <v>2.5723472668810289E-2</v>
      </c>
      <c r="K42">
        <f>('Data Saham'!K42-'Data Saham'!K41)/'Data Saham'!K41</f>
        <v>-2.1108179419525065E-2</v>
      </c>
      <c r="L42">
        <f>('Data Saham'!L42-'Data Saham'!L41)/'Data Saham'!L41</f>
        <v>-1.1299435028248588E-3</v>
      </c>
      <c r="M42">
        <f>('Data Saham'!M42-'Data Saham'!M41)/'Data Saham'!M41</f>
        <v>2.681992337164751E-2</v>
      </c>
      <c r="N42">
        <f>('Data Saham'!N42-'Data Saham'!N41)/'Data Saham'!N41</f>
        <v>2.7777777777777779E-3</v>
      </c>
      <c r="O42">
        <f>('Data Saham'!O42-'Data Saham'!O41)/'Data Saham'!O41</f>
        <v>3.1250000000000002E-3</v>
      </c>
      <c r="P42">
        <f>('Data Saham'!P42-'Data Saham'!P41)/'Data Saham'!P41</f>
        <v>0</v>
      </c>
      <c r="Q42">
        <f>('Data Saham'!Q42-'Data Saham'!Q41)/'Data Saham'!Q41</f>
        <v>1.4084507042253521E-2</v>
      </c>
      <c r="R42">
        <f>('Data Saham'!R42-'Data Saham'!R41)/'Data Saham'!R41</f>
        <v>6.9444444444444441E-3</v>
      </c>
      <c r="S42">
        <f>('Data Saham'!S42-'Data Saham'!S41)/'Data Saham'!S41</f>
        <v>-1.0309278350515464E-2</v>
      </c>
      <c r="T42">
        <f>('Data Saham'!T42-'Data Saham'!T41)/'Data Saham'!T41</f>
        <v>1.4245014245014245E-2</v>
      </c>
      <c r="U42">
        <f>('Data Saham'!U42-'Data Saham'!U41)/'Data Saham'!U41</f>
        <v>-3.2128514056224897E-2</v>
      </c>
      <c r="V42">
        <f>('Data Saham'!V42-'Data Saham'!V41)/'Data Saham'!V41</f>
        <v>-1.0477299185098952E-2</v>
      </c>
      <c r="W42">
        <f>('Data Saham'!W42-'Data Saham'!W41)/'Data Saham'!W41</f>
        <v>0</v>
      </c>
      <c r="X42">
        <f>('Data Saham'!X42-'Data Saham'!X41)/'Data Saham'!X41</f>
        <v>4.0322580645161289E-3</v>
      </c>
      <c r="Y42">
        <f>('Data Saham'!Y42-'Data Saham'!Y41)/'Data Saham'!Y41</f>
        <v>4.2553191489361703E-3</v>
      </c>
      <c r="Z42">
        <f>('Data Saham'!Z42-'Data Saham'!Z41)/'Data Saham'!Z41</f>
        <v>0</v>
      </c>
      <c r="AA42">
        <f>('Data Saham'!AA42-'Data Saham'!AA41)/'Data Saham'!AA41</f>
        <v>-2.2388059701492536E-2</v>
      </c>
      <c r="AB42">
        <f>('Data Saham'!AB42-'Data Saham'!AB41)/'Data Saham'!AB41</f>
        <v>0</v>
      </c>
      <c r="AC42">
        <f>('Data Saham'!AC42-'Data Saham'!AC41)/'Data Saham'!AC41</f>
        <v>-6.8493150684931503E-3</v>
      </c>
      <c r="AD42">
        <f>('Data Saham'!AD42-'Data Saham'!AD41)/'Data Saham'!AD41</f>
        <v>4.6511627906976744E-2</v>
      </c>
      <c r="AE42">
        <f>('Data Saham'!AE42-'Data Saham'!AE41)/'Data Saham'!AE41</f>
        <v>-5.1020408163265302E-3</v>
      </c>
      <c r="AF42">
        <f>('Data Saham'!AF42-'Data Saham'!AF41)/'Data Saham'!AF41</f>
        <v>5.208333333333333E-3</v>
      </c>
    </row>
    <row r="43" spans="1:32" x14ac:dyDescent="0.3">
      <c r="A43" s="4" t="s">
        <v>24</v>
      </c>
      <c r="B43">
        <f>('Data Saham'!B43-'Data Saham'!B42)/'Data Saham'!B42</f>
        <v>2.1525582484486584E-2</v>
      </c>
      <c r="C43">
        <f>('Data Saham'!C43-'Data Saham'!C42)/'Data Saham'!C42</f>
        <v>3.0555555555555555E-2</v>
      </c>
      <c r="D43">
        <f>('Data Saham'!D43-'Data Saham'!D42)/'Data Saham'!D42</f>
        <v>6.5104166666666671E-2</v>
      </c>
      <c r="E43">
        <f>('Data Saham'!E43-'Data Saham'!E42)/'Data Saham'!E42</f>
        <v>5.8700209643605873E-2</v>
      </c>
      <c r="F43">
        <f>('Data Saham'!F43-'Data Saham'!F42)/'Data Saham'!F42</f>
        <v>6.5853658536585369E-2</v>
      </c>
      <c r="G43">
        <f>('Data Saham'!G43-'Data Saham'!G42)/'Data Saham'!G42</f>
        <v>-3.8461538461538464E-3</v>
      </c>
      <c r="H43">
        <f>('Data Saham'!H43-'Data Saham'!H42)/'Data Saham'!H42</f>
        <v>6.2761506276150627E-3</v>
      </c>
      <c r="I43">
        <f>('Data Saham'!I43-'Data Saham'!I42)/'Data Saham'!I42</f>
        <v>-2.232142857142857E-3</v>
      </c>
      <c r="J43">
        <f>('Data Saham'!J43-'Data Saham'!J42)/'Data Saham'!J42</f>
        <v>-1.2539184952978056E-2</v>
      </c>
      <c r="K43">
        <f>('Data Saham'!K43-'Data Saham'!K42)/'Data Saham'!K42</f>
        <v>3.2345013477088951E-2</v>
      </c>
      <c r="L43">
        <f>('Data Saham'!L43-'Data Saham'!L42)/'Data Saham'!L42</f>
        <v>1.6968325791855202E-2</v>
      </c>
      <c r="M43">
        <f>('Data Saham'!M43-'Data Saham'!M42)/'Data Saham'!M42</f>
        <v>-4.8507462686567165E-2</v>
      </c>
      <c r="N43">
        <f>('Data Saham'!N43-'Data Saham'!N42)/'Data Saham'!N42</f>
        <v>-1.9390581717451522E-2</v>
      </c>
      <c r="O43">
        <f>('Data Saham'!O43-'Data Saham'!O42)/'Data Saham'!O42</f>
        <v>3.4267912772585667E-2</v>
      </c>
      <c r="P43">
        <f>('Data Saham'!P43-'Data Saham'!P42)/'Data Saham'!P42</f>
        <v>4.1666666666666664E-2</v>
      </c>
      <c r="Q43">
        <f>('Data Saham'!Q43-'Data Saham'!Q42)/'Data Saham'!Q42</f>
        <v>2.3148148148148147E-2</v>
      </c>
      <c r="R43">
        <f>('Data Saham'!R43-'Data Saham'!R42)/'Data Saham'!R42</f>
        <v>2.0689655172413793E-2</v>
      </c>
      <c r="S43">
        <f>('Data Saham'!S43-'Data Saham'!S42)/'Data Saham'!S42</f>
        <v>2.9166666666666667E-2</v>
      </c>
      <c r="T43">
        <f>('Data Saham'!T43-'Data Saham'!T42)/'Data Saham'!T42</f>
        <v>-8.4269662921348312E-3</v>
      </c>
      <c r="U43">
        <f>('Data Saham'!U43-'Data Saham'!U42)/'Data Saham'!U42</f>
        <v>4.5643153526970952E-2</v>
      </c>
      <c r="V43">
        <f>('Data Saham'!V43-'Data Saham'!V42)/'Data Saham'!V42</f>
        <v>3.2941176470588238E-2</v>
      </c>
      <c r="W43">
        <f>('Data Saham'!W43-'Data Saham'!W42)/'Data Saham'!W42</f>
        <v>4.2682926829268296E-2</v>
      </c>
      <c r="X43">
        <f>('Data Saham'!X43-'Data Saham'!X42)/'Data Saham'!X42</f>
        <v>8.0321285140562242E-3</v>
      </c>
      <c r="Y43">
        <f>('Data Saham'!Y43-'Data Saham'!Y42)/'Data Saham'!Y42</f>
        <v>5.0847457627118647E-2</v>
      </c>
      <c r="Z43">
        <f>('Data Saham'!Z43-'Data Saham'!Z42)/'Data Saham'!Z42</f>
        <v>3.8095238095238099E-2</v>
      </c>
      <c r="AA43">
        <f>('Data Saham'!AA43-'Data Saham'!AA42)/'Data Saham'!AA42</f>
        <v>3.0534351145038167E-2</v>
      </c>
      <c r="AB43">
        <f>('Data Saham'!AB43-'Data Saham'!AB42)/'Data Saham'!AB42</f>
        <v>-2.4691358024691357E-2</v>
      </c>
      <c r="AC43">
        <f>('Data Saham'!AC43-'Data Saham'!AC42)/'Data Saham'!AC42</f>
        <v>0</v>
      </c>
      <c r="AD43">
        <f>('Data Saham'!AD43-'Data Saham'!AD42)/'Data Saham'!AD42</f>
        <v>-1.7777777777777778E-2</v>
      </c>
      <c r="AE43">
        <f>('Data Saham'!AE43-'Data Saham'!AE42)/'Data Saham'!AE42</f>
        <v>0</v>
      </c>
      <c r="AF43">
        <f>('Data Saham'!AF43-'Data Saham'!AF42)/'Data Saham'!AF42</f>
        <v>-0.99894300518134715</v>
      </c>
    </row>
    <row r="44" spans="1:32" x14ac:dyDescent="0.3">
      <c r="A44" s="3" t="s">
        <v>25</v>
      </c>
      <c r="B44">
        <f>('Data Saham'!B44-'Data Saham'!B43)/'Data Saham'!B43</f>
        <v>8.6362516261024175E-3</v>
      </c>
      <c r="C44">
        <f>('Data Saham'!C44-'Data Saham'!C43)/'Data Saham'!C43</f>
        <v>0</v>
      </c>
      <c r="D44">
        <f>('Data Saham'!D44-'Data Saham'!D43)/'Data Saham'!D43</f>
        <v>4.4009779951100246E-2</v>
      </c>
      <c r="E44">
        <f>('Data Saham'!E44-'Data Saham'!E43)/'Data Saham'!E43</f>
        <v>5.4455445544554455E-2</v>
      </c>
      <c r="F44">
        <f>('Data Saham'!F44-'Data Saham'!F43)/'Data Saham'!F43</f>
        <v>2.9748283752860413E-2</v>
      </c>
      <c r="G44">
        <f>('Data Saham'!G44-'Data Saham'!G43)/'Data Saham'!G43</f>
        <v>2.7027027027027029E-2</v>
      </c>
      <c r="H44">
        <f>('Data Saham'!H44-'Data Saham'!H43)/'Data Saham'!H43</f>
        <v>2.0790020790020791E-3</v>
      </c>
      <c r="I44">
        <f>('Data Saham'!I44-'Data Saham'!I43)/'Data Saham'!I43</f>
        <v>-1.1185682326621925E-2</v>
      </c>
      <c r="J44">
        <f>('Data Saham'!J44-'Data Saham'!J43)/'Data Saham'!J43</f>
        <v>2.8571428571428571E-2</v>
      </c>
      <c r="K44">
        <f>('Data Saham'!K44-'Data Saham'!K43)/'Data Saham'!K43</f>
        <v>0</v>
      </c>
      <c r="L44">
        <f>('Data Saham'!L44-'Data Saham'!L43)/'Data Saham'!L43</f>
        <v>-1.1123470522803114E-3</v>
      </c>
      <c r="M44">
        <f>('Data Saham'!M44-'Data Saham'!M43)/'Data Saham'!M43</f>
        <v>0</v>
      </c>
      <c r="N44">
        <f>('Data Saham'!N44-'Data Saham'!N43)/'Data Saham'!N43</f>
        <v>3.3898305084745763E-2</v>
      </c>
      <c r="O44">
        <f>('Data Saham'!O44-'Data Saham'!O43)/'Data Saham'!O43</f>
        <v>3.0120481927710845E-3</v>
      </c>
      <c r="P44">
        <f>('Data Saham'!P44-'Data Saham'!P43)/'Data Saham'!P43</f>
        <v>-1.6E-2</v>
      </c>
      <c r="Q44">
        <f>('Data Saham'!Q44-'Data Saham'!Q43)/'Data Saham'!Q43</f>
        <v>-2.2624434389140271E-2</v>
      </c>
      <c r="R44">
        <f>('Data Saham'!R44-'Data Saham'!R43)/'Data Saham'!R43</f>
        <v>3.0405405405405407E-2</v>
      </c>
      <c r="S44">
        <f>('Data Saham'!S44-'Data Saham'!S43)/'Data Saham'!S43</f>
        <v>-6.0728744939271256E-3</v>
      </c>
      <c r="T44">
        <f>('Data Saham'!T44-'Data Saham'!T43)/'Data Saham'!T43</f>
        <v>3.9660056657223795E-2</v>
      </c>
      <c r="U44">
        <f>('Data Saham'!U44-'Data Saham'!U43)/'Data Saham'!U43</f>
        <v>0</v>
      </c>
      <c r="V44">
        <f>('Data Saham'!V44-'Data Saham'!V43)/'Data Saham'!V43</f>
        <v>-1.4806378132118452E-2</v>
      </c>
      <c r="W44">
        <f>('Data Saham'!W44-'Data Saham'!W43)/'Data Saham'!W43</f>
        <v>5.8479532163742687E-3</v>
      </c>
      <c r="X44">
        <f>('Data Saham'!X44-'Data Saham'!X43)/'Data Saham'!X43</f>
        <v>-3.9840637450199202E-3</v>
      </c>
      <c r="Y44">
        <f>('Data Saham'!Y44-'Data Saham'!Y43)/'Data Saham'!Y43</f>
        <v>-2.8225806451612902E-2</v>
      </c>
      <c r="Z44">
        <f>('Data Saham'!Z44-'Data Saham'!Z43)/'Data Saham'!Z43</f>
        <v>-1.834862385321101E-2</v>
      </c>
      <c r="AA44">
        <f>('Data Saham'!AA44-'Data Saham'!AA43)/'Data Saham'!AA43</f>
        <v>-2.9629629629629631E-2</v>
      </c>
      <c r="AB44">
        <f>('Data Saham'!AB44-'Data Saham'!AB43)/'Data Saham'!AB43</f>
        <v>-7.5949367088607597E-2</v>
      </c>
      <c r="AC44">
        <f>('Data Saham'!AC44-'Data Saham'!AC43)/'Data Saham'!AC43</f>
        <v>-2.0689655172413793E-2</v>
      </c>
      <c r="AD44">
        <f>('Data Saham'!AD44-'Data Saham'!AD43)/'Data Saham'!AD43</f>
        <v>-1.8099547511312219E-2</v>
      </c>
      <c r="AE44">
        <f>('Data Saham'!AE44-'Data Saham'!AE43)/'Data Saham'!AE43</f>
        <v>1.0256410256410256E-2</v>
      </c>
      <c r="AF44">
        <f>('Data Saham'!AF44-'Data Saham'!AF43)/'Data Saham'!AF43</f>
        <v>-4.9019607843138382E-3</v>
      </c>
    </row>
    <row r="45" spans="1:32" x14ac:dyDescent="0.3">
      <c r="A45" s="4" t="s">
        <v>26</v>
      </c>
      <c r="B45">
        <f>('Data Saham'!B45-'Data Saham'!B44)/'Data Saham'!B44</f>
        <v>9.4273425603963387E-3</v>
      </c>
      <c r="C45">
        <f>('Data Saham'!C45-'Data Saham'!C44)/'Data Saham'!C44</f>
        <v>2.6954177897574125E-3</v>
      </c>
      <c r="D45">
        <f>('Data Saham'!D45-'Data Saham'!D44)/'Data Saham'!D44</f>
        <v>-4.6838407494145199E-3</v>
      </c>
      <c r="E45">
        <f>('Data Saham'!E45-'Data Saham'!E44)/'Data Saham'!E44</f>
        <v>2.8169014084507043E-2</v>
      </c>
      <c r="F45">
        <f>('Data Saham'!F45-'Data Saham'!F44)/'Data Saham'!F44</f>
        <v>0</v>
      </c>
      <c r="G45">
        <f>('Data Saham'!G45-'Data Saham'!G44)/'Data Saham'!G44</f>
        <v>3.007518796992481E-2</v>
      </c>
      <c r="H45">
        <f>('Data Saham'!H45-'Data Saham'!H44)/'Data Saham'!H44</f>
        <v>1.2448132780082987E-2</v>
      </c>
      <c r="I45">
        <f>('Data Saham'!I45-'Data Saham'!I44)/'Data Saham'!I44</f>
        <v>2.2624434389140274E-3</v>
      </c>
      <c r="J45">
        <f>('Data Saham'!J45-'Data Saham'!J44)/'Data Saham'!J44</f>
        <v>4.3209876543209874E-2</v>
      </c>
      <c r="K45">
        <f>('Data Saham'!K45-'Data Saham'!K44)/'Data Saham'!K44</f>
        <v>0.12271540469973891</v>
      </c>
      <c r="L45">
        <f>('Data Saham'!L45-'Data Saham'!L44)/'Data Saham'!L44</f>
        <v>6.6815144766146995E-3</v>
      </c>
      <c r="M45">
        <f>('Data Saham'!M45-'Data Saham'!M44)/'Data Saham'!M44</f>
        <v>3.5294117647058823E-2</v>
      </c>
      <c r="N45">
        <f>('Data Saham'!N45-'Data Saham'!N44)/'Data Saham'!N44</f>
        <v>5.737704918032787E-2</v>
      </c>
      <c r="O45">
        <f>('Data Saham'!O45-'Data Saham'!O44)/'Data Saham'!O44</f>
        <v>1.5015015015015015E-2</v>
      </c>
      <c r="P45">
        <f>('Data Saham'!P45-'Data Saham'!P44)/'Data Saham'!P44</f>
        <v>0</v>
      </c>
      <c r="Q45">
        <f>('Data Saham'!Q45-'Data Saham'!Q44)/'Data Saham'!Q44</f>
        <v>9.2592592592592587E-3</v>
      </c>
      <c r="R45">
        <f>('Data Saham'!R45-'Data Saham'!R44)/'Data Saham'!R44</f>
        <v>-1.3114754098360656E-2</v>
      </c>
      <c r="S45">
        <f>('Data Saham'!S45-'Data Saham'!S44)/'Data Saham'!S44</f>
        <v>4.0733197556008143E-3</v>
      </c>
      <c r="T45">
        <f>('Data Saham'!T45-'Data Saham'!T44)/'Data Saham'!T44</f>
        <v>-2.1798365122615803E-2</v>
      </c>
      <c r="U45">
        <f>('Data Saham'!U45-'Data Saham'!U44)/'Data Saham'!U44</f>
        <v>1.984126984126984E-2</v>
      </c>
      <c r="V45">
        <f>('Data Saham'!V45-'Data Saham'!V44)/'Data Saham'!V44</f>
        <v>1.2716763005780347E-2</v>
      </c>
      <c r="W45">
        <f>('Data Saham'!W45-'Data Saham'!W44)/'Data Saham'!W44</f>
        <v>1.7441860465116279E-2</v>
      </c>
      <c r="X45">
        <f>('Data Saham'!X45-'Data Saham'!X44)/'Data Saham'!X44</f>
        <v>0.02</v>
      </c>
      <c r="Y45">
        <f>('Data Saham'!Y45-'Data Saham'!Y44)/'Data Saham'!Y44</f>
        <v>3.7344398340248962E-2</v>
      </c>
      <c r="Z45">
        <f>('Data Saham'!Z45-'Data Saham'!Z44)/'Data Saham'!Z44</f>
        <v>-4.6728971962616821E-2</v>
      </c>
      <c r="AA45">
        <f>('Data Saham'!AA45-'Data Saham'!AA44)/'Data Saham'!AA44</f>
        <v>2.2900763358778626E-2</v>
      </c>
      <c r="AB45">
        <f>('Data Saham'!AB45-'Data Saham'!AB44)/'Data Saham'!AB44</f>
        <v>0</v>
      </c>
      <c r="AC45">
        <f>('Data Saham'!AC45-'Data Saham'!AC44)/'Data Saham'!AC44</f>
        <v>-1.4084507042253521E-2</v>
      </c>
      <c r="AD45">
        <f>('Data Saham'!AD45-'Data Saham'!AD44)/'Data Saham'!AD44</f>
        <v>4.608294930875576E-3</v>
      </c>
      <c r="AE45">
        <f>('Data Saham'!AE45-'Data Saham'!AE44)/'Data Saham'!AE44</f>
        <v>1.5228426395939087E-2</v>
      </c>
      <c r="AF45">
        <f>('Data Saham'!AF45-'Data Saham'!AF44)/'Data Saham'!AF44</f>
        <v>0</v>
      </c>
    </row>
    <row r="46" spans="1:32" x14ac:dyDescent="0.3">
      <c r="A46" s="3" t="s">
        <v>27</v>
      </c>
      <c r="B46">
        <f>('Data Saham'!B46-'Data Saham'!B45)/'Data Saham'!B45</f>
        <v>4.8631329214117724E-3</v>
      </c>
      <c r="C46">
        <f>('Data Saham'!C46-'Data Saham'!C45)/'Data Saham'!C45</f>
        <v>2.1505376344086023E-2</v>
      </c>
      <c r="D46">
        <f>('Data Saham'!D46-'Data Saham'!D45)/'Data Saham'!D45</f>
        <v>-4.7058823529411761E-3</v>
      </c>
      <c r="E46">
        <f>('Data Saham'!E46-'Data Saham'!E45)/'Data Saham'!E45</f>
        <v>9.1324200913242004E-3</v>
      </c>
      <c r="F46">
        <f>('Data Saham'!F46-'Data Saham'!F45)/'Data Saham'!F45</f>
        <v>-8.8888888888888889E-3</v>
      </c>
      <c r="G46">
        <f>('Data Saham'!G46-'Data Saham'!G45)/'Data Saham'!G45</f>
        <v>2.9197080291970802E-2</v>
      </c>
      <c r="H46">
        <f>('Data Saham'!H46-'Data Saham'!H45)/'Data Saham'!H45</f>
        <v>1.2295081967213115E-2</v>
      </c>
      <c r="I46">
        <f>('Data Saham'!I46-'Data Saham'!I45)/'Data Saham'!I45</f>
        <v>-1.1286681715575621E-2</v>
      </c>
      <c r="J46">
        <f>('Data Saham'!J46-'Data Saham'!J45)/'Data Saham'!J45</f>
        <v>-2.6627218934911243E-2</v>
      </c>
      <c r="K46">
        <f>('Data Saham'!K46-'Data Saham'!K45)/'Data Saham'!K45</f>
        <v>7.9069767441860464E-2</v>
      </c>
      <c r="L46">
        <f>('Data Saham'!L46-'Data Saham'!L45)/'Data Saham'!L45</f>
        <v>8.8495575221238937E-3</v>
      </c>
      <c r="M46">
        <f>('Data Saham'!M46-'Data Saham'!M45)/'Data Saham'!M45</f>
        <v>3.0303030303030304E-2</v>
      </c>
      <c r="N46">
        <f>('Data Saham'!N46-'Data Saham'!N45)/'Data Saham'!N45</f>
        <v>6.9767441860465115E-2</v>
      </c>
      <c r="O46">
        <f>('Data Saham'!O46-'Data Saham'!O45)/'Data Saham'!O45</f>
        <v>2.9585798816568046E-2</v>
      </c>
      <c r="P46">
        <f>('Data Saham'!P46-'Data Saham'!P45)/'Data Saham'!P45</f>
        <v>-2.4390243902439025E-2</v>
      </c>
      <c r="Q46">
        <f>('Data Saham'!Q46-'Data Saham'!Q45)/'Data Saham'!Q45</f>
        <v>1.3761467889908258E-2</v>
      </c>
      <c r="R46">
        <f>('Data Saham'!R46-'Data Saham'!R45)/'Data Saham'!R45</f>
        <v>-3.3222591362126248E-2</v>
      </c>
      <c r="S46">
        <f>('Data Saham'!S46-'Data Saham'!S45)/'Data Saham'!S45</f>
        <v>-1.4198782961460446E-2</v>
      </c>
      <c r="T46">
        <f>('Data Saham'!T46-'Data Saham'!T45)/'Data Saham'!T45</f>
        <v>2.7855153203342618E-3</v>
      </c>
      <c r="U46">
        <f>('Data Saham'!U46-'Data Saham'!U45)/'Data Saham'!U45</f>
        <v>5.4474708171206226E-2</v>
      </c>
      <c r="V46">
        <f>('Data Saham'!V46-'Data Saham'!V45)/'Data Saham'!V45</f>
        <v>9.1324200913242004E-3</v>
      </c>
      <c r="W46">
        <f>('Data Saham'!W46-'Data Saham'!W45)/'Data Saham'!W45</f>
        <v>5.7142857142857143E-3</v>
      </c>
      <c r="X46">
        <f>('Data Saham'!X46-'Data Saham'!X45)/'Data Saham'!X45</f>
        <v>-3.9215686274509803E-3</v>
      </c>
      <c r="Y46">
        <f>('Data Saham'!Y46-'Data Saham'!Y45)/'Data Saham'!Y45</f>
        <v>0</v>
      </c>
      <c r="Z46">
        <f>('Data Saham'!Z46-'Data Saham'!Z45)/'Data Saham'!Z45</f>
        <v>3.9215686274509803E-2</v>
      </c>
      <c r="AA46">
        <f>('Data Saham'!AA46-'Data Saham'!AA45)/'Data Saham'!AA45</f>
        <v>-1.4925373134328358E-2</v>
      </c>
      <c r="AB46">
        <f>('Data Saham'!AB46-'Data Saham'!AB45)/'Data Saham'!AB45</f>
        <v>-2.7397260273972601E-2</v>
      </c>
      <c r="AC46">
        <f>('Data Saham'!AC46-'Data Saham'!AC45)/'Data Saham'!AC45</f>
        <v>-2.8571428571428571E-2</v>
      </c>
      <c r="AD46">
        <f>('Data Saham'!AD46-'Data Saham'!AD45)/'Data Saham'!AD45</f>
        <v>4.5871559633027525E-3</v>
      </c>
      <c r="AE46">
        <f>('Data Saham'!AE46-'Data Saham'!AE45)/'Data Saham'!AE45</f>
        <v>-5.0000000000000001E-3</v>
      </c>
      <c r="AF46">
        <f>('Data Saham'!AF46-'Data Saham'!AF45)/'Data Saham'!AF45</f>
        <v>9.8522167487684834E-3</v>
      </c>
    </row>
    <row r="47" spans="1:32" x14ac:dyDescent="0.3">
      <c r="A47" s="4" t="s">
        <v>28</v>
      </c>
      <c r="B47">
        <f>('Data Saham'!B47-'Data Saham'!B46)/'Data Saham'!B46</f>
        <v>-6.5102106261088685E-3</v>
      </c>
      <c r="C47">
        <f>('Data Saham'!C47-'Data Saham'!C46)/'Data Saham'!C46</f>
        <v>-2.631578947368421E-3</v>
      </c>
      <c r="D47">
        <f>('Data Saham'!D47-'Data Saham'!D46)/'Data Saham'!D46</f>
        <v>-4.7281323877068557E-3</v>
      </c>
      <c r="E47">
        <f>('Data Saham'!E47-'Data Saham'!E46)/'Data Saham'!E46</f>
        <v>-2.2624434389140271E-2</v>
      </c>
      <c r="F47">
        <f>('Data Saham'!F47-'Data Saham'!F46)/'Data Saham'!F46</f>
        <v>-2.242152466367713E-3</v>
      </c>
      <c r="G47">
        <f>('Data Saham'!G47-'Data Saham'!G46)/'Data Saham'!G46</f>
        <v>-2.8368794326241134E-2</v>
      </c>
      <c r="H47">
        <f>('Data Saham'!H47-'Data Saham'!H46)/'Data Saham'!H46</f>
        <v>-1.6194331983805668E-2</v>
      </c>
      <c r="I47">
        <f>('Data Saham'!I47-'Data Saham'!I46)/'Data Saham'!I46</f>
        <v>-1.8264840182648401E-2</v>
      </c>
      <c r="J47">
        <f>('Data Saham'!J47-'Data Saham'!J46)/'Data Saham'!J46</f>
        <v>-4.2553191489361701E-2</v>
      </c>
      <c r="K47">
        <f>('Data Saham'!K47-'Data Saham'!K46)/'Data Saham'!K46</f>
        <v>-4.7413793103448273E-2</v>
      </c>
      <c r="L47">
        <f>('Data Saham'!L47-'Data Saham'!L46)/'Data Saham'!L46</f>
        <v>-2.0833333333333332E-2</v>
      </c>
      <c r="M47">
        <f>('Data Saham'!M47-'Data Saham'!M46)/'Data Saham'!M46</f>
        <v>3.6764705882352941E-3</v>
      </c>
      <c r="N47">
        <f>('Data Saham'!N47-'Data Saham'!N46)/'Data Saham'!N46</f>
        <v>-2.4154589371980676E-2</v>
      </c>
      <c r="O47">
        <f>('Data Saham'!O47-'Data Saham'!O46)/'Data Saham'!O46</f>
        <v>-8.6206896551724137E-3</v>
      </c>
      <c r="P47">
        <f>('Data Saham'!P47-'Data Saham'!P46)/'Data Saham'!P46</f>
        <v>1.6666666666666666E-2</v>
      </c>
      <c r="Q47">
        <f>('Data Saham'!Q47-'Data Saham'!Q46)/'Data Saham'!Q46</f>
        <v>-1.8099547511312219E-2</v>
      </c>
      <c r="R47">
        <f>('Data Saham'!R47-'Data Saham'!R46)/'Data Saham'!R46</f>
        <v>3.0927835051546393E-2</v>
      </c>
      <c r="S47">
        <f>('Data Saham'!S47-'Data Saham'!S46)/'Data Saham'!S46</f>
        <v>-8.23045267489712E-3</v>
      </c>
      <c r="T47">
        <f>('Data Saham'!T47-'Data Saham'!T46)/'Data Saham'!T46</f>
        <v>0</v>
      </c>
      <c r="U47">
        <f>('Data Saham'!U47-'Data Saham'!U46)/'Data Saham'!U46</f>
        <v>-6.6420664206642069E-2</v>
      </c>
      <c r="V47">
        <f>('Data Saham'!V47-'Data Saham'!V46)/'Data Saham'!V46</f>
        <v>-1.5837104072398189E-2</v>
      </c>
      <c r="W47">
        <f>('Data Saham'!W47-'Data Saham'!W46)/'Data Saham'!W46</f>
        <v>5.6818181818181816E-2</v>
      </c>
      <c r="X47">
        <f>('Data Saham'!X47-'Data Saham'!X46)/'Data Saham'!X46</f>
        <v>0</v>
      </c>
      <c r="Y47">
        <f>('Data Saham'!Y47-'Data Saham'!Y46)/'Data Saham'!Y46</f>
        <v>0</v>
      </c>
      <c r="Z47">
        <f>('Data Saham'!Z47-'Data Saham'!Z46)/'Data Saham'!Z46</f>
        <v>-9.433962264150943E-3</v>
      </c>
      <c r="AA47">
        <f>('Data Saham'!AA47-'Data Saham'!AA46)/'Data Saham'!AA46</f>
        <v>-1.893939393939394E-2</v>
      </c>
      <c r="AB47">
        <f>('Data Saham'!AB47-'Data Saham'!AB46)/'Data Saham'!AB46</f>
        <v>1.4084507042253521E-2</v>
      </c>
      <c r="AC47">
        <f>('Data Saham'!AC47-'Data Saham'!AC46)/'Data Saham'!AC46</f>
        <v>-7.3529411764705881E-3</v>
      </c>
      <c r="AD47">
        <f>('Data Saham'!AD47-'Data Saham'!AD46)/'Data Saham'!AD46</f>
        <v>-1.3698630136986301E-2</v>
      </c>
      <c r="AE47">
        <f>('Data Saham'!AE47-'Data Saham'!AE46)/'Data Saham'!AE46</f>
        <v>-1.0050251256281407E-2</v>
      </c>
      <c r="AF47">
        <f>('Data Saham'!AF47-'Data Saham'!AF46)/'Data Saham'!AF46</f>
        <v>-2.4390243902438939E-2</v>
      </c>
    </row>
    <row r="48" spans="1:32" x14ac:dyDescent="0.3">
      <c r="A48" s="3" t="s">
        <v>29</v>
      </c>
      <c r="B48">
        <f>('Data Saham'!B48-'Data Saham'!B47)/'Data Saham'!B47</f>
        <v>6.745975812589811E-3</v>
      </c>
      <c r="C48">
        <f>('Data Saham'!C48-'Data Saham'!C47)/'Data Saham'!C47</f>
        <v>2.3746701846965697E-2</v>
      </c>
      <c r="D48">
        <f>('Data Saham'!D48-'Data Saham'!D47)/'Data Saham'!D47</f>
        <v>1.1876484560570071E-2</v>
      </c>
      <c r="E48">
        <f>('Data Saham'!E48-'Data Saham'!E47)/'Data Saham'!E47</f>
        <v>9.2592592592592587E-3</v>
      </c>
      <c r="F48">
        <f>('Data Saham'!F48-'Data Saham'!F47)/'Data Saham'!F47</f>
        <v>1.5730337078651686E-2</v>
      </c>
      <c r="G48">
        <f>('Data Saham'!G48-'Data Saham'!G47)/'Data Saham'!G47</f>
        <v>3.6496350364963502E-3</v>
      </c>
      <c r="H48">
        <f>('Data Saham'!H48-'Data Saham'!H47)/'Data Saham'!H47</f>
        <v>-3.9094650205761319E-2</v>
      </c>
      <c r="I48">
        <f>('Data Saham'!I48-'Data Saham'!I47)/'Data Saham'!I47</f>
        <v>6.9767441860465115E-3</v>
      </c>
      <c r="J48">
        <f>('Data Saham'!J48-'Data Saham'!J47)/'Data Saham'!J47</f>
        <v>1.2698412698412698E-2</v>
      </c>
      <c r="K48">
        <f>('Data Saham'!K48-'Data Saham'!K47)/'Data Saham'!K47</f>
        <v>-2.2624434389140271E-2</v>
      </c>
      <c r="L48">
        <f>('Data Saham'!L48-'Data Saham'!L47)/'Data Saham'!L47</f>
        <v>1.0078387458006719E-2</v>
      </c>
      <c r="M48">
        <f>('Data Saham'!M48-'Data Saham'!M47)/'Data Saham'!M47</f>
        <v>6.5934065934065936E-2</v>
      </c>
      <c r="N48">
        <f>('Data Saham'!N48-'Data Saham'!N47)/'Data Saham'!N47</f>
        <v>1.4851485148514851E-2</v>
      </c>
      <c r="O48">
        <f>('Data Saham'!O48-'Data Saham'!O47)/'Data Saham'!O47</f>
        <v>1.1594202898550725E-2</v>
      </c>
      <c r="P48">
        <f>('Data Saham'!P48-'Data Saham'!P47)/'Data Saham'!P47</f>
        <v>8.1967213114754103E-3</v>
      </c>
      <c r="Q48">
        <f>('Data Saham'!Q48-'Data Saham'!Q47)/'Data Saham'!Q47</f>
        <v>4.608294930875576E-3</v>
      </c>
      <c r="R48">
        <f>('Data Saham'!R48-'Data Saham'!R47)/'Data Saham'!R47</f>
        <v>0.02</v>
      </c>
      <c r="S48">
        <f>('Data Saham'!S48-'Data Saham'!S47)/'Data Saham'!S47</f>
        <v>1.4522821576763486E-2</v>
      </c>
      <c r="T48">
        <f>('Data Saham'!T48-'Data Saham'!T47)/'Data Saham'!T47</f>
        <v>-1.9444444444444445E-2</v>
      </c>
      <c r="U48">
        <f>('Data Saham'!U48-'Data Saham'!U47)/'Data Saham'!U47</f>
        <v>1.5810276679841896E-2</v>
      </c>
      <c r="V48">
        <f>('Data Saham'!V48-'Data Saham'!V47)/'Data Saham'!V47</f>
        <v>2.2988505747126436E-3</v>
      </c>
      <c r="W48">
        <f>('Data Saham'!W48-'Data Saham'!W47)/'Data Saham'!W47</f>
        <v>5.3763440860215055E-2</v>
      </c>
      <c r="X48">
        <f>('Data Saham'!X48-'Data Saham'!X47)/'Data Saham'!X47</f>
        <v>8.2677165354330714E-2</v>
      </c>
      <c r="Y48">
        <f>('Data Saham'!Y48-'Data Saham'!Y47)/'Data Saham'!Y47</f>
        <v>4.3999999999999997E-2</v>
      </c>
      <c r="Z48">
        <f>('Data Saham'!Z48-'Data Saham'!Z47)/'Data Saham'!Z47</f>
        <v>0</v>
      </c>
      <c r="AA48">
        <f>('Data Saham'!AA48-'Data Saham'!AA47)/'Data Saham'!AA47</f>
        <v>7.7220077220077222E-3</v>
      </c>
      <c r="AB48">
        <f>('Data Saham'!AB48-'Data Saham'!AB47)/'Data Saham'!AB47</f>
        <v>-2.7777777777777776E-2</v>
      </c>
      <c r="AC48">
        <f>('Data Saham'!AC48-'Data Saham'!AC47)/'Data Saham'!AC47</f>
        <v>-7.4074074074074077E-3</v>
      </c>
      <c r="AD48">
        <f>('Data Saham'!AD48-'Data Saham'!AD47)/'Data Saham'!AD47</f>
        <v>3.2407407407407406E-2</v>
      </c>
      <c r="AE48">
        <f>('Data Saham'!AE48-'Data Saham'!AE47)/'Data Saham'!AE47</f>
        <v>4.060913705583756E-2</v>
      </c>
      <c r="AF48">
        <f>('Data Saham'!AF48-'Data Saham'!AF47)/'Data Saham'!AF47</f>
        <v>989</v>
      </c>
    </row>
    <row r="49" spans="1:32" x14ac:dyDescent="0.3">
      <c r="A49" s="4" t="s">
        <v>30</v>
      </c>
      <c r="B49">
        <f>('Data Saham'!B49-'Data Saham'!B48)/'Data Saham'!B48</f>
        <v>3.4329908742925445E-3</v>
      </c>
      <c r="C49">
        <f>('Data Saham'!C49-'Data Saham'!C48)/'Data Saham'!C48</f>
        <v>-5.1546391752577319E-3</v>
      </c>
      <c r="D49">
        <f>('Data Saham'!D49-'Data Saham'!D48)/'Data Saham'!D48</f>
        <v>9.3896713615023476E-3</v>
      </c>
      <c r="E49">
        <f>('Data Saham'!E49-'Data Saham'!E48)/'Data Saham'!E48</f>
        <v>0</v>
      </c>
      <c r="F49">
        <f>('Data Saham'!F49-'Data Saham'!F48)/'Data Saham'!F48</f>
        <v>-1.1061946902654867E-2</v>
      </c>
      <c r="G49">
        <f>('Data Saham'!G49-'Data Saham'!G48)/'Data Saham'!G48</f>
        <v>1.8181818181818181E-2</v>
      </c>
      <c r="H49">
        <f>('Data Saham'!H49-'Data Saham'!H48)/'Data Saham'!H48</f>
        <v>-8.5653104925053538E-3</v>
      </c>
      <c r="I49">
        <f>('Data Saham'!I49-'Data Saham'!I48)/'Data Saham'!I48</f>
        <v>-2.3094688221709007E-3</v>
      </c>
      <c r="J49">
        <f>('Data Saham'!J49-'Data Saham'!J48)/'Data Saham'!J48</f>
        <v>-9.4043887147335428E-3</v>
      </c>
      <c r="K49">
        <f>('Data Saham'!K49-'Data Saham'!K48)/'Data Saham'!K48</f>
        <v>-4.6296296296296294E-3</v>
      </c>
      <c r="L49">
        <f>('Data Saham'!L49-'Data Saham'!L48)/'Data Saham'!L48</f>
        <v>4.434589800443459E-3</v>
      </c>
      <c r="M49">
        <f>('Data Saham'!M49-'Data Saham'!M48)/'Data Saham'!M48</f>
        <v>1.7182130584192441E-2</v>
      </c>
      <c r="N49">
        <f>('Data Saham'!N49-'Data Saham'!N48)/'Data Saham'!N48</f>
        <v>-9.7560975609756097E-3</v>
      </c>
      <c r="O49">
        <f>('Data Saham'!O49-'Data Saham'!O48)/'Data Saham'!O48</f>
        <v>3.151862464183381E-2</v>
      </c>
      <c r="P49">
        <f>('Data Saham'!P49-'Data Saham'!P48)/'Data Saham'!P48</f>
        <v>-2.4390243902439025E-2</v>
      </c>
      <c r="Q49">
        <f>('Data Saham'!Q49-'Data Saham'!Q48)/'Data Saham'!Q48</f>
        <v>-4.5871559633027525E-3</v>
      </c>
      <c r="R49">
        <f>('Data Saham'!R49-'Data Saham'!R48)/'Data Saham'!R48</f>
        <v>-5.8823529411764705E-2</v>
      </c>
      <c r="S49">
        <f>('Data Saham'!S49-'Data Saham'!S48)/'Data Saham'!S48</f>
        <v>-2.0449897750511249E-3</v>
      </c>
      <c r="T49">
        <f>('Data Saham'!T49-'Data Saham'!T48)/'Data Saham'!T48</f>
        <v>-2.8328611898016998E-2</v>
      </c>
      <c r="U49">
        <f>('Data Saham'!U49-'Data Saham'!U48)/'Data Saham'!U48</f>
        <v>3.8910505836575876E-2</v>
      </c>
      <c r="V49">
        <f>('Data Saham'!V49-'Data Saham'!V48)/'Data Saham'!V48</f>
        <v>3.4403669724770644E-3</v>
      </c>
      <c r="W49">
        <f>('Data Saham'!W49-'Data Saham'!W48)/'Data Saham'!W48</f>
        <v>0.10204081632653061</v>
      </c>
      <c r="X49">
        <f>('Data Saham'!X49-'Data Saham'!X48)/'Data Saham'!X48</f>
        <v>-2.5454545454545455E-2</v>
      </c>
      <c r="Y49">
        <f>('Data Saham'!Y49-'Data Saham'!Y48)/'Data Saham'!Y48</f>
        <v>-3.8314176245210726E-3</v>
      </c>
      <c r="Z49">
        <f>('Data Saham'!Z49-'Data Saham'!Z48)/'Data Saham'!Z48</f>
        <v>0.13333333333333333</v>
      </c>
      <c r="AA49">
        <f>('Data Saham'!AA49-'Data Saham'!AA48)/'Data Saham'!AA48</f>
        <v>3.4482758620689655E-2</v>
      </c>
      <c r="AB49">
        <f>('Data Saham'!AB49-'Data Saham'!AB48)/'Data Saham'!AB48</f>
        <v>2.8571428571428571E-2</v>
      </c>
      <c r="AC49">
        <f>('Data Saham'!AC49-'Data Saham'!AC48)/'Data Saham'!AC48</f>
        <v>2.2388059701492536E-2</v>
      </c>
      <c r="AD49">
        <f>('Data Saham'!AD49-'Data Saham'!AD48)/'Data Saham'!AD48</f>
        <v>-1.7937219730941704E-2</v>
      </c>
      <c r="AE49">
        <f>('Data Saham'!AE49-'Data Saham'!AE48)/'Data Saham'!AE48</f>
        <v>2.4390243902439025E-2</v>
      </c>
      <c r="AF49">
        <f>('Data Saham'!AF49-'Data Saham'!AF48)/'Data Saham'!AF48</f>
        <v>-1.5151515151515152E-2</v>
      </c>
    </row>
    <row r="50" spans="1:32" x14ac:dyDescent="0.3">
      <c r="A50" s="3" t="s">
        <v>31</v>
      </c>
      <c r="B50">
        <f>('Data Saham'!B50-'Data Saham'!B49)/'Data Saham'!B49</f>
        <v>6.5829680004688574E-3</v>
      </c>
      <c r="C50">
        <f>('Data Saham'!C50-'Data Saham'!C49)/'Data Saham'!C49</f>
        <v>2.5906735751295338E-3</v>
      </c>
      <c r="D50">
        <f>('Data Saham'!D50-'Data Saham'!D49)/'Data Saham'!D49</f>
        <v>1.1627906976744186E-2</v>
      </c>
      <c r="E50">
        <f>('Data Saham'!E50-'Data Saham'!E49)/'Data Saham'!E49</f>
        <v>-4.5871559633027525E-3</v>
      </c>
      <c r="F50">
        <f>('Data Saham'!F50-'Data Saham'!F49)/'Data Saham'!F49</f>
        <v>8.948545861297539E-3</v>
      </c>
      <c r="G50">
        <f>('Data Saham'!G50-'Data Saham'!G49)/'Data Saham'!G49</f>
        <v>-3.9285714285714285E-2</v>
      </c>
      <c r="H50">
        <f>('Data Saham'!H50-'Data Saham'!H49)/'Data Saham'!H49</f>
        <v>2.3758099352051837E-2</v>
      </c>
      <c r="I50">
        <f>('Data Saham'!I50-'Data Saham'!I49)/'Data Saham'!I49</f>
        <v>2.3148148148148147E-3</v>
      </c>
      <c r="J50">
        <f>('Data Saham'!J50-'Data Saham'!J49)/'Data Saham'!J49</f>
        <v>-6.3291139240506328E-3</v>
      </c>
      <c r="K50">
        <f>('Data Saham'!K50-'Data Saham'!K49)/'Data Saham'!K49</f>
        <v>-2.3255813953488372E-2</v>
      </c>
      <c r="L50">
        <f>('Data Saham'!L50-'Data Saham'!L49)/'Data Saham'!L49</f>
        <v>-6.6225165562913907E-3</v>
      </c>
      <c r="M50">
        <f>('Data Saham'!M50-'Data Saham'!M49)/'Data Saham'!M49</f>
        <v>5.7432432432432436E-2</v>
      </c>
      <c r="N50">
        <f>('Data Saham'!N50-'Data Saham'!N49)/'Data Saham'!N49</f>
        <v>4.9261083743842365E-3</v>
      </c>
      <c r="O50">
        <f>('Data Saham'!O50-'Data Saham'!O49)/'Data Saham'!O49</f>
        <v>-1.6666666666666666E-2</v>
      </c>
      <c r="P50">
        <f>('Data Saham'!P50-'Data Saham'!P49)/'Data Saham'!P49</f>
        <v>-8.3333333333333332E-3</v>
      </c>
      <c r="Q50">
        <f>('Data Saham'!Q50-'Data Saham'!Q49)/'Data Saham'!Q49</f>
        <v>0</v>
      </c>
      <c r="R50">
        <f>('Data Saham'!R50-'Data Saham'!R49)/'Data Saham'!R49</f>
        <v>1.3888888888888888E-2</v>
      </c>
      <c r="S50">
        <f>('Data Saham'!S50-'Data Saham'!S49)/'Data Saham'!S49</f>
        <v>0</v>
      </c>
      <c r="T50">
        <f>('Data Saham'!T50-'Data Saham'!T49)/'Data Saham'!T49</f>
        <v>-3.7900874635568516E-2</v>
      </c>
      <c r="U50">
        <f>('Data Saham'!U50-'Data Saham'!U49)/'Data Saham'!U49</f>
        <v>1.8726591760299626E-2</v>
      </c>
      <c r="V50">
        <f>('Data Saham'!V50-'Data Saham'!V49)/'Data Saham'!V49</f>
        <v>3.4285714285714284E-3</v>
      </c>
      <c r="W50">
        <f>('Data Saham'!W50-'Data Saham'!W49)/'Data Saham'!W49</f>
        <v>6.9444444444444448E-2</v>
      </c>
      <c r="X50">
        <f>('Data Saham'!X50-'Data Saham'!X49)/'Data Saham'!X49</f>
        <v>-2.9850746268656716E-2</v>
      </c>
      <c r="Y50">
        <f>('Data Saham'!Y50-'Data Saham'!Y49)/'Data Saham'!Y49</f>
        <v>0</v>
      </c>
      <c r="Z50">
        <f>('Data Saham'!Z50-'Data Saham'!Z49)/'Data Saham'!Z49</f>
        <v>-3.3613445378151259E-2</v>
      </c>
      <c r="AA50">
        <f>('Data Saham'!AA50-'Data Saham'!AA49)/'Data Saham'!AA49</f>
        <v>-7.4074074074074077E-3</v>
      </c>
      <c r="AB50">
        <f>('Data Saham'!AB50-'Data Saham'!AB49)/'Data Saham'!AB49</f>
        <v>0</v>
      </c>
      <c r="AC50">
        <f>('Data Saham'!AC50-'Data Saham'!AC49)/'Data Saham'!AC49</f>
        <v>7.2992700729927005E-3</v>
      </c>
      <c r="AD50">
        <f>('Data Saham'!AD50-'Data Saham'!AD49)/'Data Saham'!AD49</f>
        <v>-9.1324200913242004E-3</v>
      </c>
      <c r="AE50">
        <f>('Data Saham'!AE50-'Data Saham'!AE49)/'Data Saham'!AE49</f>
        <v>4.7619047619047623E-3</v>
      </c>
      <c r="AF50">
        <f>('Data Saham'!AF50-'Data Saham'!AF49)/'Data Saham'!AF49</f>
        <v>1.0256410256410256E-2</v>
      </c>
    </row>
    <row r="51" spans="1:32" x14ac:dyDescent="0.3">
      <c r="A51" s="4" t="s">
        <v>32</v>
      </c>
      <c r="B51">
        <f>('Data Saham'!B51-'Data Saham'!B50)/'Data Saham'!B50</f>
        <v>-3.5776861062132657E-3</v>
      </c>
      <c r="C51">
        <f>('Data Saham'!C51-'Data Saham'!C50)/'Data Saham'!C50</f>
        <v>-5.1679586563307496E-3</v>
      </c>
      <c r="D51">
        <f>('Data Saham'!D51-'Data Saham'!D50)/'Data Saham'!D50</f>
        <v>-6.8965517241379309E-3</v>
      </c>
      <c r="E51">
        <f>('Data Saham'!E51-'Data Saham'!E50)/'Data Saham'!E50</f>
        <v>9.2165898617511521E-3</v>
      </c>
      <c r="F51">
        <f>('Data Saham'!F51-'Data Saham'!F50)/'Data Saham'!F50</f>
        <v>-2.2172949002217295E-3</v>
      </c>
      <c r="G51">
        <f>('Data Saham'!G51-'Data Saham'!G50)/'Data Saham'!G50</f>
        <v>4.0892193308550186E-2</v>
      </c>
      <c r="H51">
        <f>('Data Saham'!H51-'Data Saham'!H50)/'Data Saham'!H50</f>
        <v>-2.1097046413502108E-3</v>
      </c>
      <c r="I51">
        <f>('Data Saham'!I51-'Data Saham'!I50)/'Data Saham'!I50</f>
        <v>1.8475750577367205E-2</v>
      </c>
      <c r="J51">
        <f>('Data Saham'!J51-'Data Saham'!J50)/'Data Saham'!J50</f>
        <v>0</v>
      </c>
      <c r="K51">
        <f>('Data Saham'!K51-'Data Saham'!K50)/'Data Saham'!K50</f>
        <v>-4.7619047619047623E-3</v>
      </c>
      <c r="L51">
        <f>('Data Saham'!L51-'Data Saham'!L50)/'Data Saham'!L50</f>
        <v>-4.4444444444444444E-3</v>
      </c>
      <c r="M51">
        <f>('Data Saham'!M51-'Data Saham'!M50)/'Data Saham'!M50</f>
        <v>-6.3897763578274758E-3</v>
      </c>
      <c r="N51">
        <f>('Data Saham'!N51-'Data Saham'!N50)/'Data Saham'!N50</f>
        <v>9.8039215686274508E-3</v>
      </c>
      <c r="O51">
        <f>('Data Saham'!O51-'Data Saham'!O50)/'Data Saham'!O50</f>
        <v>2.5423728813559324E-2</v>
      </c>
      <c r="P51">
        <f>('Data Saham'!P51-'Data Saham'!P50)/'Data Saham'!P50</f>
        <v>-2.5210084033613446E-2</v>
      </c>
      <c r="Q51">
        <f>('Data Saham'!Q51-'Data Saham'!Q50)/'Data Saham'!Q50</f>
        <v>0</v>
      </c>
      <c r="R51">
        <f>('Data Saham'!R51-'Data Saham'!R50)/'Data Saham'!R50</f>
        <v>4.1095890410958902E-2</v>
      </c>
      <c r="S51">
        <f>('Data Saham'!S51-'Data Saham'!S50)/'Data Saham'!S50</f>
        <v>-1.0245901639344262E-2</v>
      </c>
      <c r="T51">
        <f>('Data Saham'!T51-'Data Saham'!T50)/'Data Saham'!T50</f>
        <v>-1.8181818181818181E-2</v>
      </c>
      <c r="U51">
        <f>('Data Saham'!U51-'Data Saham'!U50)/'Data Saham'!U50</f>
        <v>5.1470588235294115E-2</v>
      </c>
      <c r="V51">
        <f>('Data Saham'!V51-'Data Saham'!V50)/'Data Saham'!V50</f>
        <v>-1.0250569476082005E-2</v>
      </c>
      <c r="W51">
        <f>('Data Saham'!W51-'Data Saham'!W50)/'Data Saham'!W50</f>
        <v>5.627705627705628E-2</v>
      </c>
      <c r="X51">
        <f>('Data Saham'!X51-'Data Saham'!X50)/'Data Saham'!X50</f>
        <v>-3.8461538461538464E-3</v>
      </c>
      <c r="Y51">
        <f>('Data Saham'!Y51-'Data Saham'!Y50)/'Data Saham'!Y50</f>
        <v>0</v>
      </c>
      <c r="Z51">
        <f>('Data Saham'!Z51-'Data Saham'!Z50)/'Data Saham'!Z50</f>
        <v>8.6956521739130436E-3</v>
      </c>
      <c r="AA51">
        <f>('Data Saham'!AA51-'Data Saham'!AA50)/'Data Saham'!AA50</f>
        <v>-2.6119402985074626E-2</v>
      </c>
      <c r="AB51">
        <f>('Data Saham'!AB51-'Data Saham'!AB50)/'Data Saham'!AB50</f>
        <v>-5.5555555555555552E-2</v>
      </c>
      <c r="AC51">
        <f>('Data Saham'!AC51-'Data Saham'!AC50)/'Data Saham'!AC50</f>
        <v>-7.246376811594203E-3</v>
      </c>
      <c r="AD51">
        <f>('Data Saham'!AD51-'Data Saham'!AD50)/'Data Saham'!AD50</f>
        <v>-3.6866359447004608E-2</v>
      </c>
      <c r="AE51">
        <f>('Data Saham'!AE51-'Data Saham'!AE50)/'Data Saham'!AE50</f>
        <v>-5.2132701421800945E-2</v>
      </c>
      <c r="AF51">
        <f>('Data Saham'!AF51-'Data Saham'!AF50)/'Data Saham'!AF50</f>
        <v>0</v>
      </c>
    </row>
    <row r="52" spans="1:32" x14ac:dyDescent="0.3">
      <c r="A52" s="3" t="s">
        <v>33</v>
      </c>
      <c r="B52">
        <f>('Data Saham'!B52-'Data Saham'!B51)/'Data Saham'!B51</f>
        <v>1.4773904999060828E-3</v>
      </c>
      <c r="C52">
        <f>('Data Saham'!C52-'Data Saham'!C51)/'Data Saham'!C51</f>
        <v>-1.8181818181818181E-2</v>
      </c>
      <c r="D52">
        <f>('Data Saham'!D52-'Data Saham'!D51)/'Data Saham'!D51</f>
        <v>1.1574074074074073E-2</v>
      </c>
      <c r="E52">
        <f>('Data Saham'!E52-'Data Saham'!E51)/'Data Saham'!E51</f>
        <v>-1.3698630136986301E-2</v>
      </c>
      <c r="F52">
        <f>('Data Saham'!F52-'Data Saham'!F51)/'Data Saham'!F51</f>
        <v>6.6666666666666671E-3</v>
      </c>
      <c r="G52">
        <f>('Data Saham'!G52-'Data Saham'!G51)/'Data Saham'!G51</f>
        <v>1.0714285714285714E-2</v>
      </c>
      <c r="H52">
        <f>('Data Saham'!H52-'Data Saham'!H51)/'Data Saham'!H51</f>
        <v>-6.3424947145877377E-3</v>
      </c>
      <c r="I52">
        <f>('Data Saham'!I52-'Data Saham'!I51)/'Data Saham'!I51</f>
        <v>9.0702947845804991E-3</v>
      </c>
      <c r="J52">
        <f>('Data Saham'!J52-'Data Saham'!J51)/'Data Saham'!J51</f>
        <v>3.1847133757961785E-3</v>
      </c>
      <c r="K52">
        <f>('Data Saham'!K52-'Data Saham'!K51)/'Data Saham'!K51</f>
        <v>9.569377990430622E-2</v>
      </c>
      <c r="L52">
        <f>('Data Saham'!L52-'Data Saham'!L51)/'Data Saham'!L51</f>
        <v>5.580357142857143E-3</v>
      </c>
      <c r="M52">
        <f>('Data Saham'!M52-'Data Saham'!M51)/'Data Saham'!M51</f>
        <v>-2.5723472668810289E-2</v>
      </c>
      <c r="N52">
        <f>('Data Saham'!N52-'Data Saham'!N51)/'Data Saham'!N51</f>
        <v>-9.7087378640776691E-3</v>
      </c>
      <c r="O52">
        <f>('Data Saham'!O52-'Data Saham'!O51)/'Data Saham'!O51</f>
        <v>5.5096418732782371E-3</v>
      </c>
      <c r="P52">
        <f>('Data Saham'!P52-'Data Saham'!P51)/'Data Saham'!P51</f>
        <v>0</v>
      </c>
      <c r="Q52">
        <f>('Data Saham'!Q52-'Data Saham'!Q51)/'Data Saham'!Q51</f>
        <v>4.608294930875576E-3</v>
      </c>
      <c r="R52">
        <f>('Data Saham'!R52-'Data Saham'!R51)/'Data Saham'!R51</f>
        <v>3.2894736842105261E-2</v>
      </c>
      <c r="S52">
        <f>('Data Saham'!S52-'Data Saham'!S51)/'Data Saham'!S51</f>
        <v>2.070393374741201E-3</v>
      </c>
      <c r="T52">
        <f>('Data Saham'!T52-'Data Saham'!T51)/'Data Saham'!T51</f>
        <v>3.3950617283950615E-2</v>
      </c>
      <c r="U52">
        <f>('Data Saham'!U52-'Data Saham'!U51)/'Data Saham'!U51</f>
        <v>-6.993006993006993E-3</v>
      </c>
      <c r="V52">
        <f>('Data Saham'!V52-'Data Saham'!V51)/'Data Saham'!V51</f>
        <v>8.0552359033371698E-3</v>
      </c>
      <c r="W52">
        <f>('Data Saham'!W52-'Data Saham'!W51)/'Data Saham'!W51</f>
        <v>0.10655737704918032</v>
      </c>
      <c r="X52">
        <f>('Data Saham'!X52-'Data Saham'!X51)/'Data Saham'!X51</f>
        <v>-3.8610038610038611E-3</v>
      </c>
      <c r="Y52">
        <f>('Data Saham'!Y52-'Data Saham'!Y51)/'Data Saham'!Y51</f>
        <v>-1.9230769230769232E-2</v>
      </c>
      <c r="Z52">
        <f>('Data Saham'!Z52-'Data Saham'!Z51)/'Data Saham'!Z51</f>
        <v>1.7241379310344827E-2</v>
      </c>
      <c r="AA52">
        <f>('Data Saham'!AA52-'Data Saham'!AA51)/'Data Saham'!AA51</f>
        <v>3.4482758620689655E-2</v>
      </c>
      <c r="AB52">
        <f>('Data Saham'!AB52-'Data Saham'!AB51)/'Data Saham'!AB51</f>
        <v>-2.9411764705882353E-2</v>
      </c>
      <c r="AC52">
        <f>('Data Saham'!AC52-'Data Saham'!AC51)/'Data Saham'!AC51</f>
        <v>7.2992700729927005E-3</v>
      </c>
      <c r="AD52">
        <f>('Data Saham'!AD52-'Data Saham'!AD51)/'Data Saham'!AD51</f>
        <v>-4.7846889952153108E-3</v>
      </c>
      <c r="AE52">
        <f>('Data Saham'!AE52-'Data Saham'!AE51)/'Data Saham'!AE51</f>
        <v>-0.01</v>
      </c>
      <c r="AF52">
        <f>('Data Saham'!AF52-'Data Saham'!AF51)/'Data Saham'!AF51</f>
        <v>0</v>
      </c>
    </row>
    <row r="53" spans="1:32" x14ac:dyDescent="0.3">
      <c r="A53" s="4" t="s">
        <v>34</v>
      </c>
      <c r="B53">
        <f>('Data Saham'!B53-'Data Saham'!B52)/'Data Saham'!B52</f>
        <v>-3.2157378069363456E-3</v>
      </c>
      <c r="C53">
        <f>('Data Saham'!C53-'Data Saham'!C52)/'Data Saham'!C52</f>
        <v>-5.2910052910052907E-3</v>
      </c>
      <c r="D53">
        <f>('Data Saham'!D53-'Data Saham'!D52)/'Data Saham'!D52</f>
        <v>1.8306636155606407E-2</v>
      </c>
      <c r="E53">
        <f>('Data Saham'!E53-'Data Saham'!E52)/'Data Saham'!E52</f>
        <v>-1.8518518518518517E-2</v>
      </c>
      <c r="F53">
        <f>('Data Saham'!F53-'Data Saham'!F52)/'Data Saham'!F52</f>
        <v>-8.8300220750551876E-3</v>
      </c>
      <c r="G53">
        <f>('Data Saham'!G53-'Data Saham'!G52)/'Data Saham'!G52</f>
        <v>-3.5335689045936395E-3</v>
      </c>
      <c r="H53">
        <f>('Data Saham'!H53-'Data Saham'!H52)/'Data Saham'!H52</f>
        <v>3.1914893617021274E-2</v>
      </c>
      <c r="I53">
        <f>('Data Saham'!I53-'Data Saham'!I52)/'Data Saham'!I52</f>
        <v>-2.0224719101123594E-2</v>
      </c>
      <c r="J53">
        <f>('Data Saham'!J53-'Data Saham'!J52)/'Data Saham'!J52</f>
        <v>0</v>
      </c>
      <c r="K53">
        <f>('Data Saham'!K53-'Data Saham'!K52)/'Data Saham'!K52</f>
        <v>-3.9301310043668124E-2</v>
      </c>
      <c r="L53">
        <f>('Data Saham'!L53-'Data Saham'!L52)/'Data Saham'!L52</f>
        <v>2.2197558268590455E-3</v>
      </c>
      <c r="M53">
        <f>('Data Saham'!M53-'Data Saham'!M52)/'Data Saham'!M52</f>
        <v>2.6402640264026403E-2</v>
      </c>
      <c r="N53">
        <f>('Data Saham'!N53-'Data Saham'!N52)/'Data Saham'!N52</f>
        <v>-9.8039215686274508E-3</v>
      </c>
      <c r="O53">
        <f>('Data Saham'!O53-'Data Saham'!O52)/'Data Saham'!O52</f>
        <v>-2.7397260273972603E-3</v>
      </c>
      <c r="P53">
        <f>('Data Saham'!P53-'Data Saham'!P52)/'Data Saham'!P52</f>
        <v>8.6206896551724137E-3</v>
      </c>
      <c r="Q53">
        <f>('Data Saham'!Q53-'Data Saham'!Q52)/'Data Saham'!Q52</f>
        <v>9.1743119266055051E-3</v>
      </c>
      <c r="R53">
        <f>('Data Saham'!R53-'Data Saham'!R52)/'Data Saham'!R52</f>
        <v>-3.5031847133757961E-2</v>
      </c>
      <c r="S53">
        <f>('Data Saham'!S53-'Data Saham'!S52)/'Data Saham'!S52</f>
        <v>0</v>
      </c>
      <c r="T53">
        <f>('Data Saham'!T53-'Data Saham'!T52)/'Data Saham'!T52</f>
        <v>-4.1791044776119404E-2</v>
      </c>
      <c r="U53">
        <f>('Data Saham'!U53-'Data Saham'!U52)/'Data Saham'!U52</f>
        <v>-1.0563380281690141E-2</v>
      </c>
      <c r="V53">
        <f>('Data Saham'!V53-'Data Saham'!V52)/'Data Saham'!V52</f>
        <v>2.5114155251141551E-2</v>
      </c>
      <c r="W53">
        <f>('Data Saham'!W53-'Data Saham'!W52)/'Data Saham'!W52</f>
        <v>-6.6666666666666666E-2</v>
      </c>
      <c r="X53">
        <f>('Data Saham'!X53-'Data Saham'!X52)/'Data Saham'!X52</f>
        <v>-1.1627906976744186E-2</v>
      </c>
      <c r="Y53">
        <f>('Data Saham'!Y53-'Data Saham'!Y52)/'Data Saham'!Y52</f>
        <v>-4.7058823529411764E-2</v>
      </c>
      <c r="Z53">
        <f>('Data Saham'!Z53-'Data Saham'!Z52)/'Data Saham'!Z52</f>
        <v>-2.5423728813559324E-2</v>
      </c>
      <c r="AA53">
        <f>('Data Saham'!AA53-'Data Saham'!AA52)/'Data Saham'!AA52</f>
        <v>-3.7037037037037035E-2</v>
      </c>
      <c r="AB53">
        <f>('Data Saham'!AB53-'Data Saham'!AB52)/'Data Saham'!AB52</f>
        <v>-3.0303030303030304E-2</v>
      </c>
      <c r="AC53">
        <f>('Data Saham'!AC53-'Data Saham'!AC52)/'Data Saham'!AC52</f>
        <v>-7.246376811594203E-3</v>
      </c>
      <c r="AD53">
        <f>('Data Saham'!AD53-'Data Saham'!AD52)/'Data Saham'!AD52</f>
        <v>-2.8846153846153848E-2</v>
      </c>
      <c r="AE53">
        <f>('Data Saham'!AE53-'Data Saham'!AE52)/'Data Saham'!AE52</f>
        <v>1.0101010101010102E-2</v>
      </c>
      <c r="AF53">
        <f>('Data Saham'!AF53-'Data Saham'!AF52)/'Data Saham'!AF52</f>
        <v>0</v>
      </c>
    </row>
    <row r="54" spans="1:32" x14ac:dyDescent="0.3">
      <c r="A54" s="1">
        <v>45694</v>
      </c>
      <c r="B54">
        <f>('Data Saham'!B54-'Data Saham'!B53)/'Data Saham'!B53</f>
        <v>-1.5433776209548177E-2</v>
      </c>
      <c r="C54">
        <f>('Data Saham'!C54-'Data Saham'!C53)/'Data Saham'!C53</f>
        <v>-3.1914893617021274E-2</v>
      </c>
      <c r="D54">
        <f>('Data Saham'!D54-'Data Saham'!D53)/'Data Saham'!D53</f>
        <v>-5.6179775280898875E-2</v>
      </c>
      <c r="E54">
        <f>('Data Saham'!E54-'Data Saham'!E53)/'Data Saham'!E53</f>
        <v>-4.2452830188679243E-2</v>
      </c>
      <c r="F54">
        <f>('Data Saham'!F54-'Data Saham'!F53)/'Data Saham'!F53</f>
        <v>-2.6726057906458798E-2</v>
      </c>
      <c r="G54">
        <f>('Data Saham'!G54-'Data Saham'!G53)/'Data Saham'!G53</f>
        <v>-1.4184397163120567E-2</v>
      </c>
      <c r="H54">
        <f>('Data Saham'!H54-'Data Saham'!H53)/'Data Saham'!H53</f>
        <v>-1.443298969072165E-2</v>
      </c>
      <c r="I54">
        <f>('Data Saham'!I54-'Data Saham'!I53)/'Data Saham'!I53</f>
        <v>-9.1743119266055051E-3</v>
      </c>
      <c r="J54">
        <f>('Data Saham'!J54-'Data Saham'!J53)/'Data Saham'!J53</f>
        <v>-2.5396825396825397E-2</v>
      </c>
      <c r="K54">
        <f>('Data Saham'!K54-'Data Saham'!K53)/'Data Saham'!K53</f>
        <v>-3.1818181818181815E-2</v>
      </c>
      <c r="L54">
        <f>('Data Saham'!L54-'Data Saham'!L53)/'Data Saham'!L53</f>
        <v>-1.5503875968992248E-2</v>
      </c>
      <c r="M54">
        <f>('Data Saham'!M54-'Data Saham'!M53)/'Data Saham'!M53</f>
        <v>6.7524115755627015E-2</v>
      </c>
      <c r="N54">
        <f>('Data Saham'!N54-'Data Saham'!N53)/'Data Saham'!N53</f>
        <v>4.9504950495049507E-2</v>
      </c>
      <c r="O54">
        <f>('Data Saham'!O54-'Data Saham'!O53)/'Data Saham'!O53</f>
        <v>0</v>
      </c>
      <c r="P54">
        <f>('Data Saham'!P54-'Data Saham'!P53)/'Data Saham'!P53</f>
        <v>-2.564102564102564E-2</v>
      </c>
      <c r="Q54">
        <f>('Data Saham'!Q54-'Data Saham'!Q53)/'Data Saham'!Q53</f>
        <v>-9.0909090909090905E-3</v>
      </c>
      <c r="R54">
        <f>('Data Saham'!R54-'Data Saham'!R53)/'Data Saham'!R53</f>
        <v>2.9702970297029702E-2</v>
      </c>
      <c r="S54">
        <f>('Data Saham'!S54-'Data Saham'!S53)/'Data Saham'!S53</f>
        <v>1.0330578512396695E-2</v>
      </c>
      <c r="T54">
        <f>('Data Saham'!T54-'Data Saham'!T53)/'Data Saham'!T53</f>
        <v>-1.8691588785046728E-2</v>
      </c>
      <c r="U54">
        <f>('Data Saham'!U54-'Data Saham'!U53)/'Data Saham'!U53</f>
        <v>-1.7793594306049824E-2</v>
      </c>
      <c r="V54">
        <f>('Data Saham'!V54-'Data Saham'!V53)/'Data Saham'!V53</f>
        <v>-2.4498886414253896E-2</v>
      </c>
      <c r="W54">
        <f>('Data Saham'!W54-'Data Saham'!W53)/'Data Saham'!W53</f>
        <v>-7.9365079365079361E-3</v>
      </c>
      <c r="X54">
        <f>('Data Saham'!X54-'Data Saham'!X53)/'Data Saham'!X53</f>
        <v>-3.1372549019607843E-2</v>
      </c>
      <c r="Y54">
        <f>('Data Saham'!Y54-'Data Saham'!Y53)/'Data Saham'!Y53</f>
        <v>4.1152263374485597E-2</v>
      </c>
      <c r="Z54">
        <f>('Data Saham'!Z54-'Data Saham'!Z53)/'Data Saham'!Z53</f>
        <v>-4.3478260869565216E-2</v>
      </c>
      <c r="AA54">
        <f>('Data Saham'!AA54-'Data Saham'!AA53)/'Data Saham'!AA53</f>
        <v>-1.1538461538461539E-2</v>
      </c>
      <c r="AB54">
        <f>('Data Saham'!AB54-'Data Saham'!AB53)/'Data Saham'!AB53</f>
        <v>-3.125E-2</v>
      </c>
      <c r="AC54">
        <f>('Data Saham'!AC54-'Data Saham'!AC53)/'Data Saham'!AC53</f>
        <v>-7.2992700729927005E-3</v>
      </c>
      <c r="AD54">
        <f>('Data Saham'!AD54-'Data Saham'!AD53)/'Data Saham'!AD53</f>
        <v>1.4851485148514851E-2</v>
      </c>
      <c r="AE54">
        <f>('Data Saham'!AE54-'Data Saham'!AE53)/'Data Saham'!AE53</f>
        <v>-0.03</v>
      </c>
      <c r="AF54">
        <f>('Data Saham'!AF54-'Data Saham'!AF53)/'Data Saham'!AF53</f>
        <v>-1.015228426395939E-2</v>
      </c>
    </row>
    <row r="55" spans="1:32" x14ac:dyDescent="0.3">
      <c r="A55" s="2">
        <v>45722</v>
      </c>
      <c r="B55">
        <f>('Data Saham'!B55-'Data Saham'!B54)/'Data Saham'!B54</f>
        <v>-2.8662136397799316E-3</v>
      </c>
      <c r="C55">
        <f>('Data Saham'!C55-'Data Saham'!C54)/'Data Saham'!C54</f>
        <v>-5.4945054945054949E-3</v>
      </c>
      <c r="D55">
        <f>('Data Saham'!D55-'Data Saham'!D54)/'Data Saham'!D54</f>
        <v>0</v>
      </c>
      <c r="E55">
        <f>('Data Saham'!E55-'Data Saham'!E54)/'Data Saham'!E54</f>
        <v>-4.9261083743842365E-3</v>
      </c>
      <c r="F55">
        <f>('Data Saham'!F55-'Data Saham'!F54)/'Data Saham'!F54</f>
        <v>0</v>
      </c>
      <c r="G55">
        <f>('Data Saham'!G55-'Data Saham'!G54)/'Data Saham'!G54</f>
        <v>7.1942446043165471E-3</v>
      </c>
      <c r="H55">
        <f>('Data Saham'!H55-'Data Saham'!H54)/'Data Saham'!H54</f>
        <v>-1.6736401673640166E-2</v>
      </c>
      <c r="I55">
        <f>('Data Saham'!I55-'Data Saham'!I54)/'Data Saham'!I54</f>
        <v>-1.6203703703703703E-2</v>
      </c>
      <c r="J55">
        <f>('Data Saham'!J55-'Data Saham'!J54)/'Data Saham'!J54</f>
        <v>1.9543973941368076E-2</v>
      </c>
      <c r="K55">
        <f>('Data Saham'!K55-'Data Saham'!K54)/'Data Saham'!K54</f>
        <v>-1.4084507042253521E-2</v>
      </c>
      <c r="L55">
        <f>('Data Saham'!L55-'Data Saham'!L54)/'Data Saham'!L54</f>
        <v>-1.1248593925759281E-3</v>
      </c>
      <c r="M55">
        <f>('Data Saham'!M55-'Data Saham'!M54)/'Data Saham'!M54</f>
        <v>1.2048192771084338E-2</v>
      </c>
      <c r="N55">
        <f>('Data Saham'!N55-'Data Saham'!N54)/'Data Saham'!N54</f>
        <v>-2.358490566037736E-2</v>
      </c>
      <c r="O55">
        <f>('Data Saham'!O55-'Data Saham'!O54)/'Data Saham'!O54</f>
        <v>1.9230769230769232E-2</v>
      </c>
      <c r="P55">
        <f>('Data Saham'!P55-'Data Saham'!P54)/'Data Saham'!P54</f>
        <v>-3.5087719298245612E-2</v>
      </c>
      <c r="Q55">
        <f>('Data Saham'!Q55-'Data Saham'!Q54)/'Data Saham'!Q54</f>
        <v>-9.1743119266055051E-3</v>
      </c>
      <c r="R55">
        <f>('Data Saham'!R55-'Data Saham'!R54)/'Data Saham'!R54</f>
        <v>-6.41025641025641E-3</v>
      </c>
      <c r="S55">
        <f>('Data Saham'!S55-'Data Saham'!S54)/'Data Saham'!S54</f>
        <v>-2.0449897750511249E-2</v>
      </c>
      <c r="T55">
        <f>('Data Saham'!T55-'Data Saham'!T54)/'Data Saham'!T54</f>
        <v>3.1746031746031746E-3</v>
      </c>
      <c r="U55">
        <f>('Data Saham'!U55-'Data Saham'!U54)/'Data Saham'!U54</f>
        <v>2.5362318840579712E-2</v>
      </c>
      <c r="V55">
        <f>('Data Saham'!V55-'Data Saham'!V54)/'Data Saham'!V54</f>
        <v>-2.2831050228310501E-2</v>
      </c>
      <c r="W55">
        <f>('Data Saham'!W55-'Data Saham'!W54)/'Data Saham'!W54</f>
        <v>3.2000000000000001E-2</v>
      </c>
      <c r="X55">
        <f>('Data Saham'!X55-'Data Saham'!X54)/'Data Saham'!X54</f>
        <v>2.4291497975708502E-2</v>
      </c>
      <c r="Y55">
        <f>('Data Saham'!Y55-'Data Saham'!Y54)/'Data Saham'!Y54</f>
        <v>3.5573122529644272E-2</v>
      </c>
      <c r="Z55">
        <f>('Data Saham'!Z55-'Data Saham'!Z54)/'Data Saham'!Z54</f>
        <v>0</v>
      </c>
      <c r="AA55">
        <f>('Data Saham'!AA55-'Data Saham'!AA54)/'Data Saham'!AA54</f>
        <v>-1.1673151750972763E-2</v>
      </c>
      <c r="AB55">
        <f>('Data Saham'!AB55-'Data Saham'!AB54)/'Data Saham'!AB54</f>
        <v>0</v>
      </c>
      <c r="AC55">
        <f>('Data Saham'!AC55-'Data Saham'!AC54)/'Data Saham'!AC54</f>
        <v>0</v>
      </c>
      <c r="AD55">
        <f>('Data Saham'!AD55-'Data Saham'!AD54)/'Data Saham'!AD54</f>
        <v>-9.7560975609756097E-3</v>
      </c>
      <c r="AE55">
        <f>('Data Saham'!AE55-'Data Saham'!AE54)/'Data Saham'!AE54</f>
        <v>-1.0309278350515464E-2</v>
      </c>
      <c r="AF55">
        <f>('Data Saham'!AF55-'Data Saham'!AF54)/'Data Saham'!AF54</f>
        <v>0</v>
      </c>
    </row>
    <row r="56" spans="1:32" x14ac:dyDescent="0.3">
      <c r="A56" s="1">
        <v>45753</v>
      </c>
      <c r="B56">
        <f>('Data Saham'!B56-'Data Saham'!B55)/'Data Saham'!B55</f>
        <v>3.4379870599958915E-3</v>
      </c>
      <c r="C56">
        <f>('Data Saham'!C56-'Data Saham'!C55)/'Data Saham'!C55</f>
        <v>-8.2872928176795577E-3</v>
      </c>
      <c r="D56">
        <f>('Data Saham'!D56-'Data Saham'!D55)/'Data Saham'!D55</f>
        <v>-2.8571428571428571E-2</v>
      </c>
      <c r="E56">
        <f>('Data Saham'!E56-'Data Saham'!E55)/'Data Saham'!E55</f>
        <v>-4.9504950495049506E-3</v>
      </c>
      <c r="F56">
        <f>('Data Saham'!F56-'Data Saham'!F55)/'Data Saham'!F55</f>
        <v>-1.6018306636155607E-2</v>
      </c>
      <c r="G56">
        <f>('Data Saham'!G56-'Data Saham'!G55)/'Data Saham'!G55</f>
        <v>7.1428571428571426E-3</v>
      </c>
      <c r="H56">
        <f>('Data Saham'!H56-'Data Saham'!H55)/'Data Saham'!H55</f>
        <v>-1.9148936170212766E-2</v>
      </c>
      <c r="I56">
        <f>('Data Saham'!I56-'Data Saham'!I55)/'Data Saham'!I55</f>
        <v>1.8823529411764704E-2</v>
      </c>
      <c r="J56">
        <f>('Data Saham'!J56-'Data Saham'!J55)/'Data Saham'!J55</f>
        <v>5.1118210862619806E-2</v>
      </c>
      <c r="K56">
        <f>('Data Saham'!K56-'Data Saham'!K55)/'Data Saham'!K55</f>
        <v>0</v>
      </c>
      <c r="L56">
        <f>('Data Saham'!L56-'Data Saham'!L55)/'Data Saham'!L55</f>
        <v>4.5045045045045045E-3</v>
      </c>
      <c r="M56">
        <f>('Data Saham'!M56-'Data Saham'!M55)/'Data Saham'!M55</f>
        <v>5.6547619047619048E-2</v>
      </c>
      <c r="N56">
        <f>('Data Saham'!N56-'Data Saham'!N55)/'Data Saham'!N55</f>
        <v>8.2125603864734303E-2</v>
      </c>
      <c r="O56">
        <f>('Data Saham'!O56-'Data Saham'!O55)/'Data Saham'!O55</f>
        <v>-8.0862533692722376E-3</v>
      </c>
      <c r="P56">
        <f>('Data Saham'!P56-'Data Saham'!P55)/'Data Saham'!P55</f>
        <v>9.0909090909090905E-3</v>
      </c>
      <c r="Q56">
        <f>('Data Saham'!Q56-'Data Saham'!Q55)/'Data Saham'!Q55</f>
        <v>1.3888888888888888E-2</v>
      </c>
      <c r="R56">
        <f>('Data Saham'!R56-'Data Saham'!R55)/'Data Saham'!R55</f>
        <v>3.2258064516129031E-2</v>
      </c>
      <c r="S56">
        <f>('Data Saham'!S56-'Data Saham'!S55)/'Data Saham'!S55</f>
        <v>3.1315240083507306E-2</v>
      </c>
      <c r="T56">
        <f>('Data Saham'!T56-'Data Saham'!T55)/'Data Saham'!T55</f>
        <v>-1.8987341772151899E-2</v>
      </c>
      <c r="U56">
        <f>('Data Saham'!U56-'Data Saham'!U55)/'Data Saham'!U55</f>
        <v>-1.4134275618374558E-2</v>
      </c>
      <c r="V56">
        <f>('Data Saham'!V56-'Data Saham'!V55)/'Data Saham'!V55</f>
        <v>0</v>
      </c>
      <c r="W56">
        <f>('Data Saham'!W56-'Data Saham'!W55)/'Data Saham'!W55</f>
        <v>0</v>
      </c>
      <c r="X56">
        <f>('Data Saham'!X56-'Data Saham'!X55)/'Data Saham'!X55</f>
        <v>-2.3715415019762844E-2</v>
      </c>
      <c r="Y56">
        <f>('Data Saham'!Y56-'Data Saham'!Y55)/'Data Saham'!Y55</f>
        <v>-2.6717557251908396E-2</v>
      </c>
      <c r="Z56">
        <f>('Data Saham'!Z56-'Data Saham'!Z55)/'Data Saham'!Z55</f>
        <v>-9.0909090909090905E-3</v>
      </c>
      <c r="AA56">
        <f>('Data Saham'!AA56-'Data Saham'!AA55)/'Data Saham'!AA55</f>
        <v>0</v>
      </c>
      <c r="AB56">
        <f>('Data Saham'!AB56-'Data Saham'!AB55)/'Data Saham'!AB55</f>
        <v>0</v>
      </c>
      <c r="AC56">
        <f>('Data Saham'!AC56-'Data Saham'!AC55)/'Data Saham'!AC55</f>
        <v>2.2058823529411766E-2</v>
      </c>
      <c r="AD56">
        <f>('Data Saham'!AD56-'Data Saham'!AD55)/'Data Saham'!AD55</f>
        <v>9.852216748768473E-3</v>
      </c>
      <c r="AE56">
        <f>('Data Saham'!AE56-'Data Saham'!AE55)/'Data Saham'!AE55</f>
        <v>5.208333333333333E-3</v>
      </c>
      <c r="AF56">
        <f>('Data Saham'!AF56-'Data Saham'!AF55)/'Data Saham'!AF55</f>
        <v>0</v>
      </c>
    </row>
    <row r="57" spans="1:32" x14ac:dyDescent="0.3">
      <c r="A57" s="2">
        <v>45783</v>
      </c>
      <c r="B57">
        <f>('Data Saham'!B57-'Data Saham'!B56)/'Data Saham'!B56</f>
        <v>6.2780801919355544E-3</v>
      </c>
      <c r="C57">
        <f>('Data Saham'!C57-'Data Saham'!C56)/'Data Saham'!C56</f>
        <v>-5.5710306406685237E-3</v>
      </c>
      <c r="D57">
        <f>('Data Saham'!D57-'Data Saham'!D56)/'Data Saham'!D56</f>
        <v>4.9019607843137254E-3</v>
      </c>
      <c r="E57">
        <f>('Data Saham'!E57-'Data Saham'!E56)/'Data Saham'!E56</f>
        <v>9.9502487562189053E-3</v>
      </c>
      <c r="F57">
        <f>('Data Saham'!F57-'Data Saham'!F56)/'Data Saham'!F56</f>
        <v>2.7906976744186046E-2</v>
      </c>
      <c r="G57">
        <f>('Data Saham'!G57-'Data Saham'!G56)/'Data Saham'!G56</f>
        <v>7.0921985815602835E-3</v>
      </c>
      <c r="H57">
        <f>('Data Saham'!H57-'Data Saham'!H56)/'Data Saham'!H56</f>
        <v>0</v>
      </c>
      <c r="I57">
        <f>('Data Saham'!I57-'Data Saham'!I56)/'Data Saham'!I56</f>
        <v>-1.1547344110854504E-2</v>
      </c>
      <c r="J57">
        <f>('Data Saham'!J57-'Data Saham'!J56)/'Data Saham'!J56</f>
        <v>-9.11854103343465E-3</v>
      </c>
      <c r="K57">
        <f>('Data Saham'!K57-'Data Saham'!K56)/'Data Saham'!K56</f>
        <v>9.5238095238095247E-3</v>
      </c>
      <c r="L57">
        <f>('Data Saham'!L57-'Data Saham'!L56)/'Data Saham'!L56</f>
        <v>-4.4843049327354259E-3</v>
      </c>
      <c r="M57">
        <f>('Data Saham'!M57-'Data Saham'!M56)/'Data Saham'!M56</f>
        <v>-2.8169014084507043E-2</v>
      </c>
      <c r="N57">
        <f>('Data Saham'!N57-'Data Saham'!N56)/'Data Saham'!N56</f>
        <v>-3.5714285714285712E-2</v>
      </c>
      <c r="O57">
        <f>('Data Saham'!O57-'Data Saham'!O56)/'Data Saham'!O56</f>
        <v>-2.717391304347826E-3</v>
      </c>
      <c r="P57">
        <f>('Data Saham'!P57-'Data Saham'!P56)/'Data Saham'!P56</f>
        <v>-4.5045045045045043E-2</v>
      </c>
      <c r="Q57">
        <f>('Data Saham'!Q57-'Data Saham'!Q56)/'Data Saham'!Q56</f>
        <v>4.5662100456621002E-3</v>
      </c>
      <c r="R57">
        <f>('Data Saham'!R57-'Data Saham'!R56)/'Data Saham'!R56</f>
        <v>0</v>
      </c>
      <c r="S57">
        <f>('Data Saham'!S57-'Data Saham'!S56)/'Data Saham'!S56</f>
        <v>-1.6194331983805668E-2</v>
      </c>
      <c r="T57">
        <f>('Data Saham'!T57-'Data Saham'!T56)/'Data Saham'!T56</f>
        <v>0</v>
      </c>
      <c r="U57">
        <f>('Data Saham'!U57-'Data Saham'!U56)/'Data Saham'!U56</f>
        <v>-1.7921146953405017E-2</v>
      </c>
      <c r="V57">
        <f>('Data Saham'!V57-'Data Saham'!V56)/'Data Saham'!V56</f>
        <v>1.1682242990654205E-3</v>
      </c>
      <c r="W57">
        <f>('Data Saham'!W57-'Data Saham'!W56)/'Data Saham'!W56</f>
        <v>0.17054263565891473</v>
      </c>
      <c r="X57">
        <f>('Data Saham'!X57-'Data Saham'!X56)/'Data Saham'!X56</f>
        <v>-2.0242914979757085E-2</v>
      </c>
      <c r="Y57">
        <f>('Data Saham'!Y57-'Data Saham'!Y56)/'Data Saham'!Y56</f>
        <v>-3.9215686274509803E-3</v>
      </c>
      <c r="Z57">
        <f>('Data Saham'!Z57-'Data Saham'!Z56)/'Data Saham'!Z56</f>
        <v>-1.834862385321101E-2</v>
      </c>
      <c r="AA57">
        <f>('Data Saham'!AA57-'Data Saham'!AA56)/'Data Saham'!AA56</f>
        <v>-7.874015748031496E-3</v>
      </c>
      <c r="AB57">
        <f>('Data Saham'!AB57-'Data Saham'!AB56)/'Data Saham'!AB56</f>
        <v>-1.6129032258064516E-2</v>
      </c>
      <c r="AC57">
        <f>('Data Saham'!AC57-'Data Saham'!AC56)/'Data Saham'!AC56</f>
        <v>-1.4388489208633094E-2</v>
      </c>
      <c r="AD57">
        <f>('Data Saham'!AD57-'Data Saham'!AD56)/'Data Saham'!AD56</f>
        <v>-9.7560975609756097E-3</v>
      </c>
      <c r="AE57">
        <f>('Data Saham'!AE57-'Data Saham'!AE56)/'Data Saham'!AE56</f>
        <v>-5.1813471502590676E-3</v>
      </c>
      <c r="AF57">
        <f>('Data Saham'!AF57-'Data Saham'!AF56)/'Data Saham'!AF56</f>
        <v>1.0256410256410256E-2</v>
      </c>
    </row>
    <row r="58" spans="1:32" x14ac:dyDescent="0.3">
      <c r="A58" s="1">
        <v>45936</v>
      </c>
      <c r="B58">
        <f>('Data Saham'!B58-'Data Saham'!B57)/'Data Saham'!B57</f>
        <v>1.6494175797295806E-2</v>
      </c>
      <c r="C58">
        <f>('Data Saham'!C58-'Data Saham'!C57)/'Data Saham'!C57</f>
        <v>1.9607843137254902E-2</v>
      </c>
      <c r="D58">
        <f>('Data Saham'!D58-'Data Saham'!D57)/'Data Saham'!D57</f>
        <v>1.2195121951219513E-2</v>
      </c>
      <c r="E58">
        <f>('Data Saham'!E58-'Data Saham'!E57)/'Data Saham'!E57</f>
        <v>3.4482758620689655E-2</v>
      </c>
      <c r="F58">
        <f>('Data Saham'!F58-'Data Saham'!F57)/'Data Saham'!F57</f>
        <v>2.2624434389140271E-2</v>
      </c>
      <c r="G58">
        <f>('Data Saham'!G58-'Data Saham'!G57)/'Data Saham'!G57</f>
        <v>2.464788732394366E-2</v>
      </c>
      <c r="H58">
        <f>('Data Saham'!H58-'Data Saham'!H57)/'Data Saham'!H57</f>
        <v>-2.1691973969631237E-3</v>
      </c>
      <c r="I58">
        <f>('Data Saham'!I58-'Data Saham'!I57)/'Data Saham'!I57</f>
        <v>-4.6728971962616819E-3</v>
      </c>
      <c r="J58">
        <f>('Data Saham'!J58-'Data Saham'!J57)/'Data Saham'!J57</f>
        <v>6.1349693251533744E-3</v>
      </c>
      <c r="K58">
        <f>('Data Saham'!K58-'Data Saham'!K57)/'Data Saham'!K57</f>
        <v>-4.7169811320754715E-3</v>
      </c>
      <c r="L58">
        <f>('Data Saham'!L58-'Data Saham'!L57)/'Data Saham'!L57</f>
        <v>1.1261261261261261E-2</v>
      </c>
      <c r="M58">
        <f>('Data Saham'!M58-'Data Saham'!M57)/'Data Saham'!M57</f>
        <v>-5.5072463768115941E-2</v>
      </c>
      <c r="N58">
        <f>('Data Saham'!N58-'Data Saham'!N57)/'Data Saham'!N57</f>
        <v>-9.2592592592592587E-3</v>
      </c>
      <c r="O58">
        <f>('Data Saham'!O58-'Data Saham'!O57)/'Data Saham'!O57</f>
        <v>2.1798365122615803E-2</v>
      </c>
      <c r="P58">
        <f>('Data Saham'!P58-'Data Saham'!P57)/'Data Saham'!P57</f>
        <v>-9.433962264150943E-3</v>
      </c>
      <c r="Q58">
        <f>('Data Saham'!Q58-'Data Saham'!Q57)/'Data Saham'!Q57</f>
        <v>-9.0909090909090905E-3</v>
      </c>
      <c r="R58">
        <f>('Data Saham'!R58-'Data Saham'!R57)/'Data Saham'!R57</f>
        <v>-1.2500000000000001E-2</v>
      </c>
      <c r="S58">
        <f>('Data Saham'!S58-'Data Saham'!S57)/'Data Saham'!S57</f>
        <v>-6.1728395061728392E-3</v>
      </c>
      <c r="T58">
        <f>('Data Saham'!T58-'Data Saham'!T57)/'Data Saham'!T57</f>
        <v>3.2258064516129031E-2</v>
      </c>
      <c r="U58">
        <f>('Data Saham'!U58-'Data Saham'!U57)/'Data Saham'!U57</f>
        <v>4.7445255474452552E-2</v>
      </c>
      <c r="V58">
        <f>('Data Saham'!V58-'Data Saham'!V57)/'Data Saham'!V57</f>
        <v>2.3337222870478411E-3</v>
      </c>
      <c r="W58">
        <f>('Data Saham'!W58-'Data Saham'!W57)/'Data Saham'!W57</f>
        <v>-3.3112582781456954E-3</v>
      </c>
      <c r="X58">
        <f>('Data Saham'!X58-'Data Saham'!X57)/'Data Saham'!X57</f>
        <v>8.2644628099173556E-3</v>
      </c>
      <c r="Y58">
        <f>('Data Saham'!Y58-'Data Saham'!Y57)/'Data Saham'!Y57</f>
        <v>-7.874015748031496E-3</v>
      </c>
      <c r="Z58">
        <f>('Data Saham'!Z58-'Data Saham'!Z57)/'Data Saham'!Z57</f>
        <v>1.8691588785046728E-2</v>
      </c>
      <c r="AA58">
        <f>('Data Saham'!AA58-'Data Saham'!AA57)/'Data Saham'!AA57</f>
        <v>1.5873015873015872E-2</v>
      </c>
      <c r="AB58">
        <f>('Data Saham'!AB58-'Data Saham'!AB57)/'Data Saham'!AB57</f>
        <v>8.1967213114754092E-2</v>
      </c>
      <c r="AC58">
        <f>('Data Saham'!AC58-'Data Saham'!AC57)/'Data Saham'!AC57</f>
        <v>2.1897810218978103E-2</v>
      </c>
      <c r="AD58">
        <f>('Data Saham'!AD58-'Data Saham'!AD57)/'Data Saham'!AD57</f>
        <v>3.9408866995073892E-2</v>
      </c>
      <c r="AE58">
        <f>('Data Saham'!AE58-'Data Saham'!AE57)/'Data Saham'!AE57</f>
        <v>-5.208333333333333E-3</v>
      </c>
      <c r="AF58">
        <f>('Data Saham'!AF58-'Data Saham'!AF57)/'Data Saham'!AF57</f>
        <v>1.015228426395939E-2</v>
      </c>
    </row>
    <row r="59" spans="1:32" x14ac:dyDescent="0.3">
      <c r="A59" s="2">
        <v>45967</v>
      </c>
      <c r="B59">
        <f>('Data Saham'!B59-'Data Saham'!B58)/'Data Saham'!B58</f>
        <v>-1.1464924108840664E-3</v>
      </c>
      <c r="C59">
        <f>('Data Saham'!C59-'Data Saham'!C58)/'Data Saham'!C58</f>
        <v>-5.4945054945054949E-3</v>
      </c>
      <c r="D59">
        <f>('Data Saham'!D59-'Data Saham'!D58)/'Data Saham'!D58</f>
        <v>-1.9277108433734941E-2</v>
      </c>
      <c r="E59">
        <f>('Data Saham'!E59-'Data Saham'!E58)/'Data Saham'!E58</f>
        <v>-9.5238095238095247E-3</v>
      </c>
      <c r="F59">
        <f>('Data Saham'!F59-'Data Saham'!F58)/'Data Saham'!F58</f>
        <v>4.4247787610619468E-3</v>
      </c>
      <c r="G59">
        <f>('Data Saham'!G59-'Data Saham'!G58)/'Data Saham'!G58</f>
        <v>-3.7800687285223365E-2</v>
      </c>
      <c r="H59">
        <f>('Data Saham'!H59-'Data Saham'!H58)/'Data Saham'!H58</f>
        <v>2.1739130434782609E-3</v>
      </c>
      <c r="I59">
        <f>('Data Saham'!I59-'Data Saham'!I58)/'Data Saham'!I58</f>
        <v>4.6948356807511738E-3</v>
      </c>
      <c r="J59">
        <f>('Data Saham'!J59-'Data Saham'!J58)/'Data Saham'!J58</f>
        <v>3.6585365853658534E-2</v>
      </c>
      <c r="K59">
        <f>('Data Saham'!K59-'Data Saham'!K58)/'Data Saham'!K58</f>
        <v>4.7393364928909956E-3</v>
      </c>
      <c r="L59">
        <f>('Data Saham'!L59-'Data Saham'!L58)/'Data Saham'!L58</f>
        <v>6.6815144766146995E-3</v>
      </c>
      <c r="M59">
        <f>('Data Saham'!M59-'Data Saham'!M58)/'Data Saham'!M58</f>
        <v>6.1349693251533744E-3</v>
      </c>
      <c r="N59">
        <f>('Data Saham'!N59-'Data Saham'!N58)/'Data Saham'!N58</f>
        <v>4.2056074766355138E-2</v>
      </c>
      <c r="O59">
        <f>('Data Saham'!O59-'Data Saham'!O58)/'Data Saham'!O58</f>
        <v>5.3333333333333332E-3</v>
      </c>
      <c r="P59">
        <f>('Data Saham'!P59-'Data Saham'!P58)/'Data Saham'!P58</f>
        <v>4.7619047619047616E-2</v>
      </c>
      <c r="Q59">
        <f>('Data Saham'!Q59-'Data Saham'!Q58)/'Data Saham'!Q58</f>
        <v>1.834862385321101E-2</v>
      </c>
      <c r="R59">
        <f>('Data Saham'!R59-'Data Saham'!R58)/'Data Saham'!R58</f>
        <v>-2.5316455696202531E-2</v>
      </c>
      <c r="S59">
        <f>('Data Saham'!S59-'Data Saham'!S58)/'Data Saham'!S58</f>
        <v>1.8633540372670808E-2</v>
      </c>
      <c r="T59">
        <f>('Data Saham'!T59-'Data Saham'!T58)/'Data Saham'!T58</f>
        <v>1.5625E-2</v>
      </c>
      <c r="U59">
        <f>('Data Saham'!U59-'Data Saham'!U58)/'Data Saham'!U58</f>
        <v>-1.3937282229965157E-2</v>
      </c>
      <c r="V59">
        <f>('Data Saham'!V59-'Data Saham'!V58)/'Data Saham'!V58</f>
        <v>6.9848661233993014E-3</v>
      </c>
      <c r="W59">
        <f>('Data Saham'!W59-'Data Saham'!W58)/'Data Saham'!W58</f>
        <v>-6.6445182724252493E-3</v>
      </c>
      <c r="X59">
        <f>('Data Saham'!X59-'Data Saham'!X58)/'Data Saham'!X58</f>
        <v>2.4590163934426229E-2</v>
      </c>
      <c r="Y59">
        <f>('Data Saham'!Y59-'Data Saham'!Y58)/'Data Saham'!Y58</f>
        <v>-1.5873015873015872E-2</v>
      </c>
      <c r="Z59">
        <f>('Data Saham'!Z59-'Data Saham'!Z58)/'Data Saham'!Z58</f>
        <v>1.834862385321101E-2</v>
      </c>
      <c r="AA59">
        <f>('Data Saham'!AA59-'Data Saham'!AA58)/'Data Saham'!AA58</f>
        <v>-1.5625E-2</v>
      </c>
      <c r="AB59">
        <f>('Data Saham'!AB59-'Data Saham'!AB58)/'Data Saham'!AB58</f>
        <v>3.0303030303030304E-2</v>
      </c>
      <c r="AC59">
        <f>('Data Saham'!AC59-'Data Saham'!AC58)/'Data Saham'!AC58</f>
        <v>1.4285714285714285E-2</v>
      </c>
      <c r="AD59">
        <f>('Data Saham'!AD59-'Data Saham'!AD58)/'Data Saham'!AD58</f>
        <v>-4.7393364928909956E-3</v>
      </c>
      <c r="AE59">
        <f>('Data Saham'!AE59-'Data Saham'!AE58)/'Data Saham'!AE58</f>
        <v>2.6178010471204188E-2</v>
      </c>
      <c r="AF59">
        <f>('Data Saham'!AF59-'Data Saham'!AF58)/'Data Saham'!AF58</f>
        <v>-0.99898994974874378</v>
      </c>
    </row>
    <row r="60" spans="1:32" x14ac:dyDescent="0.3">
      <c r="A60" s="1">
        <v>45997</v>
      </c>
      <c r="B60">
        <f>('Data Saham'!B60-'Data Saham'!B59)/'Data Saham'!B59</f>
        <v>-2.5046867687740942E-3</v>
      </c>
      <c r="C60">
        <f>('Data Saham'!C60-'Data Saham'!C59)/'Data Saham'!C59</f>
        <v>8.2872928176795577E-3</v>
      </c>
      <c r="D60">
        <f>('Data Saham'!D60-'Data Saham'!D59)/'Data Saham'!D59</f>
        <v>0</v>
      </c>
      <c r="E60">
        <f>('Data Saham'!E60-'Data Saham'!E59)/'Data Saham'!E59</f>
        <v>-4.807692307692308E-3</v>
      </c>
      <c r="F60">
        <f>('Data Saham'!F60-'Data Saham'!F59)/'Data Saham'!F59</f>
        <v>0</v>
      </c>
      <c r="G60">
        <f>('Data Saham'!G60-'Data Saham'!G59)/'Data Saham'!G59</f>
        <v>-7.1428571428571426E-3</v>
      </c>
      <c r="H60">
        <f>('Data Saham'!H60-'Data Saham'!H59)/'Data Saham'!H59</f>
        <v>-1.0845986984815618E-2</v>
      </c>
      <c r="I60">
        <f>('Data Saham'!I60-'Data Saham'!I59)/'Data Saham'!I59</f>
        <v>-2.3364485981308409E-3</v>
      </c>
      <c r="J60">
        <f>('Data Saham'!J60-'Data Saham'!J59)/'Data Saham'!J59</f>
        <v>-3.2352941176470591E-2</v>
      </c>
      <c r="K60">
        <f>('Data Saham'!K60-'Data Saham'!K59)/'Data Saham'!K59</f>
        <v>0</v>
      </c>
      <c r="L60">
        <f>('Data Saham'!L60-'Data Saham'!L59)/'Data Saham'!L59</f>
        <v>3.3185840707964601E-3</v>
      </c>
      <c r="M60">
        <f>('Data Saham'!M60-'Data Saham'!M59)/'Data Saham'!M59</f>
        <v>-3.3536585365853661E-2</v>
      </c>
      <c r="N60">
        <f>('Data Saham'!N60-'Data Saham'!N59)/'Data Saham'!N59</f>
        <v>-1.7937219730941704E-2</v>
      </c>
      <c r="O60">
        <f>('Data Saham'!O60-'Data Saham'!O59)/'Data Saham'!O59</f>
        <v>-0.10875331564986737</v>
      </c>
      <c r="P60">
        <f>('Data Saham'!P60-'Data Saham'!P59)/'Data Saham'!P59</f>
        <v>-9.0909090909090905E-3</v>
      </c>
      <c r="Q60">
        <f>('Data Saham'!Q60-'Data Saham'!Q59)/'Data Saham'!Q59</f>
        <v>-1.3513513513513514E-2</v>
      </c>
      <c r="R60">
        <f>('Data Saham'!R60-'Data Saham'!R59)/'Data Saham'!R59</f>
        <v>-3.246753246753247E-3</v>
      </c>
      <c r="S60">
        <f>('Data Saham'!S60-'Data Saham'!S59)/'Data Saham'!S59</f>
        <v>1.016260162601626E-2</v>
      </c>
      <c r="T60">
        <f>('Data Saham'!T60-'Data Saham'!T59)/'Data Saham'!T59</f>
        <v>-1.8461538461538463E-2</v>
      </c>
      <c r="U60">
        <f>('Data Saham'!U60-'Data Saham'!U59)/'Data Saham'!U59</f>
        <v>3.1802120141342753E-2</v>
      </c>
      <c r="V60">
        <f>('Data Saham'!V60-'Data Saham'!V59)/'Data Saham'!V59</f>
        <v>0</v>
      </c>
      <c r="W60">
        <f>('Data Saham'!W60-'Data Saham'!W59)/'Data Saham'!W59</f>
        <v>-6.688963210702341E-3</v>
      </c>
      <c r="X60">
        <f>('Data Saham'!X60-'Data Saham'!X59)/'Data Saham'!X59</f>
        <v>2.8000000000000001E-2</v>
      </c>
      <c r="Y60">
        <f>('Data Saham'!Y60-'Data Saham'!Y59)/'Data Saham'!Y59</f>
        <v>0</v>
      </c>
      <c r="Z60">
        <f>('Data Saham'!Z60-'Data Saham'!Z59)/'Data Saham'!Z59</f>
        <v>-1.8018018018018018E-2</v>
      </c>
      <c r="AA60">
        <f>('Data Saham'!AA60-'Data Saham'!AA59)/'Data Saham'!AA59</f>
        <v>3.968253968253968E-3</v>
      </c>
      <c r="AB60">
        <f>('Data Saham'!AB60-'Data Saham'!AB59)/'Data Saham'!AB59</f>
        <v>-1.4705882352941176E-2</v>
      </c>
      <c r="AC60">
        <f>('Data Saham'!AC60-'Data Saham'!AC59)/'Data Saham'!AC59</f>
        <v>0</v>
      </c>
      <c r="AD60">
        <f>('Data Saham'!AD60-'Data Saham'!AD59)/'Data Saham'!AD59</f>
        <v>4.7619047619047623E-3</v>
      </c>
      <c r="AE60">
        <f>('Data Saham'!AE60-'Data Saham'!AE59)/'Data Saham'!AE59</f>
        <v>5.1020408163265302E-3</v>
      </c>
      <c r="AF60">
        <f>('Data Saham'!AF60-'Data Saham'!AF59)/'Data Saham'!AF59</f>
        <v>969.14925373134338</v>
      </c>
    </row>
    <row r="61" spans="1:32" x14ac:dyDescent="0.3">
      <c r="A61" s="4" t="s">
        <v>35</v>
      </c>
      <c r="B61">
        <f>('Data Saham'!B61-'Data Saham'!B60)/'Data Saham'!B60</f>
        <v>-5.3176058420097098E-3</v>
      </c>
      <c r="C61">
        <f>('Data Saham'!C61-'Data Saham'!C60)/'Data Saham'!C60</f>
        <v>-1.0958904109589041E-2</v>
      </c>
      <c r="D61">
        <f>('Data Saham'!D61-'Data Saham'!D60)/'Data Saham'!D60</f>
        <v>-1.7199017199017199E-2</v>
      </c>
      <c r="E61">
        <f>('Data Saham'!E61-'Data Saham'!E60)/'Data Saham'!E60</f>
        <v>-4.830917874396135E-3</v>
      </c>
      <c r="F61">
        <f>('Data Saham'!F61-'Data Saham'!F60)/'Data Saham'!F60</f>
        <v>0</v>
      </c>
      <c r="G61">
        <f>('Data Saham'!G61-'Data Saham'!G60)/'Data Saham'!G60</f>
        <v>-1.4388489208633094E-2</v>
      </c>
      <c r="H61">
        <f>('Data Saham'!H61-'Data Saham'!H60)/'Data Saham'!H60</f>
        <v>2.1929824561403508E-3</v>
      </c>
      <c r="I61">
        <f>('Data Saham'!I61-'Data Saham'!I60)/'Data Saham'!I60</f>
        <v>-7.0257611241217799E-3</v>
      </c>
      <c r="J61">
        <f>('Data Saham'!J61-'Data Saham'!J60)/'Data Saham'!J60</f>
        <v>1.2158054711246201E-2</v>
      </c>
      <c r="K61">
        <f>('Data Saham'!K61-'Data Saham'!K60)/'Data Saham'!K60</f>
        <v>-5.8962264150943397E-2</v>
      </c>
      <c r="L61">
        <f>('Data Saham'!L61-'Data Saham'!L60)/'Data Saham'!L60</f>
        <v>1.2127894156560088E-2</v>
      </c>
      <c r="M61">
        <f>('Data Saham'!M61-'Data Saham'!M60)/'Data Saham'!M60</f>
        <v>4.1009463722397478E-2</v>
      </c>
      <c r="N61">
        <f>('Data Saham'!N61-'Data Saham'!N60)/'Data Saham'!N60</f>
        <v>1.8264840182648401E-2</v>
      </c>
      <c r="O61">
        <f>('Data Saham'!O61-'Data Saham'!O60)/'Data Saham'!O60</f>
        <v>-5.9523809523809521E-3</v>
      </c>
      <c r="P61">
        <f>('Data Saham'!P61-'Data Saham'!P60)/'Data Saham'!P60</f>
        <v>-1.834862385321101E-2</v>
      </c>
      <c r="Q61">
        <f>('Data Saham'!Q61-'Data Saham'!Q60)/'Data Saham'!Q60</f>
        <v>0</v>
      </c>
      <c r="R61">
        <f>('Data Saham'!R61-'Data Saham'!R60)/'Data Saham'!R60</f>
        <v>-3.2573289902280132E-3</v>
      </c>
      <c r="S61">
        <f>('Data Saham'!S61-'Data Saham'!S60)/'Data Saham'!S60</f>
        <v>-1.4084507042253521E-2</v>
      </c>
      <c r="T61">
        <f>('Data Saham'!T61-'Data Saham'!T60)/'Data Saham'!T60</f>
        <v>-9.4043887147335428E-3</v>
      </c>
      <c r="U61">
        <f>('Data Saham'!U61-'Data Saham'!U60)/'Data Saham'!U60</f>
        <v>-6.8493150684931503E-3</v>
      </c>
      <c r="V61">
        <f>('Data Saham'!V61-'Data Saham'!V60)/'Data Saham'!V60</f>
        <v>1.6184971098265895E-2</v>
      </c>
      <c r="W61">
        <f>('Data Saham'!W61-'Data Saham'!W60)/'Data Saham'!W60</f>
        <v>2.6936026936026935E-2</v>
      </c>
      <c r="X61">
        <f>('Data Saham'!X61-'Data Saham'!X60)/'Data Saham'!X60</f>
        <v>2.3346303501945526E-2</v>
      </c>
      <c r="Y61">
        <f>('Data Saham'!Y61-'Data Saham'!Y60)/'Data Saham'!Y60</f>
        <v>-1.6129032258064516E-2</v>
      </c>
      <c r="Z61">
        <f>('Data Saham'!Z61-'Data Saham'!Z60)/'Data Saham'!Z60</f>
        <v>-2.7522935779816515E-2</v>
      </c>
      <c r="AA61">
        <f>('Data Saham'!AA61-'Data Saham'!AA60)/'Data Saham'!AA60</f>
        <v>-3.952569169960474E-3</v>
      </c>
      <c r="AB61">
        <f>('Data Saham'!AB61-'Data Saham'!AB60)/'Data Saham'!AB60</f>
        <v>-4.4776119402985072E-2</v>
      </c>
      <c r="AC61">
        <f>('Data Saham'!AC61-'Data Saham'!AC60)/'Data Saham'!AC60</f>
        <v>-2.8169014084507043E-2</v>
      </c>
      <c r="AD61">
        <f>('Data Saham'!AD61-'Data Saham'!AD60)/'Data Saham'!AD60</f>
        <v>-2.3696682464454975E-2</v>
      </c>
      <c r="AE61">
        <f>('Data Saham'!AE61-'Data Saham'!AE60)/'Data Saham'!AE60</f>
        <v>-2.030456852791878E-2</v>
      </c>
      <c r="AF61">
        <f>('Data Saham'!AF61-'Data Saham'!AF60)/'Data Saham'!AF60</f>
        <v>1.5384615384615385E-2</v>
      </c>
    </row>
    <row r="62" spans="1:32" x14ac:dyDescent="0.3">
      <c r="A62" s="3" t="s">
        <v>36</v>
      </c>
      <c r="B62">
        <f>('Data Saham'!B62-'Data Saham'!B61)/'Data Saham'!B61</f>
        <v>-6.763828379890798E-3</v>
      </c>
      <c r="C62">
        <f>('Data Saham'!C62-'Data Saham'!C61)/'Data Saham'!C61</f>
        <v>-1.1080332409972299E-2</v>
      </c>
      <c r="D62">
        <f>('Data Saham'!D62-'Data Saham'!D61)/'Data Saham'!D61</f>
        <v>-2.5000000000000001E-3</v>
      </c>
      <c r="E62">
        <f>('Data Saham'!E62-'Data Saham'!E61)/'Data Saham'!E61</f>
        <v>0</v>
      </c>
      <c r="F62">
        <f>('Data Saham'!F62-'Data Saham'!F61)/'Data Saham'!F61</f>
        <v>-3.0837004405286344E-2</v>
      </c>
      <c r="G62">
        <f>('Data Saham'!G62-'Data Saham'!G61)/'Data Saham'!G61</f>
        <v>0</v>
      </c>
      <c r="H62">
        <f>('Data Saham'!H62-'Data Saham'!H61)/'Data Saham'!H61</f>
        <v>8.7527352297592995E-3</v>
      </c>
      <c r="I62">
        <f>('Data Saham'!I62-'Data Saham'!I61)/'Data Saham'!I61</f>
        <v>-2.3584905660377358E-3</v>
      </c>
      <c r="J62">
        <f>('Data Saham'!J62-'Data Saham'!J61)/'Data Saham'!J61</f>
        <v>-1.2012012012012012E-2</v>
      </c>
      <c r="K62">
        <f>('Data Saham'!K62-'Data Saham'!K61)/'Data Saham'!K61</f>
        <v>2.5062656641604009E-3</v>
      </c>
      <c r="L62">
        <f>('Data Saham'!L62-'Data Saham'!L61)/'Data Saham'!L61</f>
        <v>2.8322440087145968E-2</v>
      </c>
      <c r="M62">
        <f>('Data Saham'!M62-'Data Saham'!M61)/'Data Saham'!M61</f>
        <v>-6.0606060606060606E-3</v>
      </c>
      <c r="N62">
        <f>('Data Saham'!N62-'Data Saham'!N61)/'Data Saham'!N61</f>
        <v>-1.3452914798206279E-2</v>
      </c>
      <c r="O62">
        <f>('Data Saham'!O62-'Data Saham'!O61)/'Data Saham'!O61</f>
        <v>8.9820359281437123E-3</v>
      </c>
      <c r="P62">
        <f>('Data Saham'!P62-'Data Saham'!P61)/'Data Saham'!P61</f>
        <v>-9.3457943925233638E-3</v>
      </c>
      <c r="Q62">
        <f>('Data Saham'!Q62-'Data Saham'!Q61)/'Data Saham'!Q61</f>
        <v>1.3698630136986301E-2</v>
      </c>
      <c r="R62">
        <f>('Data Saham'!R62-'Data Saham'!R61)/'Data Saham'!R61</f>
        <v>0</v>
      </c>
      <c r="S62">
        <f>('Data Saham'!S62-'Data Saham'!S61)/'Data Saham'!S61</f>
        <v>-2.0408163265306121E-2</v>
      </c>
      <c r="T62">
        <f>('Data Saham'!T62-'Data Saham'!T61)/'Data Saham'!T61</f>
        <v>-1.8987341772151899E-2</v>
      </c>
      <c r="U62">
        <f>('Data Saham'!U62-'Data Saham'!U61)/'Data Saham'!U61</f>
        <v>-6.8965517241379309E-3</v>
      </c>
      <c r="V62">
        <f>('Data Saham'!V62-'Data Saham'!V61)/'Data Saham'!V61</f>
        <v>5.6882821387940841E-3</v>
      </c>
      <c r="W62">
        <f>('Data Saham'!W62-'Data Saham'!W61)/'Data Saham'!W61</f>
        <v>2.2950819672131147E-2</v>
      </c>
      <c r="X62">
        <f>('Data Saham'!X62-'Data Saham'!X61)/'Data Saham'!X61</f>
        <v>-2.6615969581749048E-2</v>
      </c>
      <c r="Y62">
        <f>('Data Saham'!Y62-'Data Saham'!Y61)/'Data Saham'!Y61</f>
        <v>-1.6393442622950821E-2</v>
      </c>
      <c r="Z62">
        <f>('Data Saham'!Z62-'Data Saham'!Z61)/'Data Saham'!Z61</f>
        <v>-9.433962264150943E-3</v>
      </c>
      <c r="AA62">
        <f>('Data Saham'!AA62-'Data Saham'!AA61)/'Data Saham'!AA61</f>
        <v>-3.968253968253968E-2</v>
      </c>
      <c r="AB62">
        <f>('Data Saham'!AB62-'Data Saham'!AB61)/'Data Saham'!AB61</f>
        <v>0</v>
      </c>
      <c r="AC62">
        <f>('Data Saham'!AC62-'Data Saham'!AC61)/'Data Saham'!AC61</f>
        <v>-2.1739130434782608E-2</v>
      </c>
      <c r="AD62">
        <f>('Data Saham'!AD62-'Data Saham'!AD61)/'Data Saham'!AD61</f>
        <v>-2.4271844660194174E-2</v>
      </c>
      <c r="AE62">
        <f>('Data Saham'!AE62-'Data Saham'!AE61)/'Data Saham'!AE61</f>
        <v>-1.5544041450777202E-2</v>
      </c>
      <c r="AF62">
        <f>('Data Saham'!AF62-'Data Saham'!AF61)/'Data Saham'!AF61</f>
        <v>-3.0303030303030304E-2</v>
      </c>
    </row>
    <row r="63" spans="1:32" x14ac:dyDescent="0.3">
      <c r="A63" s="4" t="s">
        <v>37</v>
      </c>
      <c r="B63">
        <f>('Data Saham'!B63-'Data Saham'!B62)/'Data Saham'!B62</f>
        <v>5.3754149929962558E-3</v>
      </c>
      <c r="C63">
        <f>('Data Saham'!C63-'Data Saham'!C62)/'Data Saham'!C62</f>
        <v>1.680672268907563E-2</v>
      </c>
      <c r="D63">
        <f>('Data Saham'!D63-'Data Saham'!D62)/'Data Saham'!D62</f>
        <v>-7.5187969924812026E-3</v>
      </c>
      <c r="E63">
        <f>('Data Saham'!E63-'Data Saham'!E62)/'Data Saham'!E62</f>
        <v>-9.7087378640776691E-3</v>
      </c>
      <c r="F63">
        <f>('Data Saham'!F63-'Data Saham'!F62)/'Data Saham'!F62</f>
        <v>-9.0909090909090905E-3</v>
      </c>
      <c r="G63">
        <f>('Data Saham'!G63-'Data Saham'!G62)/'Data Saham'!G62</f>
        <v>7.2992700729927005E-3</v>
      </c>
      <c r="H63">
        <f>('Data Saham'!H63-'Data Saham'!H62)/'Data Saham'!H62</f>
        <v>-2.1691973969631237E-3</v>
      </c>
      <c r="I63">
        <f>('Data Saham'!I63-'Data Saham'!I62)/'Data Saham'!I62</f>
        <v>4.7281323877068557E-3</v>
      </c>
      <c r="J63">
        <f>('Data Saham'!J63-'Data Saham'!J62)/'Data Saham'!J62</f>
        <v>-3.0395136778115501E-3</v>
      </c>
      <c r="K63">
        <f>('Data Saham'!K63-'Data Saham'!K62)/'Data Saham'!K62</f>
        <v>0</v>
      </c>
      <c r="L63">
        <f>('Data Saham'!L63-'Data Saham'!L62)/'Data Saham'!L62</f>
        <v>-7.4152542372881358E-3</v>
      </c>
      <c r="M63">
        <f>('Data Saham'!M63-'Data Saham'!M62)/'Data Saham'!M62</f>
        <v>5.7926829268292686E-2</v>
      </c>
      <c r="N63">
        <f>('Data Saham'!N63-'Data Saham'!N62)/'Data Saham'!N62</f>
        <v>2.2727272727272728E-2</v>
      </c>
      <c r="O63">
        <f>('Data Saham'!O63-'Data Saham'!O62)/'Data Saham'!O62</f>
        <v>0</v>
      </c>
      <c r="P63">
        <f>('Data Saham'!P63-'Data Saham'!P62)/'Data Saham'!P62</f>
        <v>9.433962264150943E-3</v>
      </c>
      <c r="Q63">
        <f>('Data Saham'!Q63-'Data Saham'!Q62)/'Data Saham'!Q62</f>
        <v>9.0090090090090089E-3</v>
      </c>
      <c r="R63">
        <f>('Data Saham'!R63-'Data Saham'!R62)/'Data Saham'!R62</f>
        <v>4.2483660130718956E-2</v>
      </c>
      <c r="S63">
        <f>('Data Saham'!S63-'Data Saham'!S62)/'Data Saham'!S62</f>
        <v>1.2500000000000001E-2</v>
      </c>
      <c r="T63">
        <f>('Data Saham'!T63-'Data Saham'!T62)/'Data Saham'!T62</f>
        <v>6.4516129032258064E-3</v>
      </c>
      <c r="U63">
        <f>('Data Saham'!U63-'Data Saham'!U62)/'Data Saham'!U62</f>
        <v>1.0416666666666666E-2</v>
      </c>
      <c r="V63">
        <f>('Data Saham'!V63-'Data Saham'!V62)/'Data Saham'!V62</f>
        <v>-1.1312217194570135E-2</v>
      </c>
      <c r="W63">
        <f>('Data Saham'!W63-'Data Saham'!W62)/'Data Saham'!W62</f>
        <v>-2.2435897435897436E-2</v>
      </c>
      <c r="X63">
        <f>('Data Saham'!X63-'Data Saham'!X62)/'Data Saham'!X62</f>
        <v>1.171875E-2</v>
      </c>
      <c r="Y63">
        <f>('Data Saham'!Y63-'Data Saham'!Y62)/'Data Saham'!Y62</f>
        <v>-3.7499999999999999E-2</v>
      </c>
      <c r="Z63">
        <f>('Data Saham'!Z63-'Data Saham'!Z62)/'Data Saham'!Z62</f>
        <v>2.8571428571428571E-2</v>
      </c>
      <c r="AA63">
        <f>('Data Saham'!AA63-'Data Saham'!AA62)/'Data Saham'!AA62</f>
        <v>1.2396694214876033E-2</v>
      </c>
      <c r="AB63">
        <f>('Data Saham'!AB63-'Data Saham'!AB62)/'Data Saham'!AB62</f>
        <v>0</v>
      </c>
      <c r="AC63">
        <f>('Data Saham'!AC63-'Data Saham'!AC62)/'Data Saham'!AC62</f>
        <v>5.9259259259259262E-2</v>
      </c>
      <c r="AD63">
        <f>('Data Saham'!AD63-'Data Saham'!AD62)/'Data Saham'!AD62</f>
        <v>9.9502487562189053E-3</v>
      </c>
      <c r="AE63">
        <f>('Data Saham'!AE63-'Data Saham'!AE62)/'Data Saham'!AE62</f>
        <v>2.1052631578947368E-2</v>
      </c>
      <c r="AF63">
        <f>('Data Saham'!AF63-'Data Saham'!AF62)/'Data Saham'!AF62</f>
        <v>3.125E-2</v>
      </c>
    </row>
    <row r="64" spans="1:32" x14ac:dyDescent="0.3">
      <c r="A64" s="3" t="s">
        <v>38</v>
      </c>
      <c r="B64">
        <f>('Data Saham'!B64-'Data Saham'!B63)/'Data Saham'!B63</f>
        <v>-6.7161832626453036E-3</v>
      </c>
      <c r="C64">
        <f>('Data Saham'!C64-'Data Saham'!C63)/'Data Saham'!C63</f>
        <v>-1.928374655647383E-2</v>
      </c>
      <c r="D64">
        <f>('Data Saham'!D64-'Data Saham'!D63)/'Data Saham'!D63</f>
        <v>-5.0505050505050509E-3</v>
      </c>
      <c r="E64">
        <f>('Data Saham'!E64-'Data Saham'!E63)/'Data Saham'!E63</f>
        <v>-4.9019607843137254E-3</v>
      </c>
      <c r="F64">
        <f>('Data Saham'!F64-'Data Saham'!F63)/'Data Saham'!F63</f>
        <v>-1.3761467889908258E-2</v>
      </c>
      <c r="G64">
        <f>('Data Saham'!G64-'Data Saham'!G63)/'Data Saham'!G63</f>
        <v>3.6231884057971015E-3</v>
      </c>
      <c r="H64">
        <f>('Data Saham'!H64-'Data Saham'!H63)/'Data Saham'!H63</f>
        <v>-2.1739130434782609E-3</v>
      </c>
      <c r="I64">
        <f>('Data Saham'!I64-'Data Saham'!I63)/'Data Saham'!I63</f>
        <v>2.352941176470588E-3</v>
      </c>
      <c r="J64">
        <f>('Data Saham'!J64-'Data Saham'!J63)/'Data Saham'!J63</f>
        <v>-9.1463414634146336E-3</v>
      </c>
      <c r="K64">
        <f>('Data Saham'!K64-'Data Saham'!K63)/'Data Saham'!K63</f>
        <v>-5.0000000000000001E-3</v>
      </c>
      <c r="L64">
        <f>('Data Saham'!L64-'Data Saham'!L63)/'Data Saham'!L63</f>
        <v>6.4034151547491995E-3</v>
      </c>
      <c r="M64">
        <f>('Data Saham'!M64-'Data Saham'!M63)/'Data Saham'!M63</f>
        <v>2.3054755043227664E-2</v>
      </c>
      <c r="N64">
        <f>('Data Saham'!N64-'Data Saham'!N63)/'Data Saham'!N63</f>
        <v>-4.4444444444444444E-3</v>
      </c>
      <c r="O64">
        <f>('Data Saham'!O64-'Data Saham'!O63)/'Data Saham'!O63</f>
        <v>-8.9020771513353119E-3</v>
      </c>
      <c r="P64">
        <f>('Data Saham'!P64-'Data Saham'!P63)/'Data Saham'!P63</f>
        <v>-4.6728971962616821E-2</v>
      </c>
      <c r="Q64">
        <f>('Data Saham'!Q64-'Data Saham'!Q63)/'Data Saham'!Q63</f>
        <v>-8.9285714285714281E-3</v>
      </c>
      <c r="R64">
        <f>('Data Saham'!R64-'Data Saham'!R63)/'Data Saham'!R63</f>
        <v>-2.8213166144200628E-2</v>
      </c>
      <c r="S64">
        <f>('Data Saham'!S64-'Data Saham'!S63)/'Data Saham'!S63</f>
        <v>-1.4403292181069959E-2</v>
      </c>
      <c r="T64">
        <f>('Data Saham'!T64-'Data Saham'!T63)/'Data Saham'!T63</f>
        <v>-6.41025641025641E-3</v>
      </c>
      <c r="U64">
        <f>('Data Saham'!U64-'Data Saham'!U63)/'Data Saham'!U63</f>
        <v>-1.3745704467353952E-2</v>
      </c>
      <c r="V64">
        <f>('Data Saham'!V64-'Data Saham'!V63)/'Data Saham'!V63</f>
        <v>-2.2883295194508009E-3</v>
      </c>
      <c r="W64">
        <f>('Data Saham'!W64-'Data Saham'!W63)/'Data Saham'!W63</f>
        <v>9.8360655737704927E-3</v>
      </c>
      <c r="X64">
        <f>('Data Saham'!X64-'Data Saham'!X63)/'Data Saham'!X63</f>
        <v>7.7220077220077222E-3</v>
      </c>
      <c r="Y64">
        <f>('Data Saham'!Y64-'Data Saham'!Y63)/'Data Saham'!Y63</f>
        <v>8.658008658008658E-3</v>
      </c>
      <c r="Z64">
        <f>('Data Saham'!Z64-'Data Saham'!Z63)/'Data Saham'!Z63</f>
        <v>0</v>
      </c>
      <c r="AA64">
        <f>('Data Saham'!AA64-'Data Saham'!AA63)/'Data Saham'!AA63</f>
        <v>1.6326530612244899E-2</v>
      </c>
      <c r="AB64">
        <f>('Data Saham'!AB64-'Data Saham'!AB63)/'Data Saham'!AB63</f>
        <v>-1.5625E-2</v>
      </c>
      <c r="AC64">
        <f>('Data Saham'!AC64-'Data Saham'!AC63)/'Data Saham'!AC63</f>
        <v>-2.7972027972027972E-2</v>
      </c>
      <c r="AD64">
        <f>('Data Saham'!AD64-'Data Saham'!AD63)/'Data Saham'!AD63</f>
        <v>-9.852216748768473E-3</v>
      </c>
      <c r="AE64">
        <f>('Data Saham'!AE64-'Data Saham'!AE63)/'Data Saham'!AE63</f>
        <v>0</v>
      </c>
      <c r="AF64">
        <f>('Data Saham'!AF64-'Data Saham'!AF63)/'Data Saham'!AF63</f>
        <v>-2.0202020202020204E-2</v>
      </c>
    </row>
    <row r="65" spans="1:32" x14ac:dyDescent="0.3">
      <c r="A65" s="4" t="s">
        <v>39</v>
      </c>
      <c r="B65">
        <f>('Data Saham'!B65-'Data Saham'!B64)/'Data Saham'!B64</f>
        <v>-1.95771118730294E-2</v>
      </c>
      <c r="C65">
        <f>('Data Saham'!C65-'Data Saham'!C64)/'Data Saham'!C64</f>
        <v>-1.4044943820224719E-2</v>
      </c>
      <c r="D65">
        <f>('Data Saham'!D65-'Data Saham'!D64)/'Data Saham'!D64</f>
        <v>-3.553299492385787E-2</v>
      </c>
      <c r="E65">
        <f>('Data Saham'!E65-'Data Saham'!E64)/'Data Saham'!E64</f>
        <v>-2.0689655172413793E-2</v>
      </c>
      <c r="F65">
        <f>('Data Saham'!F65-'Data Saham'!F64)/'Data Saham'!F64</f>
        <v>-3.9534883720930232E-2</v>
      </c>
      <c r="G65">
        <f>('Data Saham'!G65-'Data Saham'!G64)/'Data Saham'!G64</f>
        <v>-2.8880866425992781E-2</v>
      </c>
      <c r="H65">
        <f>('Data Saham'!H65-'Data Saham'!H64)/'Data Saham'!H64</f>
        <v>-1.3071895424836602E-2</v>
      </c>
      <c r="I65">
        <f>('Data Saham'!I65-'Data Saham'!I64)/'Data Saham'!I64</f>
        <v>-1.8779342723004695E-2</v>
      </c>
      <c r="J65">
        <f>('Data Saham'!J65-'Data Saham'!J64)/'Data Saham'!J64</f>
        <v>-9.2307692307692316E-3</v>
      </c>
      <c r="K65">
        <f>('Data Saham'!K65-'Data Saham'!K64)/'Data Saham'!K64</f>
        <v>-3.2663316582914576E-2</v>
      </c>
      <c r="L65">
        <f>('Data Saham'!L65-'Data Saham'!L64)/'Data Saham'!L64</f>
        <v>-3.3934252386002124E-2</v>
      </c>
      <c r="M65">
        <f>('Data Saham'!M65-'Data Saham'!M64)/'Data Saham'!M64</f>
        <v>-6.1971830985915494E-2</v>
      </c>
      <c r="N65">
        <f>('Data Saham'!N65-'Data Saham'!N64)/'Data Saham'!N64</f>
        <v>-4.4642857142857144E-2</v>
      </c>
      <c r="O65">
        <f>('Data Saham'!O65-'Data Saham'!O64)/'Data Saham'!O64</f>
        <v>-1.4970059880239521E-2</v>
      </c>
      <c r="P65">
        <f>('Data Saham'!P65-'Data Saham'!P64)/'Data Saham'!P64</f>
        <v>-1.9607843137254902E-2</v>
      </c>
      <c r="Q65">
        <f>('Data Saham'!Q65-'Data Saham'!Q64)/'Data Saham'!Q64</f>
        <v>4.5045045045045045E-3</v>
      </c>
      <c r="R65">
        <f>('Data Saham'!R65-'Data Saham'!R64)/'Data Saham'!R64</f>
        <v>-2.2580645161290321E-2</v>
      </c>
      <c r="S65">
        <f>('Data Saham'!S65-'Data Saham'!S64)/'Data Saham'!S64</f>
        <v>-1.6701461377870562E-2</v>
      </c>
      <c r="T65">
        <f>('Data Saham'!T65-'Data Saham'!T64)/'Data Saham'!T64</f>
        <v>-1.6129032258064516E-2</v>
      </c>
      <c r="U65">
        <f>('Data Saham'!U65-'Data Saham'!U64)/'Data Saham'!U64</f>
        <v>-4.878048780487805E-2</v>
      </c>
      <c r="V65">
        <f>('Data Saham'!V65-'Data Saham'!V64)/'Data Saham'!V64</f>
        <v>-1.6055045871559634E-2</v>
      </c>
      <c r="W65">
        <f>('Data Saham'!W65-'Data Saham'!W64)/'Data Saham'!W64</f>
        <v>-3.5714285714285712E-2</v>
      </c>
      <c r="X65">
        <f>('Data Saham'!X65-'Data Saham'!X64)/'Data Saham'!X64</f>
        <v>-2.2988505747126436E-2</v>
      </c>
      <c r="Y65">
        <f>('Data Saham'!Y65-'Data Saham'!Y64)/'Data Saham'!Y64</f>
        <v>-1.7167381974248927E-2</v>
      </c>
      <c r="Z65">
        <f>('Data Saham'!Z65-'Data Saham'!Z64)/'Data Saham'!Z64</f>
        <v>-3.7037037037037035E-2</v>
      </c>
      <c r="AA65">
        <f>('Data Saham'!AA65-'Data Saham'!AA64)/'Data Saham'!AA64</f>
        <v>-4.8192771084337352E-2</v>
      </c>
      <c r="AB65">
        <f>('Data Saham'!AB65-'Data Saham'!AB64)/'Data Saham'!AB64</f>
        <v>-3.1746031746031744E-2</v>
      </c>
      <c r="AC65">
        <f>('Data Saham'!AC65-'Data Saham'!AC64)/'Data Saham'!AC64</f>
        <v>-1.4388489208633094E-2</v>
      </c>
      <c r="AD65">
        <f>('Data Saham'!AD65-'Data Saham'!AD64)/'Data Saham'!AD64</f>
        <v>-3.9800995024875621E-2</v>
      </c>
      <c r="AE65">
        <f>('Data Saham'!AE65-'Data Saham'!AE64)/'Data Saham'!AE64</f>
        <v>-2.0618556701030927E-2</v>
      </c>
      <c r="AF65">
        <f>('Data Saham'!AF65-'Data Saham'!AF64)/'Data Saham'!AF64</f>
        <v>0</v>
      </c>
    </row>
    <row r="66" spans="1:32" x14ac:dyDescent="0.3">
      <c r="A66" s="3" t="s">
        <v>40</v>
      </c>
      <c r="B66">
        <f>('Data Saham'!B66-'Data Saham'!B65)/'Data Saham'!B65</f>
        <v>-8.8252514120402258E-3</v>
      </c>
      <c r="C66">
        <f>('Data Saham'!C66-'Data Saham'!C65)/'Data Saham'!C65</f>
        <v>-8.5470085470085479E-3</v>
      </c>
      <c r="D66">
        <f>('Data Saham'!D66-'Data Saham'!D65)/'Data Saham'!D65</f>
        <v>-2.631578947368421E-3</v>
      </c>
      <c r="E66">
        <f>('Data Saham'!E66-'Data Saham'!E65)/'Data Saham'!E65</f>
        <v>-8.0482897384305842E-3</v>
      </c>
      <c r="F66">
        <f>('Data Saham'!F66-'Data Saham'!F65)/'Data Saham'!F65</f>
        <v>-4.8426150121065378E-3</v>
      </c>
      <c r="G66">
        <f>('Data Saham'!G66-'Data Saham'!G65)/'Data Saham'!G65</f>
        <v>-1.858736059479554E-2</v>
      </c>
      <c r="H66">
        <f>('Data Saham'!H66-'Data Saham'!H65)/'Data Saham'!H65</f>
        <v>-8.8300220750551876E-3</v>
      </c>
      <c r="I66">
        <f>('Data Saham'!I66-'Data Saham'!I65)/'Data Saham'!I65</f>
        <v>-2.3923444976076554E-3</v>
      </c>
      <c r="J66">
        <f>('Data Saham'!J66-'Data Saham'!J65)/'Data Saham'!J65</f>
        <v>0</v>
      </c>
      <c r="K66">
        <f>('Data Saham'!K66-'Data Saham'!K65)/'Data Saham'!K65</f>
        <v>-3.3766233766233764E-2</v>
      </c>
      <c r="L66">
        <f>('Data Saham'!L66-'Data Saham'!L65)/'Data Saham'!L65</f>
        <v>-1.756311745334797E-2</v>
      </c>
      <c r="M66">
        <f>('Data Saham'!M66-'Data Saham'!M65)/'Data Saham'!M65</f>
        <v>-3.903903903903904E-2</v>
      </c>
      <c r="N66">
        <f>('Data Saham'!N66-'Data Saham'!N65)/'Data Saham'!N65</f>
        <v>-5.6074766355140186E-2</v>
      </c>
      <c r="O66">
        <f>('Data Saham'!O66-'Data Saham'!O65)/'Data Saham'!O65</f>
        <v>-3.3434650455927049E-2</v>
      </c>
      <c r="P66">
        <f>('Data Saham'!P66-'Data Saham'!P65)/'Data Saham'!P65</f>
        <v>-2.8000000000000001E-2</v>
      </c>
      <c r="Q66">
        <f>('Data Saham'!Q66-'Data Saham'!Q65)/'Data Saham'!Q65</f>
        <v>4.4843049327354259E-3</v>
      </c>
      <c r="R66">
        <f>('Data Saham'!R66-'Data Saham'!R65)/'Data Saham'!R65</f>
        <v>-9.9009900990099011E-3</v>
      </c>
      <c r="S66">
        <f>('Data Saham'!S66-'Data Saham'!S65)/'Data Saham'!S65</f>
        <v>-1.2738853503184714E-2</v>
      </c>
      <c r="T66">
        <f>('Data Saham'!T66-'Data Saham'!T65)/'Data Saham'!T65</f>
        <v>-1.6393442622950821E-2</v>
      </c>
      <c r="U66">
        <f>('Data Saham'!U66-'Data Saham'!U65)/'Data Saham'!U65</f>
        <v>-1.8315018315018316E-2</v>
      </c>
      <c r="V66">
        <f>('Data Saham'!V66-'Data Saham'!V65)/'Data Saham'!V65</f>
        <v>0</v>
      </c>
      <c r="W66">
        <f>('Data Saham'!W66-'Data Saham'!W65)/'Data Saham'!W65</f>
        <v>1.0101010101010102E-2</v>
      </c>
      <c r="X66">
        <f>('Data Saham'!X66-'Data Saham'!X65)/'Data Saham'!X65</f>
        <v>-4.7058823529411764E-2</v>
      </c>
      <c r="Y66">
        <f>('Data Saham'!Y66-'Data Saham'!Y65)/'Data Saham'!Y65</f>
        <v>-4.3668122270742356E-3</v>
      </c>
      <c r="Z66">
        <f>('Data Saham'!Z66-'Data Saham'!Z65)/'Data Saham'!Z65</f>
        <v>-9.6153846153846159E-3</v>
      </c>
      <c r="AA66">
        <f>('Data Saham'!AA66-'Data Saham'!AA65)/'Data Saham'!AA65</f>
        <v>-1.2658227848101266E-2</v>
      </c>
      <c r="AB66">
        <f>('Data Saham'!AB66-'Data Saham'!AB65)/'Data Saham'!AB65</f>
        <v>-3.2786885245901641E-2</v>
      </c>
      <c r="AC66">
        <f>('Data Saham'!AC66-'Data Saham'!AC65)/'Data Saham'!AC65</f>
        <v>-3.6496350364963501E-2</v>
      </c>
      <c r="AD66">
        <f>('Data Saham'!AD66-'Data Saham'!AD65)/'Data Saham'!AD65</f>
        <v>-1.5544041450777202E-2</v>
      </c>
      <c r="AE66">
        <f>('Data Saham'!AE66-'Data Saham'!AE65)/'Data Saham'!AE65</f>
        <v>-1.0526315789473684E-2</v>
      </c>
      <c r="AF66">
        <f>('Data Saham'!AF66-'Data Saham'!AF65)/'Data Saham'!AF65</f>
        <v>-1.0309278350515464E-2</v>
      </c>
    </row>
    <row r="67" spans="1:32" x14ac:dyDescent="0.3">
      <c r="A67" s="4" t="s">
        <v>41</v>
      </c>
      <c r="B67">
        <f>('Data Saham'!B67-'Data Saham'!B66)/'Data Saham'!B66</f>
        <v>-1.7373326731469175E-2</v>
      </c>
      <c r="C67">
        <f>('Data Saham'!C67-'Data Saham'!C66)/'Data Saham'!C66</f>
        <v>-8.6206896551724137E-3</v>
      </c>
      <c r="D67">
        <f>('Data Saham'!D67-'Data Saham'!D66)/'Data Saham'!D66</f>
        <v>-1.8469656992084433E-2</v>
      </c>
      <c r="E67">
        <f>('Data Saham'!E67-'Data Saham'!E66)/'Data Saham'!E66</f>
        <v>-2.0283975659229209E-3</v>
      </c>
      <c r="F67">
        <f>('Data Saham'!F67-'Data Saham'!F66)/'Data Saham'!F66</f>
        <v>-1.2165450121654502E-2</v>
      </c>
      <c r="G67">
        <f>('Data Saham'!G67-'Data Saham'!G66)/'Data Saham'!G66</f>
        <v>-2.2727272727272728E-2</v>
      </c>
      <c r="H67">
        <f>('Data Saham'!H67-'Data Saham'!H66)/'Data Saham'!H66</f>
        <v>-1.3363028953229399E-2</v>
      </c>
      <c r="I67">
        <f>('Data Saham'!I67-'Data Saham'!I66)/'Data Saham'!I66</f>
        <v>-4.5563549160671464E-2</v>
      </c>
      <c r="J67">
        <f>('Data Saham'!J67-'Data Saham'!J66)/'Data Saham'!J66</f>
        <v>-1.5527950310559006E-2</v>
      </c>
      <c r="K67">
        <f>('Data Saham'!K67-'Data Saham'!K66)/'Data Saham'!K66</f>
        <v>-3.2258064516129031E-2</v>
      </c>
      <c r="L67">
        <f>('Data Saham'!L67-'Data Saham'!L66)/'Data Saham'!L66</f>
        <v>-2.2346368715083797E-3</v>
      </c>
      <c r="M67">
        <f>('Data Saham'!M67-'Data Saham'!M66)/'Data Saham'!M66</f>
        <v>-3.1250000000000002E-3</v>
      </c>
      <c r="N67">
        <f>('Data Saham'!N67-'Data Saham'!N66)/'Data Saham'!N66</f>
        <v>9.9009900990099011E-3</v>
      </c>
      <c r="O67">
        <f>('Data Saham'!O67-'Data Saham'!O66)/'Data Saham'!O66</f>
        <v>1.5723270440251572E-2</v>
      </c>
      <c r="P67">
        <f>('Data Saham'!P67-'Data Saham'!P66)/'Data Saham'!P66</f>
        <v>-1.2345679012345678E-2</v>
      </c>
      <c r="Q67">
        <f>('Data Saham'!Q67-'Data Saham'!Q66)/'Data Saham'!Q66</f>
        <v>4.464285714285714E-3</v>
      </c>
      <c r="R67">
        <f>('Data Saham'!R67-'Data Saham'!R66)/'Data Saham'!R66</f>
        <v>-4.6666666666666669E-2</v>
      </c>
      <c r="S67">
        <f>('Data Saham'!S67-'Data Saham'!S66)/'Data Saham'!S66</f>
        <v>-5.1612903225806452E-2</v>
      </c>
      <c r="T67">
        <f>('Data Saham'!T67-'Data Saham'!T66)/'Data Saham'!T66</f>
        <v>-3.6666666666666667E-2</v>
      </c>
      <c r="U67">
        <f>('Data Saham'!U67-'Data Saham'!U66)/'Data Saham'!U66</f>
        <v>-5.5970149253731345E-2</v>
      </c>
      <c r="V67">
        <f>('Data Saham'!V67-'Data Saham'!V66)/'Data Saham'!V66</f>
        <v>-2.564102564102564E-2</v>
      </c>
      <c r="W67">
        <f>('Data Saham'!W67-'Data Saham'!W66)/'Data Saham'!W66</f>
        <v>0</v>
      </c>
      <c r="X67">
        <f>('Data Saham'!X67-'Data Saham'!X66)/'Data Saham'!X66</f>
        <v>3.7037037037037035E-2</v>
      </c>
      <c r="Y67">
        <f>('Data Saham'!Y67-'Data Saham'!Y66)/'Data Saham'!Y66</f>
        <v>-2.1929824561403508E-2</v>
      </c>
      <c r="Z67">
        <f>('Data Saham'!Z67-'Data Saham'!Z66)/'Data Saham'!Z66</f>
        <v>-3.6893203883495145E-2</v>
      </c>
      <c r="AA67">
        <f>('Data Saham'!AA67-'Data Saham'!AA66)/'Data Saham'!AA66</f>
        <v>-6.4102564102564097E-2</v>
      </c>
      <c r="AB67">
        <f>('Data Saham'!AB67-'Data Saham'!AB66)/'Data Saham'!AB66</f>
        <v>-3.3898305084745763E-2</v>
      </c>
      <c r="AC67">
        <f>('Data Saham'!AC67-'Data Saham'!AC66)/'Data Saham'!AC66</f>
        <v>-3.787878787878788E-2</v>
      </c>
      <c r="AD67">
        <f>('Data Saham'!AD67-'Data Saham'!AD66)/'Data Saham'!AD66</f>
        <v>-3.6842105263157891E-2</v>
      </c>
      <c r="AE67">
        <f>('Data Saham'!AE67-'Data Saham'!AE66)/'Data Saham'!AE66</f>
        <v>-4.7872340425531915E-2</v>
      </c>
      <c r="AF67">
        <f>('Data Saham'!AF67-'Data Saham'!AF66)/'Data Saham'!AF66</f>
        <v>-8.3333333333333329E-2</v>
      </c>
    </row>
    <row r="68" spans="1:32" x14ac:dyDescent="0.3">
      <c r="A68" s="3" t="s">
        <v>42</v>
      </c>
      <c r="B68">
        <f>('Data Saham'!B68-'Data Saham'!B67)/'Data Saham'!B67</f>
        <v>1.208609222735935E-2</v>
      </c>
      <c r="C68">
        <f>('Data Saham'!C68-'Data Saham'!C67)/'Data Saham'!C67</f>
        <v>1.7391304347826087E-2</v>
      </c>
      <c r="D68">
        <f>('Data Saham'!D68-'Data Saham'!D67)/'Data Saham'!D67</f>
        <v>1.6129032258064516E-2</v>
      </c>
      <c r="E68">
        <f>('Data Saham'!E68-'Data Saham'!E67)/'Data Saham'!E67</f>
        <v>2.1341463414634148E-2</v>
      </c>
      <c r="F68">
        <f>('Data Saham'!F68-'Data Saham'!F67)/'Data Saham'!F67</f>
        <v>1.9704433497536946E-2</v>
      </c>
      <c r="G68">
        <f>('Data Saham'!G68-'Data Saham'!G67)/'Data Saham'!G67</f>
        <v>3.875968992248062E-3</v>
      </c>
      <c r="H68">
        <f>('Data Saham'!H68-'Data Saham'!H67)/'Data Saham'!H67</f>
        <v>9.0293453724604959E-3</v>
      </c>
      <c r="I68">
        <f>('Data Saham'!I68-'Data Saham'!I67)/'Data Saham'!I67</f>
        <v>2.7638190954773871E-2</v>
      </c>
      <c r="J68">
        <f>('Data Saham'!J68-'Data Saham'!J67)/'Data Saham'!J67</f>
        <v>0</v>
      </c>
      <c r="K68">
        <f>('Data Saham'!K68-'Data Saham'!K67)/'Data Saham'!K67</f>
        <v>8.3333333333333332E-3</v>
      </c>
      <c r="L68">
        <f>('Data Saham'!L68-'Data Saham'!L67)/'Data Saham'!L67</f>
        <v>-5.5991041433370659E-3</v>
      </c>
      <c r="M68">
        <f>('Data Saham'!M68-'Data Saham'!M67)/'Data Saham'!M67</f>
        <v>-3.1347962382445138E-2</v>
      </c>
      <c r="N68">
        <f>('Data Saham'!N68-'Data Saham'!N67)/'Data Saham'!N67</f>
        <v>-2.2058823529411766E-2</v>
      </c>
      <c r="O68">
        <f>('Data Saham'!O68-'Data Saham'!O67)/'Data Saham'!O67</f>
        <v>-1.8575851393188854E-2</v>
      </c>
      <c r="P68">
        <f>('Data Saham'!P68-'Data Saham'!P67)/'Data Saham'!P67</f>
        <v>1.6666666666666666E-2</v>
      </c>
      <c r="Q68">
        <f>('Data Saham'!Q68-'Data Saham'!Q67)/'Data Saham'!Q67</f>
        <v>-1.3333333333333334E-2</v>
      </c>
      <c r="R68">
        <f>('Data Saham'!R68-'Data Saham'!R67)/'Data Saham'!R67</f>
        <v>4.5454545454545456E-2</v>
      </c>
      <c r="S68">
        <f>('Data Saham'!S68-'Data Saham'!S67)/'Data Saham'!S67</f>
        <v>4.0816326530612242E-2</v>
      </c>
      <c r="T68">
        <f>('Data Saham'!T68-'Data Saham'!T67)/'Data Saham'!T67</f>
        <v>6.920415224913495E-3</v>
      </c>
      <c r="U68">
        <f>('Data Saham'!U68-'Data Saham'!U67)/'Data Saham'!U67</f>
        <v>2.766798418972332E-2</v>
      </c>
      <c r="V68">
        <f>('Data Saham'!V68-'Data Saham'!V67)/'Data Saham'!V67</f>
        <v>1.3157894736842105E-2</v>
      </c>
      <c r="W68">
        <f>('Data Saham'!W68-'Data Saham'!W67)/'Data Saham'!W67</f>
        <v>1.3333333333333334E-2</v>
      </c>
      <c r="X68">
        <f>('Data Saham'!X68-'Data Saham'!X67)/'Data Saham'!X67</f>
        <v>-3.968253968253968E-2</v>
      </c>
      <c r="Y68">
        <f>('Data Saham'!Y68-'Data Saham'!Y67)/'Data Saham'!Y67</f>
        <v>1.3452914798206279E-2</v>
      </c>
      <c r="Z68">
        <f>('Data Saham'!Z68-'Data Saham'!Z67)/'Data Saham'!Z67</f>
        <v>2.8225806451612902E-2</v>
      </c>
      <c r="AA68">
        <f>('Data Saham'!AA68-'Data Saham'!AA67)/'Data Saham'!AA67</f>
        <v>5.4794520547945202E-2</v>
      </c>
      <c r="AB68">
        <f>('Data Saham'!AB68-'Data Saham'!AB67)/'Data Saham'!AB67</f>
        <v>0</v>
      </c>
      <c r="AC68">
        <f>('Data Saham'!AC68-'Data Saham'!AC67)/'Data Saham'!AC67</f>
        <v>1.5748031496062992E-2</v>
      </c>
      <c r="AD68">
        <f>('Data Saham'!AD68-'Data Saham'!AD67)/'Data Saham'!AD67</f>
        <v>3.2786885245901641E-2</v>
      </c>
      <c r="AE68">
        <f>('Data Saham'!AE68-'Data Saham'!AE67)/'Data Saham'!AE67</f>
        <v>5.5865921787709494E-2</v>
      </c>
      <c r="AF68">
        <f>('Data Saham'!AF68-'Data Saham'!AF67)/'Data Saham'!AF67</f>
        <v>7.9545454545454544E-2</v>
      </c>
    </row>
    <row r="69" spans="1:32" x14ac:dyDescent="0.3">
      <c r="A69" s="4" t="s">
        <v>43</v>
      </c>
      <c r="B69">
        <f>('Data Saham'!B69-'Data Saham'!B68)/'Data Saham'!B68</f>
        <v>-5.3907531768757717E-3</v>
      </c>
      <c r="C69">
        <f>('Data Saham'!C69-'Data Saham'!C68)/'Data Saham'!C68</f>
        <v>-1.9943019943019943E-2</v>
      </c>
      <c r="D69">
        <f>('Data Saham'!D69-'Data Saham'!D68)/'Data Saham'!D68</f>
        <v>-5.2910052910052907E-3</v>
      </c>
      <c r="E69">
        <f>('Data Saham'!E69-'Data Saham'!E68)/'Data Saham'!E68</f>
        <v>-2.8855721393034824E-2</v>
      </c>
      <c r="F69">
        <f>('Data Saham'!F69-'Data Saham'!F68)/'Data Saham'!F68</f>
        <v>-7.246376811594203E-3</v>
      </c>
      <c r="G69">
        <f>('Data Saham'!G69-'Data Saham'!G68)/'Data Saham'!G68</f>
        <v>1.1583011583011582E-2</v>
      </c>
      <c r="H69">
        <f>('Data Saham'!H69-'Data Saham'!H68)/'Data Saham'!H68</f>
        <v>0</v>
      </c>
      <c r="I69">
        <f>('Data Saham'!I69-'Data Saham'!I68)/'Data Saham'!I68</f>
        <v>0</v>
      </c>
      <c r="J69">
        <f>('Data Saham'!J69-'Data Saham'!J68)/'Data Saham'!J68</f>
        <v>1.5772870662460567E-2</v>
      </c>
      <c r="K69">
        <f>('Data Saham'!K69-'Data Saham'!K68)/'Data Saham'!K68</f>
        <v>-1.6528925619834711E-2</v>
      </c>
      <c r="L69">
        <f>('Data Saham'!L69-'Data Saham'!L68)/'Data Saham'!L68</f>
        <v>-4.5045045045045045E-3</v>
      </c>
      <c r="M69">
        <f>('Data Saham'!M69-'Data Saham'!M68)/'Data Saham'!M68</f>
        <v>-5.1779935275080909E-2</v>
      </c>
      <c r="N69">
        <f>('Data Saham'!N69-'Data Saham'!N68)/'Data Saham'!N68</f>
        <v>-9.5238095238095233E-2</v>
      </c>
      <c r="O69">
        <f>('Data Saham'!O69-'Data Saham'!O68)/'Data Saham'!O68</f>
        <v>-3.4700315457413249E-2</v>
      </c>
      <c r="P69">
        <f>('Data Saham'!P69-'Data Saham'!P68)/'Data Saham'!P68</f>
        <v>1.2295081967213115E-2</v>
      </c>
      <c r="Q69">
        <f>('Data Saham'!Q69-'Data Saham'!Q68)/'Data Saham'!Q68</f>
        <v>1.3513513513513514E-2</v>
      </c>
      <c r="R69">
        <f>('Data Saham'!R69-'Data Saham'!R68)/'Data Saham'!R68</f>
        <v>3.0100334448160536E-2</v>
      </c>
      <c r="S69">
        <f>('Data Saham'!S69-'Data Saham'!S68)/'Data Saham'!S68</f>
        <v>4.3572984749455342E-3</v>
      </c>
      <c r="T69">
        <f>('Data Saham'!T69-'Data Saham'!T68)/'Data Saham'!T68</f>
        <v>-2.0618556701030927E-2</v>
      </c>
      <c r="U69">
        <f>('Data Saham'!U69-'Data Saham'!U68)/'Data Saham'!U68</f>
        <v>0</v>
      </c>
      <c r="V69">
        <f>('Data Saham'!V69-'Data Saham'!V68)/'Data Saham'!V68</f>
        <v>-3.5419126328217238E-3</v>
      </c>
      <c r="W69">
        <f>('Data Saham'!W69-'Data Saham'!W68)/'Data Saham'!W68</f>
        <v>4.2763157894736843E-2</v>
      </c>
      <c r="X69">
        <f>('Data Saham'!X69-'Data Saham'!X68)/'Data Saham'!X68</f>
        <v>-4.5454545454545456E-2</v>
      </c>
      <c r="Y69">
        <f>('Data Saham'!Y69-'Data Saham'!Y68)/'Data Saham'!Y68</f>
        <v>8.8495575221238937E-3</v>
      </c>
      <c r="Z69">
        <f>('Data Saham'!Z69-'Data Saham'!Z68)/'Data Saham'!Z68</f>
        <v>9.8039215686274508E-3</v>
      </c>
      <c r="AA69">
        <f>('Data Saham'!AA69-'Data Saham'!AA68)/'Data Saham'!AA68</f>
        <v>-3.896103896103896E-2</v>
      </c>
      <c r="AB69">
        <f>('Data Saham'!AB69-'Data Saham'!AB68)/'Data Saham'!AB68</f>
        <v>3.5087719298245612E-2</v>
      </c>
      <c r="AC69">
        <f>('Data Saham'!AC69-'Data Saham'!AC68)/'Data Saham'!AC68</f>
        <v>-2.3255813953488372E-2</v>
      </c>
      <c r="AD69">
        <f>('Data Saham'!AD69-'Data Saham'!AD68)/'Data Saham'!AD68</f>
        <v>-2.6455026455026454E-2</v>
      </c>
      <c r="AE69">
        <f>('Data Saham'!AE69-'Data Saham'!AE68)/'Data Saham'!AE68</f>
        <v>-1.0582010582010581E-2</v>
      </c>
      <c r="AF69">
        <f>('Data Saham'!AF69-'Data Saham'!AF68)/'Data Saham'!AF68</f>
        <v>-2.6315789473684209E-2</v>
      </c>
    </row>
    <row r="70" spans="1:32" x14ac:dyDescent="0.3">
      <c r="A70" s="3" t="s">
        <v>44</v>
      </c>
      <c r="B70">
        <f>('Data Saham'!B70-'Data Saham'!B69)/'Data Saham'!B69</f>
        <v>9.5519119924356508E-3</v>
      </c>
      <c r="C70">
        <f>('Data Saham'!C70-'Data Saham'!C69)/'Data Saham'!C69</f>
        <v>5.8139534883720929E-3</v>
      </c>
      <c r="D70">
        <f>('Data Saham'!D70-'Data Saham'!D69)/'Data Saham'!D69</f>
        <v>1.8617021276595744E-2</v>
      </c>
      <c r="E70">
        <f>('Data Saham'!E70-'Data Saham'!E69)/'Data Saham'!E69</f>
        <v>2.9713114754098359E-2</v>
      </c>
      <c r="F70">
        <f>('Data Saham'!F70-'Data Saham'!F69)/'Data Saham'!F69</f>
        <v>2.4330900243309003E-3</v>
      </c>
      <c r="G70">
        <f>('Data Saham'!G70-'Data Saham'!G69)/'Data Saham'!G69</f>
        <v>3.4351145038167941E-2</v>
      </c>
      <c r="H70">
        <f>('Data Saham'!H70-'Data Saham'!H69)/'Data Saham'!H69</f>
        <v>-4.4742729306487695E-3</v>
      </c>
      <c r="I70">
        <f>('Data Saham'!I70-'Data Saham'!I69)/'Data Saham'!I69</f>
        <v>-7.3349633251833741E-3</v>
      </c>
      <c r="J70">
        <f>('Data Saham'!J70-'Data Saham'!J69)/'Data Saham'!J69</f>
        <v>0</v>
      </c>
      <c r="K70">
        <f>('Data Saham'!K70-'Data Saham'!K69)/'Data Saham'!K69</f>
        <v>2.8011204481792717E-3</v>
      </c>
      <c r="L70">
        <f>('Data Saham'!L70-'Data Saham'!L69)/'Data Saham'!L69</f>
        <v>-3.3936651583710408E-3</v>
      </c>
      <c r="M70">
        <f>('Data Saham'!M70-'Data Saham'!M69)/'Data Saham'!M69</f>
        <v>3.4129692832764505E-3</v>
      </c>
      <c r="N70">
        <f>('Data Saham'!N70-'Data Saham'!N69)/'Data Saham'!N69</f>
        <v>1.3850415512465374E-2</v>
      </c>
      <c r="O70">
        <f>('Data Saham'!O70-'Data Saham'!O69)/'Data Saham'!O69</f>
        <v>1.3071895424836602E-2</v>
      </c>
      <c r="P70">
        <f>('Data Saham'!P70-'Data Saham'!P69)/'Data Saham'!P69</f>
        <v>4.048582995951417E-3</v>
      </c>
      <c r="Q70">
        <f>('Data Saham'!Q70-'Data Saham'!Q69)/'Data Saham'!Q69</f>
        <v>-4.4444444444444444E-3</v>
      </c>
      <c r="R70">
        <f>('Data Saham'!R70-'Data Saham'!R69)/'Data Saham'!R69</f>
        <v>-1.6233766233766232E-2</v>
      </c>
      <c r="S70">
        <f>('Data Saham'!S70-'Data Saham'!S69)/'Data Saham'!S69</f>
        <v>8.6767895878524948E-3</v>
      </c>
      <c r="T70">
        <f>('Data Saham'!T70-'Data Saham'!T69)/'Data Saham'!T69</f>
        <v>4.912280701754386E-2</v>
      </c>
      <c r="U70">
        <f>('Data Saham'!U70-'Data Saham'!U69)/'Data Saham'!U69</f>
        <v>-7.6923076923076927E-3</v>
      </c>
      <c r="V70">
        <f>('Data Saham'!V70-'Data Saham'!V69)/'Data Saham'!V69</f>
        <v>0</v>
      </c>
      <c r="W70">
        <f>('Data Saham'!W70-'Data Saham'!W69)/'Data Saham'!W69</f>
        <v>6.3091482649842269E-3</v>
      </c>
      <c r="X70">
        <f>('Data Saham'!X70-'Data Saham'!X69)/'Data Saham'!X69</f>
        <v>3.0303030303030304E-2</v>
      </c>
      <c r="Y70">
        <f>('Data Saham'!Y70-'Data Saham'!Y69)/'Data Saham'!Y69</f>
        <v>1.7543859649122806E-2</v>
      </c>
      <c r="Z70">
        <f>('Data Saham'!Z70-'Data Saham'!Z69)/'Data Saham'!Z69</f>
        <v>-4.0776699029126215E-2</v>
      </c>
      <c r="AA70">
        <f>('Data Saham'!AA70-'Data Saham'!AA69)/'Data Saham'!AA69</f>
        <v>1.3513513513513514E-2</v>
      </c>
      <c r="AB70">
        <f>('Data Saham'!AB70-'Data Saham'!AB69)/'Data Saham'!AB69</f>
        <v>1.6949152542372881E-2</v>
      </c>
      <c r="AC70">
        <f>('Data Saham'!AC70-'Data Saham'!AC69)/'Data Saham'!AC69</f>
        <v>-1.5873015873015872E-2</v>
      </c>
      <c r="AD70">
        <f>('Data Saham'!AD70-'Data Saham'!AD69)/'Data Saham'!AD69</f>
        <v>5.434782608695652E-3</v>
      </c>
      <c r="AE70">
        <f>('Data Saham'!AE70-'Data Saham'!AE69)/'Data Saham'!AE69</f>
        <v>-5.3475935828877002E-3</v>
      </c>
      <c r="AF70">
        <f>('Data Saham'!AF70-'Data Saham'!AF69)/'Data Saham'!AF69</f>
        <v>3.2432432432432434E-2</v>
      </c>
    </row>
    <row r="71" spans="1:32" x14ac:dyDescent="0.3">
      <c r="A71" s="4" t="s">
        <v>45</v>
      </c>
      <c r="B71">
        <f>('Data Saham'!B71-'Data Saham'!B70)/'Data Saham'!B70</f>
        <v>4.3900600226173129E-3</v>
      </c>
      <c r="C71">
        <f>('Data Saham'!C71-'Data Saham'!C70)/'Data Saham'!C70</f>
        <v>2.8901734104046241E-3</v>
      </c>
      <c r="D71">
        <f>('Data Saham'!D71-'Data Saham'!D70)/'Data Saham'!D70</f>
        <v>-2.3498694516971279E-2</v>
      </c>
      <c r="E71">
        <f>('Data Saham'!E71-'Data Saham'!E70)/'Data Saham'!E70</f>
        <v>-2.8855721393034824E-2</v>
      </c>
      <c r="F71">
        <f>('Data Saham'!F71-'Data Saham'!F70)/'Data Saham'!F70</f>
        <v>0</v>
      </c>
      <c r="G71">
        <f>('Data Saham'!G71-'Data Saham'!G70)/'Data Saham'!G70</f>
        <v>2.5830258302583026E-2</v>
      </c>
      <c r="H71">
        <f>('Data Saham'!H71-'Data Saham'!H70)/'Data Saham'!H70</f>
        <v>1.1235955056179775E-2</v>
      </c>
      <c r="I71">
        <f>('Data Saham'!I71-'Data Saham'!I70)/'Data Saham'!I70</f>
        <v>3.4482758620689655E-2</v>
      </c>
      <c r="J71">
        <f>('Data Saham'!J71-'Data Saham'!J70)/'Data Saham'!J70</f>
        <v>9.316770186335404E-3</v>
      </c>
      <c r="K71">
        <f>('Data Saham'!K71-'Data Saham'!K70)/'Data Saham'!K70</f>
        <v>2.23463687150838E-2</v>
      </c>
      <c r="L71">
        <f>('Data Saham'!L71-'Data Saham'!L70)/'Data Saham'!L70</f>
        <v>-1.1350737797956867E-3</v>
      </c>
      <c r="M71">
        <f>('Data Saham'!M71-'Data Saham'!M70)/'Data Saham'!M70</f>
        <v>3.4013605442176874E-2</v>
      </c>
      <c r="N71">
        <f>('Data Saham'!N71-'Data Saham'!N70)/'Data Saham'!N70</f>
        <v>9.2896174863387984E-2</v>
      </c>
      <c r="O71">
        <f>('Data Saham'!O71-'Data Saham'!O70)/'Data Saham'!O70</f>
        <v>4.1935483870967745E-2</v>
      </c>
      <c r="P71">
        <f>('Data Saham'!P71-'Data Saham'!P70)/'Data Saham'!P70</f>
        <v>-4.0322580645161289E-3</v>
      </c>
      <c r="Q71">
        <f>('Data Saham'!Q71-'Data Saham'!Q70)/'Data Saham'!Q70</f>
        <v>4.464285714285714E-3</v>
      </c>
      <c r="R71">
        <f>('Data Saham'!R71-'Data Saham'!R70)/'Data Saham'!R70</f>
        <v>6.6006600660066007E-3</v>
      </c>
      <c r="S71">
        <f>('Data Saham'!S71-'Data Saham'!S70)/'Data Saham'!S70</f>
        <v>1.0752688172043012E-2</v>
      </c>
      <c r="T71">
        <f>('Data Saham'!T71-'Data Saham'!T70)/'Data Saham'!T70</f>
        <v>1.3377926421404682E-2</v>
      </c>
      <c r="U71">
        <f>('Data Saham'!U71-'Data Saham'!U70)/'Data Saham'!U70</f>
        <v>4.2635658914728682E-2</v>
      </c>
      <c r="V71">
        <f>('Data Saham'!V71-'Data Saham'!V70)/'Data Saham'!V70</f>
        <v>1.6587677725118485E-2</v>
      </c>
      <c r="W71">
        <f>('Data Saham'!W71-'Data Saham'!W70)/'Data Saham'!W70</f>
        <v>4.0752351097178681E-2</v>
      </c>
      <c r="X71">
        <f>('Data Saham'!X71-'Data Saham'!X70)/'Data Saham'!X70</f>
        <v>-2.5210084033613446E-2</v>
      </c>
      <c r="Y71">
        <f>('Data Saham'!Y71-'Data Saham'!Y70)/'Data Saham'!Y70</f>
        <v>3.017241379310345E-2</v>
      </c>
      <c r="Z71">
        <f>('Data Saham'!Z71-'Data Saham'!Z70)/'Data Saham'!Z70</f>
        <v>4.048582995951417E-3</v>
      </c>
      <c r="AA71">
        <f>('Data Saham'!AA71-'Data Saham'!AA70)/'Data Saham'!AA70</f>
        <v>4.8888888888888891E-2</v>
      </c>
      <c r="AB71">
        <f>('Data Saham'!AB71-'Data Saham'!AB70)/'Data Saham'!AB70</f>
        <v>-3.3333333333333333E-2</v>
      </c>
      <c r="AC71">
        <f>('Data Saham'!AC71-'Data Saham'!AC70)/'Data Saham'!AC70</f>
        <v>8.0645161290322578E-3</v>
      </c>
      <c r="AD71">
        <f>('Data Saham'!AD71-'Data Saham'!AD70)/'Data Saham'!AD70</f>
        <v>2.7027027027027029E-2</v>
      </c>
      <c r="AE71">
        <f>('Data Saham'!AE71-'Data Saham'!AE70)/'Data Saham'!AE70</f>
        <v>5.3763440860215058E-3</v>
      </c>
      <c r="AF71">
        <f>('Data Saham'!AF71-'Data Saham'!AF70)/'Data Saham'!AF70</f>
        <v>0</v>
      </c>
    </row>
    <row r="72" spans="1:32" x14ac:dyDescent="0.3">
      <c r="A72" s="1">
        <v>45664</v>
      </c>
      <c r="B72">
        <f>('Data Saham'!B72-'Data Saham'!B71)/'Data Saham'!B71</f>
        <v>-1.7783731350178729E-3</v>
      </c>
      <c r="C72">
        <f>('Data Saham'!C72-'Data Saham'!C71)/'Data Saham'!C71</f>
        <v>2.881844380403458E-3</v>
      </c>
      <c r="D72">
        <f>('Data Saham'!D72-'Data Saham'!D71)/'Data Saham'!D71</f>
        <v>-1.06951871657754E-2</v>
      </c>
      <c r="E72">
        <f>('Data Saham'!E72-'Data Saham'!E71)/'Data Saham'!E71</f>
        <v>-2.663934426229508E-2</v>
      </c>
      <c r="F72">
        <f>('Data Saham'!F72-'Data Saham'!F71)/'Data Saham'!F71</f>
        <v>-2.6699029126213591E-2</v>
      </c>
      <c r="G72">
        <f>('Data Saham'!G72-'Data Saham'!G71)/'Data Saham'!G71</f>
        <v>1.0791366906474821E-2</v>
      </c>
      <c r="H72">
        <f>('Data Saham'!H72-'Data Saham'!H71)/'Data Saham'!H71</f>
        <v>-1.1111111111111112E-2</v>
      </c>
      <c r="I72">
        <f>('Data Saham'!I72-'Data Saham'!I71)/'Data Saham'!I71</f>
        <v>1.1904761904761904E-2</v>
      </c>
      <c r="J72">
        <f>('Data Saham'!J72-'Data Saham'!J71)/'Data Saham'!J71</f>
        <v>9.2307692307692316E-3</v>
      </c>
      <c r="K72">
        <f>('Data Saham'!K72-'Data Saham'!K71)/'Data Saham'!K71</f>
        <v>0</v>
      </c>
      <c r="L72">
        <f>('Data Saham'!L72-'Data Saham'!L71)/'Data Saham'!L71</f>
        <v>3.4090909090909089E-3</v>
      </c>
      <c r="M72">
        <f>('Data Saham'!M72-'Data Saham'!M71)/'Data Saham'!M71</f>
        <v>9.8684210526315784E-3</v>
      </c>
      <c r="N72">
        <f>('Data Saham'!N72-'Data Saham'!N71)/'Data Saham'!N71</f>
        <v>1.4999999999999999E-2</v>
      </c>
      <c r="O72">
        <f>('Data Saham'!O72-'Data Saham'!O71)/'Data Saham'!O71</f>
        <v>-1.8575851393188854E-2</v>
      </c>
      <c r="P72">
        <f>('Data Saham'!P72-'Data Saham'!P71)/'Data Saham'!P71</f>
        <v>0</v>
      </c>
      <c r="Q72">
        <f>('Data Saham'!Q72-'Data Saham'!Q71)/'Data Saham'!Q71</f>
        <v>2.6666666666666668E-2</v>
      </c>
      <c r="R72">
        <f>('Data Saham'!R72-'Data Saham'!R71)/'Data Saham'!R71</f>
        <v>-3.2786885245901639E-3</v>
      </c>
      <c r="S72">
        <f>('Data Saham'!S72-'Data Saham'!S71)/'Data Saham'!S71</f>
        <v>-8.5106382978723406E-3</v>
      </c>
      <c r="T72">
        <f>('Data Saham'!T72-'Data Saham'!T71)/'Data Saham'!T71</f>
        <v>-5.2805280528052806E-2</v>
      </c>
      <c r="U72">
        <f>('Data Saham'!U72-'Data Saham'!U71)/'Data Saham'!U71</f>
        <v>-1.4869888475836431E-2</v>
      </c>
      <c r="V72">
        <f>('Data Saham'!V72-'Data Saham'!V71)/'Data Saham'!V71</f>
        <v>1.1655011655011655E-3</v>
      </c>
      <c r="W72">
        <f>('Data Saham'!W72-'Data Saham'!W71)/'Data Saham'!W71</f>
        <v>-3.0120481927710845E-3</v>
      </c>
      <c r="X72">
        <f>('Data Saham'!X72-'Data Saham'!X71)/'Data Saham'!X71</f>
        <v>8.6206896551724137E-3</v>
      </c>
      <c r="Y72">
        <f>('Data Saham'!Y72-'Data Saham'!Y71)/'Data Saham'!Y71</f>
        <v>-4.1841004184100415E-3</v>
      </c>
      <c r="Z72">
        <f>('Data Saham'!Z72-'Data Saham'!Z71)/'Data Saham'!Z71</f>
        <v>-4.0322580645161289E-3</v>
      </c>
      <c r="AA72">
        <f>('Data Saham'!AA72-'Data Saham'!AA71)/'Data Saham'!AA71</f>
        <v>3.3898305084745763E-2</v>
      </c>
      <c r="AB72">
        <f>('Data Saham'!AB72-'Data Saham'!AB71)/'Data Saham'!AB71</f>
        <v>1.7241379310344827E-2</v>
      </c>
      <c r="AC72">
        <f>('Data Saham'!AC72-'Data Saham'!AC71)/'Data Saham'!AC71</f>
        <v>0</v>
      </c>
      <c r="AD72">
        <f>('Data Saham'!AD72-'Data Saham'!AD71)/'Data Saham'!AD71</f>
        <v>-1.0526315789473684E-2</v>
      </c>
      <c r="AE72">
        <f>('Data Saham'!AE72-'Data Saham'!AE71)/'Data Saham'!AE71</f>
        <v>-5.3475935828877002E-3</v>
      </c>
      <c r="AF72">
        <f>('Data Saham'!AF72-'Data Saham'!AF71)/'Data Saham'!AF71</f>
        <v>1.0471204188481676E-2</v>
      </c>
    </row>
    <row r="73" spans="1:32" x14ac:dyDescent="0.3">
      <c r="A73" s="2">
        <v>45695</v>
      </c>
      <c r="B73">
        <f>('Data Saham'!B73-'Data Saham'!B72)/'Data Saham'!B72</f>
        <v>-4.9324980912056164E-3</v>
      </c>
      <c r="C73">
        <f>('Data Saham'!C73-'Data Saham'!C72)/'Data Saham'!C72</f>
        <v>-2.8735632183908046E-3</v>
      </c>
      <c r="D73">
        <f>('Data Saham'!D73-'Data Saham'!D72)/'Data Saham'!D72</f>
        <v>-5.4054054054054057E-3</v>
      </c>
      <c r="E73">
        <f>('Data Saham'!E73-'Data Saham'!E72)/'Data Saham'!E72</f>
        <v>4.2105263157894736E-3</v>
      </c>
      <c r="F73">
        <f>('Data Saham'!F73-'Data Saham'!F72)/'Data Saham'!F72</f>
        <v>2.4937655860349127E-3</v>
      </c>
      <c r="G73">
        <f>('Data Saham'!G73-'Data Saham'!G72)/'Data Saham'!G72</f>
        <v>-1.0676156583629894E-2</v>
      </c>
      <c r="H73">
        <f>('Data Saham'!H73-'Data Saham'!H72)/'Data Saham'!H72</f>
        <v>2.0224719101123594E-2</v>
      </c>
      <c r="I73">
        <f>('Data Saham'!I73-'Data Saham'!I72)/'Data Saham'!I72</f>
        <v>-1.1764705882352941E-2</v>
      </c>
      <c r="J73">
        <f>('Data Saham'!J73-'Data Saham'!J72)/'Data Saham'!J72</f>
        <v>-2.7439024390243903E-2</v>
      </c>
      <c r="K73">
        <f>('Data Saham'!K73-'Data Saham'!K72)/'Data Saham'!K72</f>
        <v>-3.0054644808743168E-2</v>
      </c>
      <c r="L73">
        <f>('Data Saham'!L73-'Data Saham'!L72)/'Data Saham'!L72</f>
        <v>9.0600226500566258E-3</v>
      </c>
      <c r="M73">
        <f>('Data Saham'!M73-'Data Saham'!M72)/'Data Saham'!M72</f>
        <v>-2.6058631921824105E-2</v>
      </c>
      <c r="N73">
        <f>('Data Saham'!N73-'Data Saham'!N72)/'Data Saham'!N72</f>
        <v>-1.7241379310344827E-2</v>
      </c>
      <c r="O73">
        <f>('Data Saham'!O73-'Data Saham'!O72)/'Data Saham'!O72</f>
        <v>-3.1545741324921135E-3</v>
      </c>
      <c r="P73">
        <f>('Data Saham'!P73-'Data Saham'!P72)/'Data Saham'!P72</f>
        <v>0.11336032388663968</v>
      </c>
      <c r="Q73">
        <f>('Data Saham'!Q73-'Data Saham'!Q72)/'Data Saham'!Q72</f>
        <v>-1.2987012987012988E-2</v>
      </c>
      <c r="R73">
        <f>('Data Saham'!R73-'Data Saham'!R72)/'Data Saham'!R72</f>
        <v>-6.5789473684210523E-3</v>
      </c>
      <c r="S73">
        <f>('Data Saham'!S73-'Data Saham'!S72)/'Data Saham'!S72</f>
        <v>-2.1459227467811159E-3</v>
      </c>
      <c r="T73">
        <f>('Data Saham'!T73-'Data Saham'!T72)/'Data Saham'!T72</f>
        <v>1.7421602787456445E-2</v>
      </c>
      <c r="U73">
        <f>('Data Saham'!U73-'Data Saham'!U72)/'Data Saham'!U72</f>
        <v>-1.1320754716981131E-2</v>
      </c>
      <c r="V73">
        <f>('Data Saham'!V73-'Data Saham'!V72)/'Data Saham'!V72</f>
        <v>-8.1490104772991845E-3</v>
      </c>
      <c r="W73">
        <f>('Data Saham'!W73-'Data Saham'!W72)/'Data Saham'!W72</f>
        <v>-4.5317220543806644E-2</v>
      </c>
      <c r="X73">
        <f>('Data Saham'!X73-'Data Saham'!X72)/'Data Saham'!X72</f>
        <v>-4.2735042735042739E-3</v>
      </c>
      <c r="Y73">
        <f>('Data Saham'!Y73-'Data Saham'!Y72)/'Data Saham'!Y72</f>
        <v>1.2605042016806723E-2</v>
      </c>
      <c r="Z73">
        <f>('Data Saham'!Z73-'Data Saham'!Z72)/'Data Saham'!Z72</f>
        <v>-1.2145748987854251E-2</v>
      </c>
      <c r="AA73">
        <f>('Data Saham'!AA73-'Data Saham'!AA72)/'Data Saham'!AA72</f>
        <v>2.4590163934426229E-2</v>
      </c>
      <c r="AB73">
        <f>('Data Saham'!AB73-'Data Saham'!AB72)/'Data Saham'!AB72</f>
        <v>-3.3898305084745763E-2</v>
      </c>
      <c r="AC73">
        <f>('Data Saham'!AC73-'Data Saham'!AC72)/'Data Saham'!AC72</f>
        <v>-8.0000000000000002E-3</v>
      </c>
      <c r="AD73">
        <f>('Data Saham'!AD73-'Data Saham'!AD72)/'Data Saham'!AD72</f>
        <v>-1.5957446808510637E-2</v>
      </c>
      <c r="AE73">
        <f>('Data Saham'!AE73-'Data Saham'!AE72)/'Data Saham'!AE72</f>
        <v>0</v>
      </c>
      <c r="AF73">
        <f>('Data Saham'!AF73-'Data Saham'!AF72)/'Data Saham'!AF72</f>
        <v>-1.0362694300518135E-2</v>
      </c>
    </row>
    <row r="74" spans="1:32" x14ac:dyDescent="0.3">
      <c r="A74" s="1">
        <v>45723</v>
      </c>
      <c r="B74">
        <f>('Data Saham'!B74-'Data Saham'!B73)/'Data Saham'!B73</f>
        <v>-4.6503178928244406E-4</v>
      </c>
      <c r="C74">
        <f>('Data Saham'!C74-'Data Saham'!C73)/'Data Saham'!C73</f>
        <v>-8.6455331412103754E-3</v>
      </c>
      <c r="D74">
        <f>('Data Saham'!D74-'Data Saham'!D73)/'Data Saham'!D73</f>
        <v>0</v>
      </c>
      <c r="E74">
        <f>('Data Saham'!E74-'Data Saham'!E73)/'Data Saham'!E73</f>
        <v>-6.2893081761006293E-3</v>
      </c>
      <c r="F74">
        <f>('Data Saham'!F74-'Data Saham'!F73)/'Data Saham'!F73</f>
        <v>-1.2437810945273632E-2</v>
      </c>
      <c r="G74">
        <f>('Data Saham'!G74-'Data Saham'!G73)/'Data Saham'!G73</f>
        <v>-2.5179856115107913E-2</v>
      </c>
      <c r="H74">
        <f>('Data Saham'!H74-'Data Saham'!H73)/'Data Saham'!H73</f>
        <v>6.6079295154185024E-3</v>
      </c>
      <c r="I74">
        <f>('Data Saham'!I74-'Data Saham'!I73)/'Data Saham'!I73</f>
        <v>2.3809523809523808E-2</v>
      </c>
      <c r="J74">
        <f>('Data Saham'!J74-'Data Saham'!J73)/'Data Saham'!J73</f>
        <v>1.5673981191222569E-2</v>
      </c>
      <c r="K74">
        <f>('Data Saham'!K74-'Data Saham'!K73)/'Data Saham'!K73</f>
        <v>-8.4507042253521118E-3</v>
      </c>
      <c r="L74">
        <f>('Data Saham'!L74-'Data Saham'!L73)/'Data Saham'!L73</f>
        <v>-8.9786756453423128E-3</v>
      </c>
      <c r="M74">
        <f>('Data Saham'!M74-'Data Saham'!M73)/'Data Saham'!M73</f>
        <v>4.3478260869565216E-2</v>
      </c>
      <c r="N74">
        <f>('Data Saham'!N74-'Data Saham'!N73)/'Data Saham'!N73</f>
        <v>4.7619047619047616E-2</v>
      </c>
      <c r="O74">
        <f>('Data Saham'!O74-'Data Saham'!O73)/'Data Saham'!O73</f>
        <v>9.4936708860759497E-3</v>
      </c>
      <c r="P74">
        <f>('Data Saham'!P74-'Data Saham'!P73)/'Data Saham'!P73</f>
        <v>-2.7272727272727271E-2</v>
      </c>
      <c r="Q74">
        <f>('Data Saham'!Q74-'Data Saham'!Q73)/'Data Saham'!Q73</f>
        <v>8.771929824561403E-3</v>
      </c>
      <c r="R74">
        <f>('Data Saham'!R74-'Data Saham'!R73)/'Data Saham'!R73</f>
        <v>3.3112582781456956E-2</v>
      </c>
      <c r="S74">
        <f>('Data Saham'!S74-'Data Saham'!S73)/'Data Saham'!S73</f>
        <v>2.3655913978494623E-2</v>
      </c>
      <c r="T74">
        <f>('Data Saham'!T74-'Data Saham'!T73)/'Data Saham'!T73</f>
        <v>2.7397260273972601E-2</v>
      </c>
      <c r="U74">
        <f>('Data Saham'!U74-'Data Saham'!U73)/'Data Saham'!U73</f>
        <v>2.2900763358778626E-2</v>
      </c>
      <c r="V74">
        <f>('Data Saham'!V74-'Data Saham'!V73)/'Data Saham'!V73</f>
        <v>9.3896713615023476E-3</v>
      </c>
      <c r="W74">
        <f>('Data Saham'!W74-'Data Saham'!W73)/'Data Saham'!W73</f>
        <v>-2.5316455696202531E-2</v>
      </c>
      <c r="X74">
        <f>('Data Saham'!X74-'Data Saham'!X73)/'Data Saham'!X73</f>
        <v>1.2875536480686695E-2</v>
      </c>
      <c r="Y74">
        <f>('Data Saham'!Y74-'Data Saham'!Y73)/'Data Saham'!Y73</f>
        <v>-1.2448132780082987E-2</v>
      </c>
      <c r="Z74">
        <f>('Data Saham'!Z74-'Data Saham'!Z73)/'Data Saham'!Z73</f>
        <v>0</v>
      </c>
      <c r="AA74">
        <f>('Data Saham'!AA74-'Data Saham'!AA73)/'Data Saham'!AA73</f>
        <v>-1.2E-2</v>
      </c>
      <c r="AB74">
        <f>('Data Saham'!AB74-'Data Saham'!AB73)/'Data Saham'!AB73</f>
        <v>0</v>
      </c>
      <c r="AC74">
        <f>('Data Saham'!AC74-'Data Saham'!AC73)/'Data Saham'!AC73</f>
        <v>-3.2258064516129031E-2</v>
      </c>
      <c r="AD74">
        <f>('Data Saham'!AD74-'Data Saham'!AD73)/'Data Saham'!AD73</f>
        <v>-5.4054054054054057E-3</v>
      </c>
      <c r="AE74">
        <f>('Data Saham'!AE74-'Data Saham'!AE73)/'Data Saham'!AE73</f>
        <v>-5.3763440860215058E-3</v>
      </c>
      <c r="AF74">
        <f>('Data Saham'!AF74-'Data Saham'!AF73)/'Data Saham'!AF73</f>
        <v>2.0942408376963352E-2</v>
      </c>
    </row>
    <row r="75" spans="1:32" x14ac:dyDescent="0.3">
      <c r="A75" s="2">
        <v>45754</v>
      </c>
      <c r="B75">
        <f>('Data Saham'!B75-'Data Saham'!B74)/'Data Saham'!B74</f>
        <v>-1.8697159805468966E-3</v>
      </c>
      <c r="C75">
        <f>('Data Saham'!C75-'Data Saham'!C74)/'Data Saham'!C74</f>
        <v>5.8139534883720929E-3</v>
      </c>
      <c r="D75">
        <f>('Data Saham'!D75-'Data Saham'!D74)/'Data Saham'!D74</f>
        <v>-2.717391304347826E-3</v>
      </c>
      <c r="E75">
        <f>('Data Saham'!E75-'Data Saham'!E74)/'Data Saham'!E74</f>
        <v>0</v>
      </c>
      <c r="F75">
        <f>('Data Saham'!F75-'Data Saham'!F74)/'Data Saham'!F74</f>
        <v>7.556675062972292E-3</v>
      </c>
      <c r="G75">
        <f>('Data Saham'!G75-'Data Saham'!G74)/'Data Saham'!G74</f>
        <v>-2.9520295202952029E-2</v>
      </c>
      <c r="H75">
        <f>('Data Saham'!H75-'Data Saham'!H74)/'Data Saham'!H74</f>
        <v>1.0940919037199124E-2</v>
      </c>
      <c r="I75">
        <f>('Data Saham'!I75-'Data Saham'!I74)/'Data Saham'!I74</f>
        <v>-9.3023255813953487E-3</v>
      </c>
      <c r="J75">
        <f>('Data Saham'!J75-'Data Saham'!J74)/'Data Saham'!J74</f>
        <v>0</v>
      </c>
      <c r="K75">
        <f>('Data Saham'!K75-'Data Saham'!K74)/'Data Saham'!K74</f>
        <v>-2.840909090909091E-3</v>
      </c>
      <c r="L75">
        <f>('Data Saham'!L75-'Data Saham'!L74)/'Data Saham'!L74</f>
        <v>1.1325028312570782E-3</v>
      </c>
      <c r="M75">
        <f>('Data Saham'!M75-'Data Saham'!M74)/'Data Saham'!M74</f>
        <v>-3.8461538461538464E-2</v>
      </c>
      <c r="N75">
        <f>('Data Saham'!N75-'Data Saham'!N74)/'Data Saham'!N74</f>
        <v>-9.5693779904306216E-3</v>
      </c>
      <c r="O75">
        <f>('Data Saham'!O75-'Data Saham'!O74)/'Data Saham'!O74</f>
        <v>6.269592476489028E-3</v>
      </c>
      <c r="P75">
        <f>('Data Saham'!P75-'Data Saham'!P74)/'Data Saham'!P74</f>
        <v>-2.8037383177570093E-2</v>
      </c>
      <c r="Q75">
        <f>('Data Saham'!Q75-'Data Saham'!Q74)/'Data Saham'!Q74</f>
        <v>0</v>
      </c>
      <c r="R75">
        <f>('Data Saham'!R75-'Data Saham'!R74)/'Data Saham'!R74</f>
        <v>-2.8846153846153848E-2</v>
      </c>
      <c r="S75">
        <f>('Data Saham'!S75-'Data Saham'!S74)/'Data Saham'!S74</f>
        <v>-3.7815126050420166E-2</v>
      </c>
      <c r="T75">
        <f>('Data Saham'!T75-'Data Saham'!T74)/'Data Saham'!T74</f>
        <v>-1.3333333333333334E-2</v>
      </c>
      <c r="U75">
        <f>('Data Saham'!U75-'Data Saham'!U74)/'Data Saham'!U74</f>
        <v>-7.462686567164179E-3</v>
      </c>
      <c r="V75">
        <f>('Data Saham'!V75-'Data Saham'!V74)/'Data Saham'!V74</f>
        <v>2.3255813953488372E-3</v>
      </c>
      <c r="W75">
        <f>('Data Saham'!W75-'Data Saham'!W74)/'Data Saham'!W74</f>
        <v>6.4935064935064939E-3</v>
      </c>
      <c r="X75">
        <f>('Data Saham'!X75-'Data Saham'!X74)/'Data Saham'!X74</f>
        <v>8.4745762711864406E-3</v>
      </c>
      <c r="Y75">
        <f>('Data Saham'!Y75-'Data Saham'!Y74)/'Data Saham'!Y74</f>
        <v>-2.100840336134454E-2</v>
      </c>
      <c r="Z75">
        <f>('Data Saham'!Z75-'Data Saham'!Z74)/'Data Saham'!Z74</f>
        <v>-4.0983606557377051E-3</v>
      </c>
      <c r="AA75">
        <f>('Data Saham'!AA75-'Data Saham'!AA74)/'Data Saham'!AA74</f>
        <v>4.048582995951417E-3</v>
      </c>
      <c r="AB75">
        <f>('Data Saham'!AB75-'Data Saham'!AB74)/'Data Saham'!AB74</f>
        <v>3.5087719298245612E-2</v>
      </c>
      <c r="AC75">
        <f>('Data Saham'!AC75-'Data Saham'!AC74)/'Data Saham'!AC74</f>
        <v>4.1666666666666664E-2</v>
      </c>
      <c r="AD75">
        <f>('Data Saham'!AD75-'Data Saham'!AD74)/'Data Saham'!AD74</f>
        <v>-5.434782608695652E-3</v>
      </c>
      <c r="AE75">
        <f>('Data Saham'!AE75-'Data Saham'!AE74)/'Data Saham'!AE74</f>
        <v>1.0810810810810811E-2</v>
      </c>
      <c r="AF75">
        <f>('Data Saham'!AF75-'Data Saham'!AF74)/'Data Saham'!AF74</f>
        <v>1.0256410256410256E-2</v>
      </c>
    </row>
    <row r="76" spans="1:32" x14ac:dyDescent="0.3">
      <c r="A76" s="1">
        <v>45845</v>
      </c>
      <c r="B76">
        <f>('Data Saham'!B76-'Data Saham'!B75)/'Data Saham'!B75</f>
        <v>5.2059739060391179E-3</v>
      </c>
      <c r="C76">
        <f>('Data Saham'!C76-'Data Saham'!C75)/'Data Saham'!C75</f>
        <v>-2.8901734104046241E-3</v>
      </c>
      <c r="D76">
        <f>('Data Saham'!D76-'Data Saham'!D75)/'Data Saham'!D75</f>
        <v>8.1743869209809257E-3</v>
      </c>
      <c r="E76">
        <f>('Data Saham'!E76-'Data Saham'!E75)/'Data Saham'!E75</f>
        <v>0</v>
      </c>
      <c r="F76">
        <f>('Data Saham'!F76-'Data Saham'!F75)/'Data Saham'!F75</f>
        <v>0</v>
      </c>
      <c r="G76">
        <f>('Data Saham'!G76-'Data Saham'!G75)/'Data Saham'!G75</f>
        <v>2.6615969581749048E-2</v>
      </c>
      <c r="H76">
        <f>('Data Saham'!H76-'Data Saham'!H75)/'Data Saham'!H75</f>
        <v>1.2987012987012988E-2</v>
      </c>
      <c r="I76">
        <f>('Data Saham'!I76-'Data Saham'!I75)/'Data Saham'!I75</f>
        <v>-1.4084507042253521E-2</v>
      </c>
      <c r="J76">
        <f>('Data Saham'!J76-'Data Saham'!J75)/'Data Saham'!J75</f>
        <v>0</v>
      </c>
      <c r="K76">
        <f>('Data Saham'!K76-'Data Saham'!K75)/'Data Saham'!K75</f>
        <v>-8.5470085470085479E-3</v>
      </c>
      <c r="L76">
        <f>('Data Saham'!L76-'Data Saham'!L75)/'Data Saham'!L75</f>
        <v>0</v>
      </c>
      <c r="M76">
        <f>('Data Saham'!M76-'Data Saham'!M75)/'Data Saham'!M75</f>
        <v>-0.03</v>
      </c>
      <c r="N76">
        <f>('Data Saham'!N76-'Data Saham'!N75)/'Data Saham'!N75</f>
        <v>-9.6618357487922701E-3</v>
      </c>
      <c r="O76">
        <f>('Data Saham'!O76-'Data Saham'!O75)/'Data Saham'!O75</f>
        <v>-1.2461059190031152E-2</v>
      </c>
      <c r="P76">
        <f>('Data Saham'!P76-'Data Saham'!P75)/'Data Saham'!P75</f>
        <v>0</v>
      </c>
      <c r="Q76">
        <f>('Data Saham'!Q76-'Data Saham'!Q75)/'Data Saham'!Q75</f>
        <v>-4.3478260869565218E-3</v>
      </c>
      <c r="R76">
        <f>('Data Saham'!R76-'Data Saham'!R75)/'Data Saham'!R75</f>
        <v>-9.9009900990099011E-3</v>
      </c>
      <c r="S76">
        <f>('Data Saham'!S76-'Data Saham'!S75)/'Data Saham'!S75</f>
        <v>3.4934497816593885E-2</v>
      </c>
      <c r="T76">
        <f>('Data Saham'!T76-'Data Saham'!T75)/'Data Saham'!T75</f>
        <v>1.6891891891891893E-2</v>
      </c>
      <c r="U76">
        <f>('Data Saham'!U76-'Data Saham'!U75)/'Data Saham'!U75</f>
        <v>7.5187969924812026E-3</v>
      </c>
      <c r="V76">
        <f>('Data Saham'!V76-'Data Saham'!V75)/'Data Saham'!V75</f>
        <v>-4.6403712296983757E-3</v>
      </c>
      <c r="W76">
        <f>('Data Saham'!W76-'Data Saham'!W75)/'Data Saham'!W75</f>
        <v>7.0967741935483872E-2</v>
      </c>
      <c r="X76">
        <f>('Data Saham'!X76-'Data Saham'!X75)/'Data Saham'!X75</f>
        <v>-1.680672268907563E-2</v>
      </c>
      <c r="Y76">
        <f>('Data Saham'!Y76-'Data Saham'!Y75)/'Data Saham'!Y75</f>
        <v>3.0042918454935622E-2</v>
      </c>
      <c r="Z76">
        <f>('Data Saham'!Z76-'Data Saham'!Z75)/'Data Saham'!Z75</f>
        <v>-4.11522633744856E-3</v>
      </c>
      <c r="AA76">
        <f>('Data Saham'!AA76-'Data Saham'!AA75)/'Data Saham'!AA75</f>
        <v>8.0645161290322578E-3</v>
      </c>
      <c r="AB76">
        <f>('Data Saham'!AB76-'Data Saham'!AB75)/'Data Saham'!AB75</f>
        <v>1.6949152542372881E-2</v>
      </c>
      <c r="AC76">
        <f>('Data Saham'!AC76-'Data Saham'!AC75)/'Data Saham'!AC75</f>
        <v>0</v>
      </c>
      <c r="AD76">
        <f>('Data Saham'!AD76-'Data Saham'!AD75)/'Data Saham'!AD75</f>
        <v>5.4644808743169399E-3</v>
      </c>
      <c r="AE76">
        <f>('Data Saham'!AE76-'Data Saham'!AE75)/'Data Saham'!AE75</f>
        <v>-2.1390374331550801E-2</v>
      </c>
      <c r="AF76">
        <f>('Data Saham'!AF76-'Data Saham'!AF75)/'Data Saham'!AF75</f>
        <v>-5.076142131979695E-3</v>
      </c>
    </row>
    <row r="77" spans="1:32" x14ac:dyDescent="0.3">
      <c r="A77" s="2">
        <v>45876</v>
      </c>
      <c r="B77">
        <f>('Data Saham'!B77-'Data Saham'!B76)/'Data Saham'!B76</f>
        <v>5.013816978291384E-4</v>
      </c>
      <c r="C77">
        <f>('Data Saham'!C77-'Data Saham'!C76)/'Data Saham'!C76</f>
        <v>-1.4492753623188406E-2</v>
      </c>
      <c r="D77">
        <f>('Data Saham'!D77-'Data Saham'!D76)/'Data Saham'!D76</f>
        <v>-8.1081081081081086E-3</v>
      </c>
      <c r="E77">
        <f>('Data Saham'!E77-'Data Saham'!E76)/'Data Saham'!E76</f>
        <v>-4.2194092827004216E-3</v>
      </c>
      <c r="F77">
        <f>('Data Saham'!F77-'Data Saham'!F76)/'Data Saham'!F76</f>
        <v>-7.4999999999999997E-3</v>
      </c>
      <c r="G77">
        <f>('Data Saham'!G77-'Data Saham'!G76)/'Data Saham'!G76</f>
        <v>-1.8518518518518517E-2</v>
      </c>
      <c r="H77">
        <f>('Data Saham'!H77-'Data Saham'!H76)/'Data Saham'!H76</f>
        <v>-4.2735042735042739E-3</v>
      </c>
      <c r="I77">
        <f>('Data Saham'!I77-'Data Saham'!I76)/'Data Saham'!I76</f>
        <v>0</v>
      </c>
      <c r="J77">
        <f>('Data Saham'!J77-'Data Saham'!J76)/'Data Saham'!J76</f>
        <v>-9.2592592592592587E-3</v>
      </c>
      <c r="K77">
        <f>('Data Saham'!K77-'Data Saham'!K76)/'Data Saham'!K76</f>
        <v>2.8735632183908046E-3</v>
      </c>
      <c r="L77">
        <f>('Data Saham'!L77-'Data Saham'!L76)/'Data Saham'!L76</f>
        <v>-3.3936651583710408E-3</v>
      </c>
      <c r="M77">
        <f>('Data Saham'!M77-'Data Saham'!M76)/'Data Saham'!M76</f>
        <v>6.8728522336769758E-3</v>
      </c>
      <c r="N77">
        <f>('Data Saham'!N77-'Data Saham'!N76)/'Data Saham'!N76</f>
        <v>1.4634146341463415E-2</v>
      </c>
      <c r="O77">
        <f>('Data Saham'!O77-'Data Saham'!O76)/'Data Saham'!O76</f>
        <v>-6.3091482649842269E-3</v>
      </c>
      <c r="P77">
        <f>('Data Saham'!P77-'Data Saham'!P76)/'Data Saham'!P76</f>
        <v>2.8846153846153848E-2</v>
      </c>
      <c r="Q77">
        <f>('Data Saham'!Q77-'Data Saham'!Q76)/'Data Saham'!Q76</f>
        <v>-1.3100436681222707E-2</v>
      </c>
      <c r="R77">
        <f>('Data Saham'!R77-'Data Saham'!R76)/'Data Saham'!R76</f>
        <v>0</v>
      </c>
      <c r="S77">
        <f>('Data Saham'!S77-'Data Saham'!S76)/'Data Saham'!S76</f>
        <v>-6.3291139240506328E-3</v>
      </c>
      <c r="T77">
        <f>('Data Saham'!T77-'Data Saham'!T76)/'Data Saham'!T76</f>
        <v>3.6544850498338874E-2</v>
      </c>
      <c r="U77">
        <f>('Data Saham'!U77-'Data Saham'!U76)/'Data Saham'!U76</f>
        <v>0</v>
      </c>
      <c r="V77">
        <f>('Data Saham'!V77-'Data Saham'!V76)/'Data Saham'!V76</f>
        <v>6.993006993006993E-3</v>
      </c>
      <c r="W77">
        <f>('Data Saham'!W77-'Data Saham'!W76)/'Data Saham'!W76</f>
        <v>1.5060240963855422E-2</v>
      </c>
      <c r="X77">
        <f>('Data Saham'!X77-'Data Saham'!X76)/'Data Saham'!X76</f>
        <v>-8.5470085470085479E-3</v>
      </c>
      <c r="Y77">
        <f>('Data Saham'!Y77-'Data Saham'!Y76)/'Data Saham'!Y76</f>
        <v>-1.2500000000000001E-2</v>
      </c>
      <c r="Z77">
        <f>('Data Saham'!Z77-'Data Saham'!Z76)/'Data Saham'!Z76</f>
        <v>4.1322314049586778E-3</v>
      </c>
      <c r="AA77">
        <f>('Data Saham'!AA77-'Data Saham'!AA76)/'Data Saham'!AA76</f>
        <v>-1.6E-2</v>
      </c>
      <c r="AB77">
        <f>('Data Saham'!AB77-'Data Saham'!AB76)/'Data Saham'!AB76</f>
        <v>0</v>
      </c>
      <c r="AC77">
        <f>('Data Saham'!AC77-'Data Saham'!AC76)/'Data Saham'!AC76</f>
        <v>-8.0000000000000002E-3</v>
      </c>
      <c r="AD77">
        <f>('Data Saham'!AD77-'Data Saham'!AD76)/'Data Saham'!AD76</f>
        <v>-5.434782608695652E-3</v>
      </c>
      <c r="AE77">
        <f>('Data Saham'!AE77-'Data Saham'!AE76)/'Data Saham'!AE76</f>
        <v>-2.7322404371584699E-2</v>
      </c>
      <c r="AF77">
        <f>('Data Saham'!AF77-'Data Saham'!AF76)/'Data Saham'!AF76</f>
        <v>-2.0408163265306121E-2</v>
      </c>
    </row>
    <row r="78" spans="1:32" x14ac:dyDescent="0.3">
      <c r="A78" s="1">
        <v>45907</v>
      </c>
      <c r="B78">
        <f>('Data Saham'!B78-'Data Saham'!B77)/'Data Saham'!B77</f>
        <v>5.7253428615706443E-3</v>
      </c>
      <c r="C78">
        <f>('Data Saham'!C78-'Data Saham'!C77)/'Data Saham'!C77</f>
        <v>0</v>
      </c>
      <c r="D78">
        <f>('Data Saham'!D78-'Data Saham'!D77)/'Data Saham'!D77</f>
        <v>2.7247956403269754E-3</v>
      </c>
      <c r="E78">
        <f>('Data Saham'!E78-'Data Saham'!E77)/'Data Saham'!E77</f>
        <v>-2.1186440677966102E-3</v>
      </c>
      <c r="F78">
        <f>('Data Saham'!F78-'Data Saham'!F77)/'Data Saham'!F77</f>
        <v>7.556675062972292E-3</v>
      </c>
      <c r="G78">
        <f>('Data Saham'!G78-'Data Saham'!G77)/'Data Saham'!G77</f>
        <v>7.5471698113207548E-3</v>
      </c>
      <c r="H78">
        <f>('Data Saham'!H78-'Data Saham'!H77)/'Data Saham'!H77</f>
        <v>1.2875536480686695E-2</v>
      </c>
      <c r="I78">
        <f>('Data Saham'!I78-'Data Saham'!I77)/'Data Saham'!I77</f>
        <v>2.3809523809523812E-3</v>
      </c>
      <c r="J78">
        <f>('Data Saham'!J78-'Data Saham'!J77)/'Data Saham'!J77</f>
        <v>1.8691588785046728E-2</v>
      </c>
      <c r="K78">
        <f>('Data Saham'!K78-'Data Saham'!K77)/'Data Saham'!K77</f>
        <v>-2.8653295128939827E-3</v>
      </c>
      <c r="L78">
        <f>('Data Saham'!L78-'Data Saham'!L77)/'Data Saham'!L77</f>
        <v>1.1350737797956867E-3</v>
      </c>
      <c r="M78">
        <f>('Data Saham'!M78-'Data Saham'!M77)/'Data Saham'!M77</f>
        <v>-3.4129692832764505E-3</v>
      </c>
      <c r="N78">
        <f>('Data Saham'!N78-'Data Saham'!N77)/'Data Saham'!N77</f>
        <v>1.4423076923076924E-2</v>
      </c>
      <c r="O78">
        <f>('Data Saham'!O78-'Data Saham'!O77)/'Data Saham'!O77</f>
        <v>-6.3492063492063492E-3</v>
      </c>
      <c r="P78">
        <f>('Data Saham'!P78-'Data Saham'!P77)/'Data Saham'!P77</f>
        <v>-1.8691588785046728E-2</v>
      </c>
      <c r="Q78">
        <f>('Data Saham'!Q78-'Data Saham'!Q77)/'Data Saham'!Q77</f>
        <v>1.3274336283185841E-2</v>
      </c>
      <c r="R78">
        <f>('Data Saham'!R78-'Data Saham'!R77)/'Data Saham'!R77</f>
        <v>6.6666666666666671E-3</v>
      </c>
      <c r="S78">
        <f>('Data Saham'!S78-'Data Saham'!S77)/'Data Saham'!S77</f>
        <v>3.1847133757961783E-2</v>
      </c>
      <c r="T78">
        <f>('Data Saham'!T78-'Data Saham'!T77)/'Data Saham'!T77</f>
        <v>3.5256410256410256E-2</v>
      </c>
      <c r="U78">
        <f>('Data Saham'!U78-'Data Saham'!U77)/'Data Saham'!U77</f>
        <v>1.8656716417910446E-2</v>
      </c>
      <c r="V78">
        <f>('Data Saham'!V78-'Data Saham'!V77)/'Data Saham'!V77</f>
        <v>1.7361111111111112E-2</v>
      </c>
      <c r="W78">
        <f>('Data Saham'!W78-'Data Saham'!W77)/'Data Saham'!W77</f>
        <v>3.2640949554896145E-2</v>
      </c>
      <c r="X78">
        <f>('Data Saham'!X78-'Data Saham'!X77)/'Data Saham'!X77</f>
        <v>-4.3103448275862068E-3</v>
      </c>
      <c r="Y78">
        <f>('Data Saham'!Y78-'Data Saham'!Y77)/'Data Saham'!Y77</f>
        <v>0</v>
      </c>
      <c r="Z78">
        <f>('Data Saham'!Z78-'Data Saham'!Z77)/'Data Saham'!Z77</f>
        <v>4.9382716049382713E-2</v>
      </c>
      <c r="AA78">
        <f>('Data Saham'!AA78-'Data Saham'!AA77)/'Data Saham'!AA77</f>
        <v>8.130081300813009E-3</v>
      </c>
      <c r="AB78">
        <f>('Data Saham'!AB78-'Data Saham'!AB77)/'Data Saham'!AB77</f>
        <v>-1.6666666666666666E-2</v>
      </c>
      <c r="AC78">
        <f>('Data Saham'!AC78-'Data Saham'!AC77)/'Data Saham'!AC77</f>
        <v>8.0645161290322578E-3</v>
      </c>
      <c r="AD78">
        <f>('Data Saham'!AD78-'Data Saham'!AD77)/'Data Saham'!AD77</f>
        <v>1.6393442622950821E-2</v>
      </c>
      <c r="AE78">
        <f>('Data Saham'!AE78-'Data Saham'!AE77)/'Data Saham'!AE77</f>
        <v>1.1235955056179775E-2</v>
      </c>
      <c r="AF78">
        <f>('Data Saham'!AF78-'Data Saham'!AF77)/'Data Saham'!AF77</f>
        <v>1.5625E-2</v>
      </c>
    </row>
    <row r="79" spans="1:32" x14ac:dyDescent="0.3">
      <c r="A79" s="2">
        <v>45937</v>
      </c>
      <c r="B79">
        <f>('Data Saham'!B79-'Data Saham'!B78)/'Data Saham'!B78</f>
        <v>8.8494683118468843E-3</v>
      </c>
      <c r="C79">
        <f>('Data Saham'!C79-'Data Saham'!C78)/'Data Saham'!C78</f>
        <v>1.1764705882352941E-2</v>
      </c>
      <c r="D79">
        <f>('Data Saham'!D79-'Data Saham'!D78)/'Data Saham'!D78</f>
        <v>5.1630434782608696E-2</v>
      </c>
      <c r="E79">
        <f>('Data Saham'!E79-'Data Saham'!E78)/'Data Saham'!E78</f>
        <v>2.3354564755838639E-2</v>
      </c>
      <c r="F79">
        <f>('Data Saham'!F79-'Data Saham'!F78)/'Data Saham'!F78</f>
        <v>2.75E-2</v>
      </c>
      <c r="G79">
        <f>('Data Saham'!G79-'Data Saham'!G78)/'Data Saham'!G78</f>
        <v>7.4906367041198503E-3</v>
      </c>
      <c r="H79">
        <f>('Data Saham'!H79-'Data Saham'!H78)/'Data Saham'!H78</f>
        <v>-8.4745762711864406E-3</v>
      </c>
      <c r="I79">
        <f>('Data Saham'!I79-'Data Saham'!I78)/'Data Saham'!I78</f>
        <v>-7.1258907363420431E-3</v>
      </c>
      <c r="J79">
        <f>('Data Saham'!J79-'Data Saham'!J78)/'Data Saham'!J78</f>
        <v>-3.0581039755351682E-3</v>
      </c>
      <c r="K79">
        <f>('Data Saham'!K79-'Data Saham'!K78)/'Data Saham'!K78</f>
        <v>5.7471264367816091E-2</v>
      </c>
      <c r="L79">
        <f>('Data Saham'!L79-'Data Saham'!L78)/'Data Saham'!L78</f>
        <v>1.020408163265306E-2</v>
      </c>
      <c r="M79">
        <f>('Data Saham'!M79-'Data Saham'!M78)/'Data Saham'!M78</f>
        <v>2.3972602739726026E-2</v>
      </c>
      <c r="N79">
        <f>('Data Saham'!N79-'Data Saham'!N78)/'Data Saham'!N78</f>
        <v>0</v>
      </c>
      <c r="O79">
        <f>('Data Saham'!O79-'Data Saham'!O78)/'Data Saham'!O78</f>
        <v>1.9169329073482427E-2</v>
      </c>
      <c r="P79">
        <f>('Data Saham'!P79-'Data Saham'!P78)/'Data Saham'!P78</f>
        <v>3.8095238095238099E-2</v>
      </c>
      <c r="Q79">
        <f>('Data Saham'!Q79-'Data Saham'!Q78)/'Data Saham'!Q78</f>
        <v>4.3668122270742356E-3</v>
      </c>
      <c r="R79">
        <f>('Data Saham'!R79-'Data Saham'!R78)/'Data Saham'!R78</f>
        <v>-3.3112582781456954E-3</v>
      </c>
      <c r="S79">
        <f>('Data Saham'!S79-'Data Saham'!S78)/'Data Saham'!S78</f>
        <v>0</v>
      </c>
      <c r="T79">
        <f>('Data Saham'!T79-'Data Saham'!T78)/'Data Saham'!T78</f>
        <v>9.2879256965944269E-3</v>
      </c>
      <c r="U79">
        <f>('Data Saham'!U79-'Data Saham'!U78)/'Data Saham'!U78</f>
        <v>7.326007326007326E-3</v>
      </c>
      <c r="V79">
        <f>('Data Saham'!V79-'Data Saham'!V78)/'Data Saham'!V78</f>
        <v>1.0238907849829351E-2</v>
      </c>
      <c r="W79">
        <f>('Data Saham'!W79-'Data Saham'!W78)/'Data Saham'!W78</f>
        <v>0</v>
      </c>
      <c r="X79">
        <f>('Data Saham'!X79-'Data Saham'!X78)/'Data Saham'!X78</f>
        <v>1.2987012987012988E-2</v>
      </c>
      <c r="Y79">
        <f>('Data Saham'!Y79-'Data Saham'!Y78)/'Data Saham'!Y78</f>
        <v>-4.2194092827004218E-2</v>
      </c>
      <c r="Z79">
        <f>('Data Saham'!Z79-'Data Saham'!Z78)/'Data Saham'!Z78</f>
        <v>-9.8039215686274508E-3</v>
      </c>
      <c r="AA79">
        <f>('Data Saham'!AA79-'Data Saham'!AA78)/'Data Saham'!AA78</f>
        <v>-4.4354838709677422E-2</v>
      </c>
      <c r="AB79">
        <f>('Data Saham'!AB79-'Data Saham'!AB78)/'Data Saham'!AB78</f>
        <v>1.6949152542372881E-2</v>
      </c>
      <c r="AC79">
        <f>('Data Saham'!AC79-'Data Saham'!AC78)/'Data Saham'!AC78</f>
        <v>0</v>
      </c>
      <c r="AD79">
        <f>('Data Saham'!AD79-'Data Saham'!AD78)/'Data Saham'!AD78</f>
        <v>2.1505376344086023E-2</v>
      </c>
      <c r="AE79">
        <f>('Data Saham'!AE79-'Data Saham'!AE78)/'Data Saham'!AE78</f>
        <v>1.1111111111111112E-2</v>
      </c>
      <c r="AF79">
        <f>('Data Saham'!AF79-'Data Saham'!AF78)/'Data Saham'!AF78</f>
        <v>5.1282051282051282E-3</v>
      </c>
    </row>
    <row r="80" spans="1:32" x14ac:dyDescent="0.3">
      <c r="A80" s="1">
        <v>45968</v>
      </c>
      <c r="B80">
        <f>('Data Saham'!B80-'Data Saham'!B79)/'Data Saham'!B79</f>
        <v>6.0053930056513374E-3</v>
      </c>
      <c r="C80">
        <f>('Data Saham'!C80-'Data Saham'!C79)/'Data Saham'!C79</f>
        <v>2.9069767441860465E-3</v>
      </c>
      <c r="D80">
        <f>('Data Saham'!D80-'Data Saham'!D79)/'Data Saham'!D79</f>
        <v>2.5839793281653748E-3</v>
      </c>
      <c r="E80">
        <f>('Data Saham'!E80-'Data Saham'!E79)/'Data Saham'!E79</f>
        <v>3.1120331950207469E-2</v>
      </c>
      <c r="F80">
        <f>('Data Saham'!F80-'Data Saham'!F79)/'Data Saham'!F79</f>
        <v>1.7031630170316302E-2</v>
      </c>
      <c r="G80">
        <f>('Data Saham'!G80-'Data Saham'!G79)/'Data Saham'!G79</f>
        <v>1.4869888475836431E-2</v>
      </c>
      <c r="H80">
        <f>('Data Saham'!H80-'Data Saham'!H79)/'Data Saham'!H79</f>
        <v>6.41025641025641E-3</v>
      </c>
      <c r="I80">
        <f>('Data Saham'!I80-'Data Saham'!I79)/'Data Saham'!I79</f>
        <v>-1.1961722488038277E-2</v>
      </c>
      <c r="J80">
        <f>('Data Saham'!J80-'Data Saham'!J79)/'Data Saham'!J79</f>
        <v>1.2269938650306749E-2</v>
      </c>
      <c r="K80">
        <f>('Data Saham'!K80-'Data Saham'!K79)/'Data Saham'!K79</f>
        <v>1.6304347826086956E-2</v>
      </c>
      <c r="L80">
        <f>('Data Saham'!L80-'Data Saham'!L79)/'Data Saham'!L79</f>
        <v>1.0101010101010102E-2</v>
      </c>
      <c r="M80">
        <f>('Data Saham'!M80-'Data Saham'!M79)/'Data Saham'!M79</f>
        <v>0</v>
      </c>
      <c r="N80">
        <f>('Data Saham'!N80-'Data Saham'!N79)/'Data Saham'!N79</f>
        <v>0</v>
      </c>
      <c r="O80">
        <f>('Data Saham'!O80-'Data Saham'!O79)/'Data Saham'!O79</f>
        <v>0</v>
      </c>
      <c r="P80">
        <f>('Data Saham'!P80-'Data Saham'!P79)/'Data Saham'!P79</f>
        <v>0</v>
      </c>
      <c r="Q80">
        <f>('Data Saham'!Q80-'Data Saham'!Q79)/'Data Saham'!Q79</f>
        <v>-4.3478260869565218E-3</v>
      </c>
      <c r="R80">
        <f>('Data Saham'!R80-'Data Saham'!R79)/'Data Saham'!R79</f>
        <v>5.9800664451827246E-2</v>
      </c>
      <c r="S80">
        <f>('Data Saham'!S80-'Data Saham'!S79)/'Data Saham'!S79</f>
        <v>1.646090534979424E-2</v>
      </c>
      <c r="T80">
        <f>('Data Saham'!T80-'Data Saham'!T79)/'Data Saham'!T79</f>
        <v>-2.7607361963190184E-2</v>
      </c>
      <c r="U80">
        <f>('Data Saham'!U80-'Data Saham'!U79)/'Data Saham'!U79</f>
        <v>1.8181818181818181E-2</v>
      </c>
      <c r="V80">
        <f>('Data Saham'!V80-'Data Saham'!V79)/'Data Saham'!V79</f>
        <v>9.0090090090090089E-3</v>
      </c>
      <c r="W80">
        <f>('Data Saham'!W80-'Data Saham'!W79)/'Data Saham'!W79</f>
        <v>3.4482758620689655E-2</v>
      </c>
      <c r="X80">
        <f>('Data Saham'!X80-'Data Saham'!X79)/'Data Saham'!X79</f>
        <v>1.7094017094017096E-2</v>
      </c>
      <c r="Y80">
        <f>('Data Saham'!Y80-'Data Saham'!Y79)/'Data Saham'!Y79</f>
        <v>1.3215859030837005E-2</v>
      </c>
      <c r="Z80">
        <f>('Data Saham'!Z80-'Data Saham'!Z79)/'Data Saham'!Z79</f>
        <v>0</v>
      </c>
      <c r="AA80">
        <f>('Data Saham'!AA80-'Data Saham'!AA79)/'Data Saham'!AA79</f>
        <v>1.6877637130801686E-2</v>
      </c>
      <c r="AB80">
        <f>('Data Saham'!AB80-'Data Saham'!AB79)/'Data Saham'!AB79</f>
        <v>-1.6666666666666666E-2</v>
      </c>
      <c r="AC80">
        <f>('Data Saham'!AC80-'Data Saham'!AC79)/'Data Saham'!AC79</f>
        <v>8.0000000000000002E-3</v>
      </c>
      <c r="AD80">
        <f>('Data Saham'!AD80-'Data Saham'!AD79)/'Data Saham'!AD79</f>
        <v>5.263157894736842E-3</v>
      </c>
      <c r="AE80">
        <f>('Data Saham'!AE80-'Data Saham'!AE79)/'Data Saham'!AE79</f>
        <v>1.6483516483516484E-2</v>
      </c>
      <c r="AF80">
        <f>('Data Saham'!AF80-'Data Saham'!AF79)/'Data Saham'!AF79</f>
        <v>0</v>
      </c>
    </row>
    <row r="81" spans="1:32" x14ac:dyDescent="0.3">
      <c r="A81" s="4" t="s">
        <v>46</v>
      </c>
      <c r="B81">
        <f>('Data Saham'!B81-'Data Saham'!B80)/'Data Saham'!B80</f>
        <v>7.0536251461523671E-3</v>
      </c>
      <c r="C81">
        <f>('Data Saham'!C81-'Data Saham'!C80)/'Data Saham'!C80</f>
        <v>-1.1594202898550725E-2</v>
      </c>
      <c r="D81">
        <f>('Data Saham'!D81-'Data Saham'!D80)/'Data Saham'!D80</f>
        <v>-2.5773195876288658E-2</v>
      </c>
      <c r="E81">
        <f>('Data Saham'!E81-'Data Saham'!E80)/'Data Saham'!E80</f>
        <v>-5.6338028169014086E-2</v>
      </c>
      <c r="F81">
        <f>('Data Saham'!F81-'Data Saham'!F80)/'Data Saham'!F80</f>
        <v>-3.3492822966507178E-2</v>
      </c>
      <c r="G81">
        <f>('Data Saham'!G81-'Data Saham'!G80)/'Data Saham'!G80</f>
        <v>-1.4652014652014652E-2</v>
      </c>
      <c r="H81">
        <f>('Data Saham'!H81-'Data Saham'!H80)/'Data Saham'!H80</f>
        <v>-2.1231422505307855E-3</v>
      </c>
      <c r="I81">
        <f>('Data Saham'!I81-'Data Saham'!I80)/'Data Saham'!I80</f>
        <v>7.2639225181598066E-3</v>
      </c>
      <c r="J81">
        <f>('Data Saham'!J81-'Data Saham'!J80)/'Data Saham'!J80</f>
        <v>1.2121212121212121E-2</v>
      </c>
      <c r="K81">
        <f>('Data Saham'!K81-'Data Saham'!K80)/'Data Saham'!K80</f>
        <v>-2.4064171122994651E-2</v>
      </c>
      <c r="L81">
        <f>('Data Saham'!L81-'Data Saham'!L80)/'Data Saham'!L80</f>
        <v>-2.2222222222222222E-3</v>
      </c>
      <c r="M81">
        <f>('Data Saham'!M81-'Data Saham'!M80)/'Data Saham'!M80</f>
        <v>1.3377926421404682E-2</v>
      </c>
      <c r="N81">
        <f>('Data Saham'!N81-'Data Saham'!N80)/'Data Saham'!N80</f>
        <v>-9.4786729857819912E-3</v>
      </c>
      <c r="O81">
        <f>('Data Saham'!O81-'Data Saham'!O80)/'Data Saham'!O80</f>
        <v>-9.4043887147335428E-3</v>
      </c>
      <c r="P81">
        <f>('Data Saham'!P81-'Data Saham'!P80)/'Data Saham'!P80</f>
        <v>1.834862385321101E-2</v>
      </c>
      <c r="Q81">
        <f>('Data Saham'!Q81-'Data Saham'!Q80)/'Data Saham'!Q80</f>
        <v>1.3100436681222707E-2</v>
      </c>
      <c r="R81">
        <f>('Data Saham'!R81-'Data Saham'!R80)/'Data Saham'!R80</f>
        <v>-2.1943573667711599E-2</v>
      </c>
      <c r="S81">
        <f>('Data Saham'!S81-'Data Saham'!S80)/'Data Saham'!S80</f>
        <v>-2.2267206477732792E-2</v>
      </c>
      <c r="T81">
        <f>('Data Saham'!T81-'Data Saham'!T80)/'Data Saham'!T80</f>
        <v>9.4637223974763408E-3</v>
      </c>
      <c r="U81">
        <f>('Data Saham'!U81-'Data Saham'!U80)/'Data Saham'!U80</f>
        <v>-2.1428571428571429E-2</v>
      </c>
      <c r="V81">
        <f>('Data Saham'!V81-'Data Saham'!V80)/'Data Saham'!V80</f>
        <v>7.8125E-3</v>
      </c>
      <c r="W81">
        <f>('Data Saham'!W81-'Data Saham'!W80)/'Data Saham'!W80</f>
        <v>0.16666666666666666</v>
      </c>
      <c r="X81">
        <f>('Data Saham'!X81-'Data Saham'!X80)/'Data Saham'!X80</f>
        <v>2.100840336134454E-2</v>
      </c>
      <c r="Y81">
        <f>('Data Saham'!Y81-'Data Saham'!Y80)/'Data Saham'!Y80</f>
        <v>-4.3478260869565218E-3</v>
      </c>
      <c r="Z81">
        <f>('Data Saham'!Z81-'Data Saham'!Z80)/'Data Saham'!Z80</f>
        <v>-3.7623762376237622E-2</v>
      </c>
      <c r="AA81">
        <f>('Data Saham'!AA81-'Data Saham'!AA80)/'Data Saham'!AA80</f>
        <v>-8.2987551867219917E-3</v>
      </c>
      <c r="AB81">
        <f>('Data Saham'!AB81-'Data Saham'!AB80)/'Data Saham'!AB80</f>
        <v>0</v>
      </c>
      <c r="AC81">
        <f>('Data Saham'!AC81-'Data Saham'!AC80)/'Data Saham'!AC80</f>
        <v>7.9365079365079361E-3</v>
      </c>
      <c r="AD81">
        <f>('Data Saham'!AD81-'Data Saham'!AD80)/'Data Saham'!AD80</f>
        <v>-2.0942408376963352E-2</v>
      </c>
      <c r="AE81">
        <f>('Data Saham'!AE81-'Data Saham'!AE80)/'Data Saham'!AE80</f>
        <v>-2.1621621621621623E-2</v>
      </c>
      <c r="AF81">
        <f>('Data Saham'!AF81-'Data Saham'!AF80)/'Data Saham'!AF80</f>
        <v>-4.5918367346938778E-2</v>
      </c>
    </row>
    <row r="82" spans="1:32" x14ac:dyDescent="0.3">
      <c r="A82" s="3" t="s">
        <v>47</v>
      </c>
      <c r="B82">
        <f>('Data Saham'!B82-'Data Saham'!B81)/'Data Saham'!B81</f>
        <v>6.1038585911246937E-3</v>
      </c>
      <c r="C82">
        <f>('Data Saham'!C82-'Data Saham'!C81)/'Data Saham'!C81</f>
        <v>2.9325513196480938E-3</v>
      </c>
      <c r="D82">
        <f>('Data Saham'!D82-'Data Saham'!D81)/'Data Saham'!D81</f>
        <v>2.6455026455026454E-2</v>
      </c>
      <c r="E82">
        <f>('Data Saham'!E82-'Data Saham'!E81)/'Data Saham'!E81</f>
        <v>2.1321961620469083E-3</v>
      </c>
      <c r="F82">
        <f>('Data Saham'!F82-'Data Saham'!F81)/'Data Saham'!F81</f>
        <v>2.4752475247524753E-3</v>
      </c>
      <c r="G82">
        <f>('Data Saham'!G82-'Data Saham'!G81)/'Data Saham'!G81</f>
        <v>-1.858736059479554E-2</v>
      </c>
      <c r="H82">
        <f>('Data Saham'!H82-'Data Saham'!H81)/'Data Saham'!H81</f>
        <v>0</v>
      </c>
      <c r="I82">
        <f>('Data Saham'!I82-'Data Saham'!I81)/'Data Saham'!I81</f>
        <v>0</v>
      </c>
      <c r="J82">
        <f>('Data Saham'!J82-'Data Saham'!J81)/'Data Saham'!J81</f>
        <v>-2.9940119760479044E-3</v>
      </c>
      <c r="K82">
        <f>('Data Saham'!K82-'Data Saham'!K81)/'Data Saham'!K81</f>
        <v>-5.4794520547945206E-3</v>
      </c>
      <c r="L82">
        <f>('Data Saham'!L82-'Data Saham'!L81)/'Data Saham'!L81</f>
        <v>-2.2271714922048997E-3</v>
      </c>
      <c r="M82">
        <f>('Data Saham'!M82-'Data Saham'!M81)/'Data Saham'!M81</f>
        <v>-9.9009900990099011E-3</v>
      </c>
      <c r="N82">
        <f>('Data Saham'!N82-'Data Saham'!N81)/'Data Saham'!N81</f>
        <v>2.8708133971291867E-2</v>
      </c>
      <c r="O82">
        <f>('Data Saham'!O82-'Data Saham'!O81)/'Data Saham'!O81</f>
        <v>-9.4936708860759497E-3</v>
      </c>
      <c r="P82">
        <f>('Data Saham'!P82-'Data Saham'!P81)/'Data Saham'!P81</f>
        <v>5.4054054054054057E-2</v>
      </c>
      <c r="Q82">
        <f>('Data Saham'!Q82-'Data Saham'!Q81)/'Data Saham'!Q81</f>
        <v>7.3275862068965511E-2</v>
      </c>
      <c r="R82">
        <f>('Data Saham'!R82-'Data Saham'!R81)/'Data Saham'!R81</f>
        <v>-1.9230769230769232E-2</v>
      </c>
      <c r="S82">
        <f>('Data Saham'!S82-'Data Saham'!S81)/'Data Saham'!S81</f>
        <v>-2.070393374741201E-3</v>
      </c>
      <c r="T82">
        <f>('Data Saham'!T82-'Data Saham'!T81)/'Data Saham'!T81</f>
        <v>-1.5625E-2</v>
      </c>
      <c r="U82">
        <f>('Data Saham'!U82-'Data Saham'!U81)/'Data Saham'!U81</f>
        <v>-3.6496350364963502E-3</v>
      </c>
      <c r="V82">
        <f>('Data Saham'!V82-'Data Saham'!V81)/'Data Saham'!V81</f>
        <v>1.1074197120708748E-3</v>
      </c>
      <c r="W82">
        <f>('Data Saham'!W82-'Data Saham'!W81)/'Data Saham'!W81</f>
        <v>-3.3333333333333333E-2</v>
      </c>
      <c r="X82">
        <f>('Data Saham'!X82-'Data Saham'!X81)/'Data Saham'!X81</f>
        <v>2.0576131687242798E-2</v>
      </c>
      <c r="Y82">
        <f>('Data Saham'!Y82-'Data Saham'!Y81)/'Data Saham'!Y81</f>
        <v>-3.0567685589519649E-2</v>
      </c>
      <c r="Z82">
        <f>('Data Saham'!Z82-'Data Saham'!Z81)/'Data Saham'!Z81</f>
        <v>8.23045267489712E-3</v>
      </c>
      <c r="AA82">
        <f>('Data Saham'!AA82-'Data Saham'!AA81)/'Data Saham'!AA81</f>
        <v>2.0920502092050208E-2</v>
      </c>
      <c r="AB82">
        <f>('Data Saham'!AB82-'Data Saham'!AB81)/'Data Saham'!AB81</f>
        <v>0</v>
      </c>
      <c r="AC82">
        <f>('Data Saham'!AC82-'Data Saham'!AC81)/'Data Saham'!AC81</f>
        <v>3.937007874015748E-2</v>
      </c>
      <c r="AD82">
        <f>('Data Saham'!AD82-'Data Saham'!AD81)/'Data Saham'!AD81</f>
        <v>6.4171122994652413E-2</v>
      </c>
      <c r="AE82">
        <f>('Data Saham'!AE82-'Data Saham'!AE81)/'Data Saham'!AE81</f>
        <v>1.6574585635359115E-2</v>
      </c>
      <c r="AF82">
        <f>('Data Saham'!AF82-'Data Saham'!AF81)/'Data Saham'!AF81</f>
        <v>4.8128342245989303E-2</v>
      </c>
    </row>
    <row r="83" spans="1:32" x14ac:dyDescent="0.3">
      <c r="A83" s="4" t="s">
        <v>48</v>
      </c>
      <c r="B83">
        <f>('Data Saham'!B83-'Data Saham'!B82)/'Data Saham'!B82</f>
        <v>7.2194127277336335E-3</v>
      </c>
      <c r="C83">
        <f>('Data Saham'!C83-'Data Saham'!C82)/'Data Saham'!C82</f>
        <v>-2.9239766081871343E-3</v>
      </c>
      <c r="D83">
        <f>('Data Saham'!D83-'Data Saham'!D82)/'Data Saham'!D82</f>
        <v>0</v>
      </c>
      <c r="E83">
        <f>('Data Saham'!E83-'Data Saham'!E82)/'Data Saham'!E82</f>
        <v>-2.1276595744680851E-3</v>
      </c>
      <c r="F83">
        <f>('Data Saham'!F83-'Data Saham'!F82)/'Data Saham'!F82</f>
        <v>1.9753086419753086E-2</v>
      </c>
      <c r="G83">
        <f>('Data Saham'!G83-'Data Saham'!G82)/'Data Saham'!G82</f>
        <v>3.787878787878788E-3</v>
      </c>
      <c r="H83">
        <f>('Data Saham'!H83-'Data Saham'!H82)/'Data Saham'!H82</f>
        <v>1.0638297872340425E-2</v>
      </c>
      <c r="I83">
        <f>('Data Saham'!I83-'Data Saham'!I82)/'Data Saham'!I82</f>
        <v>-4.807692307692308E-3</v>
      </c>
      <c r="J83">
        <f>('Data Saham'!J83-'Data Saham'!J82)/'Data Saham'!J82</f>
        <v>-6.006006006006006E-3</v>
      </c>
      <c r="K83">
        <f>('Data Saham'!K83-'Data Saham'!K82)/'Data Saham'!K82</f>
        <v>1.3774104683195593E-2</v>
      </c>
      <c r="L83">
        <f>('Data Saham'!L83-'Data Saham'!L82)/'Data Saham'!L82</f>
        <v>3.3482142857142855E-3</v>
      </c>
      <c r="M83">
        <f>('Data Saham'!M83-'Data Saham'!M82)/'Data Saham'!M82</f>
        <v>-3.3333333333333335E-3</v>
      </c>
      <c r="N83">
        <f>('Data Saham'!N83-'Data Saham'!N82)/'Data Saham'!N82</f>
        <v>-9.3023255813953487E-3</v>
      </c>
      <c r="O83">
        <f>('Data Saham'!O83-'Data Saham'!O82)/'Data Saham'!O82</f>
        <v>3.1948881789137379E-3</v>
      </c>
      <c r="P83">
        <f>('Data Saham'!P83-'Data Saham'!P82)/'Data Saham'!P82</f>
        <v>-8.5470085470085479E-3</v>
      </c>
      <c r="Q83">
        <f>('Data Saham'!Q83-'Data Saham'!Q82)/'Data Saham'!Q82</f>
        <v>3.2128514056224897E-2</v>
      </c>
      <c r="R83">
        <f>('Data Saham'!R83-'Data Saham'!R82)/'Data Saham'!R82</f>
        <v>-1.3071895424836602E-2</v>
      </c>
      <c r="S83">
        <f>('Data Saham'!S83-'Data Saham'!S82)/'Data Saham'!S82</f>
        <v>-1.0373443983402489E-2</v>
      </c>
      <c r="T83">
        <f>('Data Saham'!T83-'Data Saham'!T82)/'Data Saham'!T82</f>
        <v>2.8571428571428571E-2</v>
      </c>
      <c r="U83">
        <f>('Data Saham'!U83-'Data Saham'!U82)/'Data Saham'!U82</f>
        <v>2.564102564102564E-2</v>
      </c>
      <c r="V83">
        <f>('Data Saham'!V83-'Data Saham'!V82)/'Data Saham'!V82</f>
        <v>-1.1061946902654867E-3</v>
      </c>
      <c r="W83">
        <f>('Data Saham'!W83-'Data Saham'!W82)/'Data Saham'!W82</f>
        <v>-9.852216748768473E-3</v>
      </c>
      <c r="X83">
        <f>('Data Saham'!X83-'Data Saham'!X82)/'Data Saham'!X82</f>
        <v>-1.6129032258064516E-2</v>
      </c>
      <c r="Y83">
        <f>('Data Saham'!Y83-'Data Saham'!Y82)/'Data Saham'!Y82</f>
        <v>-3.1531531531531529E-2</v>
      </c>
      <c r="Z83">
        <f>('Data Saham'!Z83-'Data Saham'!Z82)/'Data Saham'!Z82</f>
        <v>4.0816326530612249E-3</v>
      </c>
      <c r="AA83">
        <f>('Data Saham'!AA83-'Data Saham'!AA82)/'Data Saham'!AA82</f>
        <v>-2.4590163934426229E-2</v>
      </c>
      <c r="AB83">
        <f>('Data Saham'!AB83-'Data Saham'!AB82)/'Data Saham'!AB82</f>
        <v>0</v>
      </c>
      <c r="AC83">
        <f>('Data Saham'!AC83-'Data Saham'!AC82)/'Data Saham'!AC82</f>
        <v>-7.575757575757576E-3</v>
      </c>
      <c r="AD83">
        <f>('Data Saham'!AD83-'Data Saham'!AD82)/'Data Saham'!AD82</f>
        <v>0</v>
      </c>
      <c r="AE83">
        <f>('Data Saham'!AE83-'Data Saham'!AE82)/'Data Saham'!AE82</f>
        <v>-5.434782608695652E-3</v>
      </c>
      <c r="AF83">
        <f>('Data Saham'!AF83-'Data Saham'!AF82)/'Data Saham'!AF82</f>
        <v>5.1020408163265302E-3</v>
      </c>
    </row>
    <row r="84" spans="1:32" x14ac:dyDescent="0.3">
      <c r="A84" s="3" t="s">
        <v>49</v>
      </c>
      <c r="B84">
        <f>('Data Saham'!B84-'Data Saham'!B83)/'Data Saham'!B83</f>
        <v>1.3209084513113143E-2</v>
      </c>
      <c r="C84">
        <f>('Data Saham'!C84-'Data Saham'!C83)/'Data Saham'!C83</f>
        <v>0</v>
      </c>
      <c r="D84">
        <f>('Data Saham'!D84-'Data Saham'!D83)/'Data Saham'!D83</f>
        <v>2.5773195876288659E-3</v>
      </c>
      <c r="E84">
        <f>('Data Saham'!E84-'Data Saham'!E83)/'Data Saham'!E83</f>
        <v>6.3965884861407248E-3</v>
      </c>
      <c r="F84">
        <f>('Data Saham'!F84-'Data Saham'!F83)/'Data Saham'!F83</f>
        <v>-4.8426150121065378E-3</v>
      </c>
      <c r="G84">
        <f>('Data Saham'!G84-'Data Saham'!G83)/'Data Saham'!G83</f>
        <v>4.5283018867924525E-2</v>
      </c>
      <c r="H84">
        <f>('Data Saham'!H84-'Data Saham'!H83)/'Data Saham'!H83</f>
        <v>8.4210526315789472E-3</v>
      </c>
      <c r="I84">
        <f>('Data Saham'!I84-'Data Saham'!I83)/'Data Saham'!I83</f>
        <v>0</v>
      </c>
      <c r="J84">
        <f>('Data Saham'!J84-'Data Saham'!J83)/'Data Saham'!J83</f>
        <v>-6.0422960725075529E-3</v>
      </c>
      <c r="K84">
        <f>('Data Saham'!K84-'Data Saham'!K83)/'Data Saham'!K83</f>
        <v>-5.434782608695652E-3</v>
      </c>
      <c r="L84">
        <f>('Data Saham'!L84-'Data Saham'!L83)/'Data Saham'!L83</f>
        <v>-1.1123470522803114E-3</v>
      </c>
      <c r="M84">
        <f>('Data Saham'!M84-'Data Saham'!M83)/'Data Saham'!M83</f>
        <v>6.688963210702341E-3</v>
      </c>
      <c r="N84">
        <f>('Data Saham'!N84-'Data Saham'!N83)/'Data Saham'!N83</f>
        <v>3.7558685446009391E-2</v>
      </c>
      <c r="O84">
        <f>('Data Saham'!O84-'Data Saham'!O83)/'Data Saham'!O83</f>
        <v>3.1847133757961785E-3</v>
      </c>
      <c r="P84">
        <f>('Data Saham'!P84-'Data Saham'!P83)/'Data Saham'!P83</f>
        <v>1.7241379310344827E-2</v>
      </c>
      <c r="Q84">
        <f>('Data Saham'!Q84-'Data Saham'!Q83)/'Data Saham'!Q83</f>
        <v>3.8910505836575876E-2</v>
      </c>
      <c r="R84">
        <f>('Data Saham'!R84-'Data Saham'!R83)/'Data Saham'!R83</f>
        <v>-3.3112582781456954E-3</v>
      </c>
      <c r="S84">
        <f>('Data Saham'!S84-'Data Saham'!S83)/'Data Saham'!S83</f>
        <v>5.3459119496855348E-2</v>
      </c>
      <c r="T84">
        <f>('Data Saham'!T84-'Data Saham'!T83)/'Data Saham'!T83</f>
        <v>4.3209876543209874E-2</v>
      </c>
      <c r="U84">
        <f>('Data Saham'!U84-'Data Saham'!U83)/'Data Saham'!U83</f>
        <v>-3.5714285714285712E-2</v>
      </c>
      <c r="V84">
        <f>('Data Saham'!V84-'Data Saham'!V83)/'Data Saham'!V83</f>
        <v>1.1074197120708748E-3</v>
      </c>
      <c r="W84">
        <f>('Data Saham'!W84-'Data Saham'!W83)/'Data Saham'!W83</f>
        <v>8.45771144278607E-2</v>
      </c>
      <c r="X84">
        <f>('Data Saham'!X84-'Data Saham'!X83)/'Data Saham'!X83</f>
        <v>-4.0983606557377051E-3</v>
      </c>
      <c r="Y84">
        <f>('Data Saham'!Y84-'Data Saham'!Y83)/'Data Saham'!Y83</f>
        <v>5.1162790697674418E-2</v>
      </c>
      <c r="Z84">
        <f>('Data Saham'!Z84-'Data Saham'!Z83)/'Data Saham'!Z83</f>
        <v>0</v>
      </c>
      <c r="AA84">
        <f>('Data Saham'!AA84-'Data Saham'!AA83)/'Data Saham'!AA83</f>
        <v>-4.2016806722689074E-3</v>
      </c>
      <c r="AB84">
        <f>('Data Saham'!AB84-'Data Saham'!AB83)/'Data Saham'!AB83</f>
        <v>1.6949152542372881E-2</v>
      </c>
      <c r="AC84">
        <f>('Data Saham'!AC84-'Data Saham'!AC83)/'Data Saham'!AC83</f>
        <v>2.2900763358778626E-2</v>
      </c>
      <c r="AD84">
        <f>('Data Saham'!AD84-'Data Saham'!AD83)/'Data Saham'!AD83</f>
        <v>-1.507537688442211E-2</v>
      </c>
      <c r="AE84">
        <f>('Data Saham'!AE84-'Data Saham'!AE83)/'Data Saham'!AE83</f>
        <v>1.092896174863388E-2</v>
      </c>
      <c r="AF84">
        <f>('Data Saham'!AF84-'Data Saham'!AF83)/'Data Saham'!AF83</f>
        <v>-5.076142131979695E-3</v>
      </c>
    </row>
    <row r="85" spans="1:32" x14ac:dyDescent="0.3">
      <c r="A85" s="4" t="s">
        <v>50</v>
      </c>
      <c r="B85">
        <f>('Data Saham'!B85-'Data Saham'!B84)/'Data Saham'!B84</f>
        <v>3.4170346726096036E-3</v>
      </c>
      <c r="C85">
        <f>('Data Saham'!C85-'Data Saham'!C84)/'Data Saham'!C84</f>
        <v>-1.1730205278592375E-2</v>
      </c>
      <c r="D85">
        <f>('Data Saham'!D85-'Data Saham'!D84)/'Data Saham'!D84</f>
        <v>-7.7120822622107968E-3</v>
      </c>
      <c r="E85">
        <f>('Data Saham'!E85-'Data Saham'!E84)/'Data Saham'!E84</f>
        <v>4.2372881355932203E-3</v>
      </c>
      <c r="F85">
        <f>('Data Saham'!F85-'Data Saham'!F84)/'Data Saham'!F84</f>
        <v>2.4330900243309003E-3</v>
      </c>
      <c r="G85">
        <f>('Data Saham'!G85-'Data Saham'!G84)/'Data Saham'!G84</f>
        <v>0</v>
      </c>
      <c r="H85">
        <f>('Data Saham'!H85-'Data Saham'!H84)/'Data Saham'!H84</f>
        <v>-8.350730688935281E-3</v>
      </c>
      <c r="I85">
        <f>('Data Saham'!I85-'Data Saham'!I84)/'Data Saham'!I84</f>
        <v>4.830917874396135E-3</v>
      </c>
      <c r="J85">
        <f>('Data Saham'!J85-'Data Saham'!J84)/'Data Saham'!J84</f>
        <v>0</v>
      </c>
      <c r="K85">
        <f>('Data Saham'!K85-'Data Saham'!K84)/'Data Saham'!K84</f>
        <v>2.7322404371584699E-3</v>
      </c>
      <c r="L85">
        <f>('Data Saham'!L85-'Data Saham'!L84)/'Data Saham'!L84</f>
        <v>3.3407572383073497E-3</v>
      </c>
      <c r="M85">
        <f>('Data Saham'!M85-'Data Saham'!M84)/'Data Saham'!M84</f>
        <v>-1.3289036544850499E-2</v>
      </c>
      <c r="N85">
        <f>('Data Saham'!N85-'Data Saham'!N84)/'Data Saham'!N84</f>
        <v>9.5022624434389136E-2</v>
      </c>
      <c r="O85">
        <f>('Data Saham'!O85-'Data Saham'!O84)/'Data Saham'!O84</f>
        <v>3.8095238095238099E-2</v>
      </c>
      <c r="P85">
        <f>('Data Saham'!P85-'Data Saham'!P84)/'Data Saham'!P84</f>
        <v>-2.5423728813559324E-2</v>
      </c>
      <c r="Q85">
        <f>('Data Saham'!Q85-'Data Saham'!Q84)/'Data Saham'!Q84</f>
        <v>-1.4981273408239701E-2</v>
      </c>
      <c r="R85">
        <f>('Data Saham'!R85-'Data Saham'!R84)/'Data Saham'!R84</f>
        <v>3.3222591362126247E-3</v>
      </c>
      <c r="S85">
        <f>('Data Saham'!S85-'Data Saham'!S84)/'Data Saham'!S84</f>
        <v>-1.4925373134328358E-2</v>
      </c>
      <c r="T85">
        <f>('Data Saham'!T85-'Data Saham'!T84)/'Data Saham'!T84</f>
        <v>-5.9171597633136093E-3</v>
      </c>
      <c r="U85">
        <f>('Data Saham'!U85-'Data Saham'!U84)/'Data Saham'!U84</f>
        <v>-4.0740740740740744E-2</v>
      </c>
      <c r="V85">
        <f>('Data Saham'!V85-'Data Saham'!V84)/'Data Saham'!V84</f>
        <v>-5.5309734513274336E-3</v>
      </c>
      <c r="W85">
        <f>('Data Saham'!W85-'Data Saham'!W84)/'Data Saham'!W84</f>
        <v>3.669724770642202E-2</v>
      </c>
      <c r="X85">
        <f>('Data Saham'!X85-'Data Saham'!X84)/'Data Saham'!X84</f>
        <v>-2.0576131687242798E-2</v>
      </c>
      <c r="Y85">
        <f>('Data Saham'!Y85-'Data Saham'!Y84)/'Data Saham'!Y84</f>
        <v>-4.4247787610619468E-3</v>
      </c>
      <c r="Z85">
        <f>('Data Saham'!Z85-'Data Saham'!Z84)/'Data Saham'!Z84</f>
        <v>-4.0650406504065045E-3</v>
      </c>
      <c r="AA85">
        <f>('Data Saham'!AA85-'Data Saham'!AA84)/'Data Saham'!AA84</f>
        <v>-4.6413502109704644E-2</v>
      </c>
      <c r="AB85">
        <f>('Data Saham'!AB85-'Data Saham'!AB84)/'Data Saham'!AB84</f>
        <v>-3.3333333333333333E-2</v>
      </c>
      <c r="AC85">
        <f>('Data Saham'!AC85-'Data Saham'!AC84)/'Data Saham'!AC84</f>
        <v>5.9701492537313432E-2</v>
      </c>
      <c r="AD85">
        <f>('Data Saham'!AD85-'Data Saham'!AD84)/'Data Saham'!AD84</f>
        <v>-1.020408163265306E-2</v>
      </c>
      <c r="AE85">
        <f>('Data Saham'!AE85-'Data Saham'!AE84)/'Data Saham'!AE84</f>
        <v>-2.1621621621621623E-2</v>
      </c>
      <c r="AF85">
        <f>('Data Saham'!AF85-'Data Saham'!AF84)/'Data Saham'!AF84</f>
        <v>0</v>
      </c>
    </row>
    <row r="86" spans="1:32" x14ac:dyDescent="0.3">
      <c r="A86" s="3" t="s">
        <v>51</v>
      </c>
      <c r="B86">
        <f>('Data Saham'!B86-'Data Saham'!B85)/'Data Saham'!B85</f>
        <v>1.1798542653639471E-2</v>
      </c>
      <c r="C86">
        <f>('Data Saham'!C86-'Data Saham'!C85)/'Data Saham'!C85</f>
        <v>2.967359050445104E-3</v>
      </c>
      <c r="D86">
        <f>('Data Saham'!D86-'Data Saham'!D85)/'Data Saham'!D85</f>
        <v>-7.7720207253886009E-3</v>
      </c>
      <c r="E86">
        <f>('Data Saham'!E86-'Data Saham'!E85)/'Data Saham'!E85</f>
        <v>-1.2658227848101266E-2</v>
      </c>
      <c r="F86">
        <f>('Data Saham'!F86-'Data Saham'!F85)/'Data Saham'!F85</f>
        <v>-1.2135922330097087E-2</v>
      </c>
      <c r="G86">
        <f>('Data Saham'!G86-'Data Saham'!G85)/'Data Saham'!G85</f>
        <v>1.0830324909747292E-2</v>
      </c>
      <c r="H86">
        <f>('Data Saham'!H86-'Data Saham'!H85)/'Data Saham'!H85</f>
        <v>2.1052631578947368E-3</v>
      </c>
      <c r="I86">
        <f>('Data Saham'!I86-'Data Saham'!I85)/'Data Saham'!I85</f>
        <v>9.6153846153846159E-3</v>
      </c>
      <c r="J86">
        <f>('Data Saham'!J86-'Data Saham'!J85)/'Data Saham'!J85</f>
        <v>9.11854103343465E-3</v>
      </c>
      <c r="K86">
        <f>('Data Saham'!K86-'Data Saham'!K85)/'Data Saham'!K85</f>
        <v>2.7247956403269755E-2</v>
      </c>
      <c r="L86">
        <f>('Data Saham'!L86-'Data Saham'!L85)/'Data Saham'!L85</f>
        <v>1.1098779134295228E-3</v>
      </c>
      <c r="M86">
        <f>('Data Saham'!M86-'Data Saham'!M85)/'Data Saham'!M85</f>
        <v>7.407407407407407E-2</v>
      </c>
      <c r="N86">
        <f>('Data Saham'!N86-'Data Saham'!N85)/'Data Saham'!N85</f>
        <v>1.2396694214876033E-2</v>
      </c>
      <c r="O86">
        <f>('Data Saham'!O86-'Data Saham'!O85)/'Data Saham'!O85</f>
        <v>-3.0581039755351682E-3</v>
      </c>
      <c r="P86">
        <f>('Data Saham'!P86-'Data Saham'!P85)/'Data Saham'!P85</f>
        <v>0.14782608695652175</v>
      </c>
      <c r="Q86">
        <f>('Data Saham'!Q86-'Data Saham'!Q85)/'Data Saham'!Q85</f>
        <v>-7.6045627376425855E-3</v>
      </c>
      <c r="R86">
        <f>('Data Saham'!R86-'Data Saham'!R85)/'Data Saham'!R85</f>
        <v>-3.3112582781456954E-3</v>
      </c>
      <c r="S86">
        <f>('Data Saham'!S86-'Data Saham'!S85)/'Data Saham'!S85</f>
        <v>0</v>
      </c>
      <c r="T86">
        <f>('Data Saham'!T86-'Data Saham'!T85)/'Data Saham'!T85</f>
        <v>2.3809523809523808E-2</v>
      </c>
      <c r="U86">
        <f>('Data Saham'!U86-'Data Saham'!U85)/'Data Saham'!U85</f>
        <v>-3.8610038610038609E-2</v>
      </c>
      <c r="V86">
        <f>('Data Saham'!V86-'Data Saham'!V85)/'Data Saham'!V85</f>
        <v>2.1134593993325918E-2</v>
      </c>
      <c r="W86">
        <f>('Data Saham'!W86-'Data Saham'!W85)/'Data Saham'!W85</f>
        <v>5.7522123893805309E-2</v>
      </c>
      <c r="X86">
        <f>('Data Saham'!X86-'Data Saham'!X85)/'Data Saham'!X85</f>
        <v>2.100840336134454E-2</v>
      </c>
      <c r="Y86">
        <f>('Data Saham'!Y86-'Data Saham'!Y85)/'Data Saham'!Y85</f>
        <v>-8.8888888888888889E-3</v>
      </c>
      <c r="Z86">
        <f>('Data Saham'!Z86-'Data Saham'!Z85)/'Data Saham'!Z85</f>
        <v>-1.6326530612244899E-2</v>
      </c>
      <c r="AA86">
        <f>('Data Saham'!AA86-'Data Saham'!AA85)/'Data Saham'!AA85</f>
        <v>8.8495575221238937E-3</v>
      </c>
      <c r="AB86">
        <f>('Data Saham'!AB86-'Data Saham'!AB85)/'Data Saham'!AB85</f>
        <v>-1.7241379310344827E-2</v>
      </c>
      <c r="AC86">
        <f>('Data Saham'!AC86-'Data Saham'!AC85)/'Data Saham'!AC85</f>
        <v>0</v>
      </c>
      <c r="AD86">
        <f>('Data Saham'!AD86-'Data Saham'!AD85)/'Data Saham'!AD85</f>
        <v>1.0309278350515464E-2</v>
      </c>
      <c r="AE86">
        <f>('Data Saham'!AE86-'Data Saham'!AE85)/'Data Saham'!AE85</f>
        <v>-5.5248618784530384E-3</v>
      </c>
      <c r="AF86">
        <f>('Data Saham'!AF86-'Data Saham'!AF85)/'Data Saham'!AF85</f>
        <v>-4.0816326530612242E-2</v>
      </c>
    </row>
    <row r="87" spans="1:32" x14ac:dyDescent="0.3">
      <c r="A87" s="4" t="s">
        <v>52</v>
      </c>
      <c r="B87">
        <f>('Data Saham'!B87-'Data Saham'!B86)/'Data Saham'!B86</f>
        <v>-7.2247401053500684E-3</v>
      </c>
      <c r="C87">
        <f>('Data Saham'!C87-'Data Saham'!C86)/'Data Saham'!C86</f>
        <v>-5.9171597633136093E-3</v>
      </c>
      <c r="D87">
        <f>('Data Saham'!D87-'Data Saham'!D86)/'Data Saham'!D86</f>
        <v>2.6109660574412533E-3</v>
      </c>
      <c r="E87">
        <f>('Data Saham'!E87-'Data Saham'!E86)/'Data Saham'!E86</f>
        <v>-4.2735042735042739E-3</v>
      </c>
      <c r="F87">
        <f>('Data Saham'!F87-'Data Saham'!F86)/'Data Saham'!F86</f>
        <v>-4.9140049140049139E-3</v>
      </c>
      <c r="G87">
        <f>('Data Saham'!G87-'Data Saham'!G86)/'Data Saham'!G86</f>
        <v>1.7857142857142856E-2</v>
      </c>
      <c r="H87">
        <f>('Data Saham'!H87-'Data Saham'!H86)/'Data Saham'!H86</f>
        <v>-1.4705882352941176E-2</v>
      </c>
      <c r="I87">
        <f>('Data Saham'!I87-'Data Saham'!I86)/'Data Saham'!I86</f>
        <v>-1.4285714285714285E-2</v>
      </c>
      <c r="J87">
        <f>('Data Saham'!J87-'Data Saham'!J86)/'Data Saham'!J86</f>
        <v>-9.0361445783132526E-3</v>
      </c>
      <c r="K87">
        <f>('Data Saham'!K87-'Data Saham'!K86)/'Data Saham'!K86</f>
        <v>4.2440318302387266E-2</v>
      </c>
      <c r="L87">
        <f>('Data Saham'!L87-'Data Saham'!L86)/'Data Saham'!L86</f>
        <v>1.1086474501108648E-2</v>
      </c>
      <c r="M87">
        <f>('Data Saham'!M87-'Data Saham'!M86)/'Data Saham'!M86</f>
        <v>-7.2100313479623826E-2</v>
      </c>
      <c r="N87">
        <f>('Data Saham'!N87-'Data Saham'!N86)/'Data Saham'!N86</f>
        <v>-4.4897959183673466E-2</v>
      </c>
      <c r="O87">
        <f>('Data Saham'!O87-'Data Saham'!O86)/'Data Saham'!O86</f>
        <v>-1.5337423312883436E-2</v>
      </c>
      <c r="P87">
        <f>('Data Saham'!P87-'Data Saham'!P86)/'Data Saham'!P86</f>
        <v>-1.5151515151515152E-2</v>
      </c>
      <c r="Q87">
        <f>('Data Saham'!Q87-'Data Saham'!Q86)/'Data Saham'!Q86</f>
        <v>-1.532567049808429E-2</v>
      </c>
      <c r="R87">
        <f>('Data Saham'!R87-'Data Saham'!R86)/'Data Saham'!R86</f>
        <v>-2.9900332225913623E-2</v>
      </c>
      <c r="S87">
        <f>('Data Saham'!S87-'Data Saham'!S86)/'Data Saham'!S86</f>
        <v>-2.0202020202020202E-3</v>
      </c>
      <c r="T87">
        <f>('Data Saham'!T87-'Data Saham'!T86)/'Data Saham'!T86</f>
        <v>-8.7209302325581394E-3</v>
      </c>
      <c r="U87">
        <f>('Data Saham'!U87-'Data Saham'!U86)/'Data Saham'!U86</f>
        <v>-3.2128514056224897E-2</v>
      </c>
      <c r="V87">
        <f>('Data Saham'!V87-'Data Saham'!V86)/'Data Saham'!V86</f>
        <v>4.3572984749455342E-3</v>
      </c>
      <c r="W87">
        <f>('Data Saham'!W87-'Data Saham'!W86)/'Data Saham'!W86</f>
        <v>-7.9497907949790794E-2</v>
      </c>
      <c r="X87">
        <f>('Data Saham'!X87-'Data Saham'!X86)/'Data Saham'!X86</f>
        <v>4.11522633744856E-3</v>
      </c>
      <c r="Y87">
        <f>('Data Saham'!Y87-'Data Saham'!Y86)/'Data Saham'!Y86</f>
        <v>-8.9686098654708519E-3</v>
      </c>
      <c r="Z87">
        <f>('Data Saham'!Z87-'Data Saham'!Z86)/'Data Saham'!Z86</f>
        <v>-2.0746887966804978E-2</v>
      </c>
      <c r="AA87">
        <f>('Data Saham'!AA87-'Data Saham'!AA86)/'Data Saham'!AA86</f>
        <v>-2.6315789473684209E-2</v>
      </c>
      <c r="AB87">
        <f>('Data Saham'!AB87-'Data Saham'!AB86)/'Data Saham'!AB86</f>
        <v>1.7543859649122806E-2</v>
      </c>
      <c r="AC87">
        <f>('Data Saham'!AC87-'Data Saham'!AC86)/'Data Saham'!AC86</f>
        <v>-1.4084507042253521E-2</v>
      </c>
      <c r="AD87">
        <f>('Data Saham'!AD87-'Data Saham'!AD86)/'Data Saham'!AD86</f>
        <v>-1.020408163265306E-2</v>
      </c>
      <c r="AE87">
        <f>('Data Saham'!AE87-'Data Saham'!AE86)/'Data Saham'!AE86</f>
        <v>-2.7777777777777776E-2</v>
      </c>
      <c r="AF87">
        <f>('Data Saham'!AF87-'Data Saham'!AF86)/'Data Saham'!AF86</f>
        <v>0</v>
      </c>
    </row>
    <row r="88" spans="1:32" x14ac:dyDescent="0.3">
      <c r="A88" s="3" t="s">
        <v>53</v>
      </c>
      <c r="B88">
        <f>('Data Saham'!B88-'Data Saham'!B87)/'Data Saham'!B87</f>
        <v>1.6949544844337552E-2</v>
      </c>
      <c r="C88">
        <f>('Data Saham'!C88-'Data Saham'!C87)/'Data Saham'!C87</f>
        <v>2.976190476190476E-3</v>
      </c>
      <c r="D88">
        <f>('Data Saham'!D88-'Data Saham'!D87)/'Data Saham'!D87</f>
        <v>-1.0416666666666666E-2</v>
      </c>
      <c r="E88">
        <f>('Data Saham'!E88-'Data Saham'!E87)/'Data Saham'!E87</f>
        <v>4.2918454935622317E-3</v>
      </c>
      <c r="F88">
        <f>('Data Saham'!F88-'Data Saham'!F87)/'Data Saham'!F87</f>
        <v>1.2345679012345678E-2</v>
      </c>
      <c r="G88">
        <f>('Data Saham'!G88-'Data Saham'!G87)/'Data Saham'!G87</f>
        <v>0</v>
      </c>
      <c r="H88">
        <f>('Data Saham'!H88-'Data Saham'!H87)/'Data Saham'!H87</f>
        <v>5.5437100213219619E-2</v>
      </c>
      <c r="I88">
        <f>('Data Saham'!I88-'Data Saham'!I87)/'Data Saham'!I87</f>
        <v>9.6618357487922701E-3</v>
      </c>
      <c r="J88">
        <f>('Data Saham'!J88-'Data Saham'!J87)/'Data Saham'!J87</f>
        <v>1.5197568389057751E-2</v>
      </c>
      <c r="K88">
        <f>('Data Saham'!K88-'Data Saham'!K87)/'Data Saham'!K87</f>
        <v>2.7989821882951654E-2</v>
      </c>
      <c r="L88">
        <f>('Data Saham'!L88-'Data Saham'!L87)/'Data Saham'!L87</f>
        <v>5.4824561403508769E-3</v>
      </c>
      <c r="M88">
        <f>('Data Saham'!M88-'Data Saham'!M87)/'Data Saham'!M87</f>
        <v>2.7027027027027029E-2</v>
      </c>
      <c r="N88">
        <f>('Data Saham'!N88-'Data Saham'!N87)/'Data Saham'!N87</f>
        <v>4.2735042735042736E-2</v>
      </c>
      <c r="O88">
        <f>('Data Saham'!O88-'Data Saham'!O87)/'Data Saham'!O87</f>
        <v>3.1152647975077881E-3</v>
      </c>
      <c r="P88">
        <f>('Data Saham'!P88-'Data Saham'!P87)/'Data Saham'!P87</f>
        <v>3.8461538461538464E-2</v>
      </c>
      <c r="Q88">
        <f>('Data Saham'!Q88-'Data Saham'!Q87)/'Data Saham'!Q87</f>
        <v>3.8910505836575876E-3</v>
      </c>
      <c r="R88">
        <f>('Data Saham'!R88-'Data Saham'!R87)/'Data Saham'!R87</f>
        <v>2.3972602739726026E-2</v>
      </c>
      <c r="S88">
        <f>('Data Saham'!S88-'Data Saham'!S87)/'Data Saham'!S87</f>
        <v>1.7206477732793522E-2</v>
      </c>
      <c r="T88">
        <f>('Data Saham'!T88-'Data Saham'!T87)/'Data Saham'!T87</f>
        <v>-2.0527859237536656E-2</v>
      </c>
      <c r="U88">
        <f>('Data Saham'!U88-'Data Saham'!U87)/'Data Saham'!U87</f>
        <v>2.4896265560165973E-2</v>
      </c>
      <c r="V88">
        <f>('Data Saham'!V88-'Data Saham'!V87)/'Data Saham'!V87</f>
        <v>4.1214750542299353E-2</v>
      </c>
      <c r="W88">
        <f>('Data Saham'!W88-'Data Saham'!W87)/'Data Saham'!W87</f>
        <v>4.5454545454545452E-3</v>
      </c>
      <c r="X88">
        <f>('Data Saham'!X88-'Data Saham'!X87)/'Data Saham'!X87</f>
        <v>3.2786885245901641E-2</v>
      </c>
      <c r="Y88">
        <f>('Data Saham'!Y88-'Data Saham'!Y87)/'Data Saham'!Y87</f>
        <v>1.8099547511312219E-2</v>
      </c>
      <c r="Z88">
        <f>('Data Saham'!Z88-'Data Saham'!Z87)/'Data Saham'!Z87</f>
        <v>4.2372881355932203E-3</v>
      </c>
      <c r="AA88">
        <f>('Data Saham'!AA88-'Data Saham'!AA87)/'Data Saham'!AA87</f>
        <v>4.0540540540540543E-2</v>
      </c>
      <c r="AB88">
        <f>('Data Saham'!AB88-'Data Saham'!AB87)/'Data Saham'!AB87</f>
        <v>3.4482758620689655E-2</v>
      </c>
      <c r="AC88">
        <f>('Data Saham'!AC88-'Data Saham'!AC87)/'Data Saham'!AC87</f>
        <v>0</v>
      </c>
      <c r="AD88">
        <f>('Data Saham'!AD88-'Data Saham'!AD87)/'Data Saham'!AD87</f>
        <v>2.0618556701030927E-2</v>
      </c>
      <c r="AE88">
        <f>('Data Saham'!AE88-'Data Saham'!AE87)/'Data Saham'!AE87</f>
        <v>2.8571428571428571E-2</v>
      </c>
      <c r="AF88">
        <f>('Data Saham'!AF88-'Data Saham'!AF87)/'Data Saham'!AF87</f>
        <v>5.3191489361702126E-3</v>
      </c>
    </row>
    <row r="89" spans="1:32" x14ac:dyDescent="0.3">
      <c r="A89" s="4" t="s">
        <v>54</v>
      </c>
      <c r="B89">
        <f>('Data Saham'!B89-'Data Saham'!B88)/'Data Saham'!B88</f>
        <v>8.2565405001586607E-3</v>
      </c>
      <c r="C89">
        <f>('Data Saham'!C89-'Data Saham'!C88)/'Data Saham'!C88</f>
        <v>8.9020771513353119E-3</v>
      </c>
      <c r="D89">
        <f>('Data Saham'!D89-'Data Saham'!D88)/'Data Saham'!D88</f>
        <v>3.9473684210526314E-2</v>
      </c>
      <c r="E89">
        <f>('Data Saham'!E89-'Data Saham'!E88)/'Data Saham'!E88</f>
        <v>2.564102564102564E-2</v>
      </c>
      <c r="F89">
        <f>('Data Saham'!F89-'Data Saham'!F88)/'Data Saham'!F88</f>
        <v>2.9268292682926831E-2</v>
      </c>
      <c r="G89">
        <f>('Data Saham'!G89-'Data Saham'!G88)/'Data Saham'!G88</f>
        <v>-3.5087719298245615E-3</v>
      </c>
      <c r="H89">
        <f>('Data Saham'!H89-'Data Saham'!H88)/'Data Saham'!H88</f>
        <v>2.0202020202020204E-2</v>
      </c>
      <c r="I89">
        <f>('Data Saham'!I89-'Data Saham'!I88)/'Data Saham'!I88</f>
        <v>-9.5693779904306216E-3</v>
      </c>
      <c r="J89">
        <f>('Data Saham'!J89-'Data Saham'!J88)/'Data Saham'!J88</f>
        <v>0</v>
      </c>
      <c r="K89">
        <f>('Data Saham'!K89-'Data Saham'!K88)/'Data Saham'!K88</f>
        <v>-2.2277227722772276E-2</v>
      </c>
      <c r="L89">
        <f>('Data Saham'!L89-'Data Saham'!L88)/'Data Saham'!L88</f>
        <v>7.6335877862595417E-3</v>
      </c>
      <c r="M89">
        <f>('Data Saham'!M89-'Data Saham'!M88)/'Data Saham'!M88</f>
        <v>-3.2894736842105261E-3</v>
      </c>
      <c r="N89">
        <f>('Data Saham'!N89-'Data Saham'!N88)/'Data Saham'!N88</f>
        <v>-8.1967213114754103E-3</v>
      </c>
      <c r="O89">
        <f>('Data Saham'!O89-'Data Saham'!O88)/'Data Saham'!O88</f>
        <v>9.316770186335404E-3</v>
      </c>
      <c r="P89">
        <f>('Data Saham'!P89-'Data Saham'!P88)/'Data Saham'!P88</f>
        <v>-2.2222222222222223E-2</v>
      </c>
      <c r="Q89">
        <f>('Data Saham'!Q89-'Data Saham'!Q88)/'Data Saham'!Q88</f>
        <v>1.1627906976744186E-2</v>
      </c>
      <c r="R89">
        <f>('Data Saham'!R89-'Data Saham'!R88)/'Data Saham'!R88</f>
        <v>1.0033444816053512E-2</v>
      </c>
      <c r="S89">
        <f>('Data Saham'!S89-'Data Saham'!S88)/'Data Saham'!S88</f>
        <v>-1.4925373134328358E-2</v>
      </c>
      <c r="T89">
        <f>('Data Saham'!T89-'Data Saham'!T88)/'Data Saham'!T88</f>
        <v>-8.9820359281437123E-3</v>
      </c>
      <c r="U89">
        <f>('Data Saham'!U89-'Data Saham'!U88)/'Data Saham'!U88</f>
        <v>1.2145748987854251E-2</v>
      </c>
      <c r="V89">
        <f>('Data Saham'!V89-'Data Saham'!V88)/'Data Saham'!V88</f>
        <v>9.3749999999999997E-3</v>
      </c>
      <c r="W89">
        <f>('Data Saham'!W89-'Data Saham'!W88)/'Data Saham'!W88</f>
        <v>4.5248868778280547E-3</v>
      </c>
      <c r="X89">
        <f>('Data Saham'!X89-'Data Saham'!X88)/'Data Saham'!X88</f>
        <v>-1.5873015873015872E-2</v>
      </c>
      <c r="Y89">
        <f>('Data Saham'!Y89-'Data Saham'!Y88)/'Data Saham'!Y88</f>
        <v>-2.6666666666666668E-2</v>
      </c>
      <c r="Z89">
        <f>('Data Saham'!Z89-'Data Saham'!Z88)/'Data Saham'!Z88</f>
        <v>4.2194092827004216E-3</v>
      </c>
      <c r="AA89">
        <f>('Data Saham'!AA89-'Data Saham'!AA88)/'Data Saham'!AA88</f>
        <v>-8.658008658008658E-3</v>
      </c>
      <c r="AB89">
        <f>('Data Saham'!AB89-'Data Saham'!AB88)/'Data Saham'!AB88</f>
        <v>-1.6666666666666666E-2</v>
      </c>
      <c r="AC89">
        <f>('Data Saham'!AC89-'Data Saham'!AC88)/'Data Saham'!AC88</f>
        <v>0</v>
      </c>
      <c r="AD89">
        <f>('Data Saham'!AD89-'Data Saham'!AD88)/'Data Saham'!AD88</f>
        <v>0</v>
      </c>
      <c r="AE89">
        <f>('Data Saham'!AE89-'Data Saham'!AE88)/'Data Saham'!AE88</f>
        <v>5.5555555555555558E-3</v>
      </c>
      <c r="AF89">
        <f>('Data Saham'!AF89-'Data Saham'!AF88)/'Data Saham'!AF88</f>
        <v>-1.0582010582010581E-2</v>
      </c>
    </row>
    <row r="90" spans="1:32" x14ac:dyDescent="0.3">
      <c r="A90" s="3" t="s">
        <v>55</v>
      </c>
      <c r="B90">
        <f>('Data Saham'!B90-'Data Saham'!B89)/'Data Saham'!B89</f>
        <v>1.6731067999841141E-3</v>
      </c>
      <c r="C90">
        <f>('Data Saham'!C90-'Data Saham'!C89)/'Data Saham'!C89</f>
        <v>-5.8823529411764705E-3</v>
      </c>
      <c r="D90">
        <f>('Data Saham'!D90-'Data Saham'!D89)/'Data Saham'!D89</f>
        <v>-1.7721518987341773E-2</v>
      </c>
      <c r="E90">
        <f>('Data Saham'!E90-'Data Saham'!E89)/'Data Saham'!E89</f>
        <v>-2.2916666666666665E-2</v>
      </c>
      <c r="F90">
        <f>('Data Saham'!F90-'Data Saham'!F89)/'Data Saham'!F89</f>
        <v>-3.0805687203791468E-2</v>
      </c>
      <c r="G90">
        <f>('Data Saham'!G90-'Data Saham'!G89)/'Data Saham'!G89</f>
        <v>-7.0422535211267607E-3</v>
      </c>
      <c r="H90">
        <f>('Data Saham'!H90-'Data Saham'!H89)/'Data Saham'!H89</f>
        <v>-9.9009900990099011E-3</v>
      </c>
      <c r="I90">
        <f>('Data Saham'!I90-'Data Saham'!I89)/'Data Saham'!I89</f>
        <v>1.932367149758454E-2</v>
      </c>
      <c r="J90">
        <f>('Data Saham'!J90-'Data Saham'!J89)/'Data Saham'!J89</f>
        <v>5.9880239520958087E-3</v>
      </c>
      <c r="K90">
        <f>('Data Saham'!K90-'Data Saham'!K89)/'Data Saham'!K89</f>
        <v>-3.0379746835443037E-2</v>
      </c>
      <c r="L90">
        <f>('Data Saham'!L90-'Data Saham'!L89)/'Data Saham'!L89</f>
        <v>-6.4935064935064939E-3</v>
      </c>
      <c r="M90">
        <f>('Data Saham'!M90-'Data Saham'!M89)/'Data Saham'!M89</f>
        <v>-1.9801980198019802E-2</v>
      </c>
      <c r="N90">
        <f>('Data Saham'!N90-'Data Saham'!N89)/'Data Saham'!N89</f>
        <v>-2.0661157024793389E-2</v>
      </c>
      <c r="O90">
        <f>('Data Saham'!O90-'Data Saham'!O89)/'Data Saham'!O89</f>
        <v>-1.2307692307692308E-2</v>
      </c>
      <c r="P90">
        <f>('Data Saham'!P90-'Data Saham'!P89)/'Data Saham'!P89</f>
        <v>0</v>
      </c>
      <c r="Q90">
        <f>('Data Saham'!Q90-'Data Saham'!Q89)/'Data Saham'!Q89</f>
        <v>-2.2988505747126436E-2</v>
      </c>
      <c r="R90">
        <f>('Data Saham'!R90-'Data Saham'!R89)/'Data Saham'!R89</f>
        <v>-1.6556291390728478E-2</v>
      </c>
      <c r="S90">
        <f>('Data Saham'!S90-'Data Saham'!S89)/'Data Saham'!S89</f>
        <v>8.0808080808080808E-3</v>
      </c>
      <c r="T90">
        <f>('Data Saham'!T90-'Data Saham'!T89)/'Data Saham'!T89</f>
        <v>-2.7190332326283987E-2</v>
      </c>
      <c r="U90">
        <f>('Data Saham'!U90-'Data Saham'!U89)/'Data Saham'!U89</f>
        <v>-1.2E-2</v>
      </c>
      <c r="V90">
        <f>('Data Saham'!V90-'Data Saham'!V89)/'Data Saham'!V89</f>
        <v>-1.5479876160990712E-2</v>
      </c>
      <c r="W90">
        <f>('Data Saham'!W90-'Data Saham'!W89)/'Data Saham'!W89</f>
        <v>0.11711711711711711</v>
      </c>
      <c r="X90">
        <f>('Data Saham'!X90-'Data Saham'!X89)/'Data Saham'!X89</f>
        <v>0</v>
      </c>
      <c r="Y90">
        <f>('Data Saham'!Y90-'Data Saham'!Y89)/'Data Saham'!Y89</f>
        <v>4.5662100456621002E-3</v>
      </c>
      <c r="Z90">
        <f>('Data Saham'!Z90-'Data Saham'!Z89)/'Data Saham'!Z89</f>
        <v>-4.2016806722689074E-3</v>
      </c>
      <c r="AA90">
        <f>('Data Saham'!AA90-'Data Saham'!AA89)/'Data Saham'!AA89</f>
        <v>1.3100436681222707E-2</v>
      </c>
      <c r="AB90">
        <f>('Data Saham'!AB90-'Data Saham'!AB89)/'Data Saham'!AB89</f>
        <v>-1.6949152542372881E-2</v>
      </c>
      <c r="AC90">
        <f>('Data Saham'!AC90-'Data Saham'!AC89)/'Data Saham'!AC89</f>
        <v>7.1428571428571426E-3</v>
      </c>
      <c r="AD90">
        <f>('Data Saham'!AD90-'Data Saham'!AD89)/'Data Saham'!AD89</f>
        <v>2.0202020202020204E-2</v>
      </c>
      <c r="AE90">
        <f>('Data Saham'!AE90-'Data Saham'!AE89)/'Data Saham'!AE89</f>
        <v>-5.5248618784530384E-3</v>
      </c>
      <c r="AF90">
        <f>('Data Saham'!AF90-'Data Saham'!AF89)/'Data Saham'!AF89</f>
        <v>5.3475935828877002E-3</v>
      </c>
    </row>
    <row r="91" spans="1:32" x14ac:dyDescent="0.3">
      <c r="A91" s="4" t="s">
        <v>56</v>
      </c>
      <c r="B91">
        <f>('Data Saham'!B91-'Data Saham'!B90)/'Data Saham'!B90</f>
        <v>9.447869026314103E-3</v>
      </c>
      <c r="C91">
        <f>('Data Saham'!C91-'Data Saham'!C90)/'Data Saham'!C90</f>
        <v>5.9171597633136093E-3</v>
      </c>
      <c r="D91">
        <f>('Data Saham'!D91-'Data Saham'!D90)/'Data Saham'!D90</f>
        <v>1.5463917525773196E-2</v>
      </c>
      <c r="E91">
        <f>('Data Saham'!E91-'Data Saham'!E90)/'Data Saham'!E90</f>
        <v>2.1321961620469083E-3</v>
      </c>
      <c r="F91">
        <f>('Data Saham'!F91-'Data Saham'!F90)/'Data Saham'!F90</f>
        <v>2.9339853300733496E-2</v>
      </c>
      <c r="G91">
        <f>('Data Saham'!G91-'Data Saham'!G90)/'Data Saham'!G90</f>
        <v>1.4184397163120567E-2</v>
      </c>
      <c r="H91">
        <f>('Data Saham'!H91-'Data Saham'!H90)/'Data Saham'!H90</f>
        <v>0.02</v>
      </c>
      <c r="I91">
        <f>('Data Saham'!I91-'Data Saham'!I90)/'Data Saham'!I90</f>
        <v>-3.0805687203791468E-2</v>
      </c>
      <c r="J91">
        <f>('Data Saham'!J91-'Data Saham'!J90)/'Data Saham'!J90</f>
        <v>-2.976190476190476E-3</v>
      </c>
      <c r="K91">
        <f>('Data Saham'!K91-'Data Saham'!K90)/'Data Saham'!K90</f>
        <v>5.2219321148825066E-3</v>
      </c>
      <c r="L91">
        <f>('Data Saham'!L91-'Data Saham'!L90)/'Data Saham'!L90</f>
        <v>1.3071895424836602E-2</v>
      </c>
      <c r="M91">
        <f>('Data Saham'!M91-'Data Saham'!M90)/'Data Saham'!M90</f>
        <v>0</v>
      </c>
      <c r="N91">
        <f>('Data Saham'!N91-'Data Saham'!N90)/'Data Saham'!N90</f>
        <v>9.2827004219409287E-2</v>
      </c>
      <c r="O91">
        <f>('Data Saham'!O91-'Data Saham'!O90)/'Data Saham'!O90</f>
        <v>3.1152647975077881E-3</v>
      </c>
      <c r="P91">
        <f>('Data Saham'!P91-'Data Saham'!P90)/'Data Saham'!P90</f>
        <v>2.2727272727272728E-2</v>
      </c>
      <c r="Q91">
        <f>('Data Saham'!Q91-'Data Saham'!Q90)/'Data Saham'!Q90</f>
        <v>-1.1764705882352941E-2</v>
      </c>
      <c r="R91">
        <f>('Data Saham'!R91-'Data Saham'!R90)/'Data Saham'!R90</f>
        <v>-6.7340067340067337E-3</v>
      </c>
      <c r="S91">
        <f>('Data Saham'!S91-'Data Saham'!S90)/'Data Saham'!S90</f>
        <v>-4.0080160320641279E-3</v>
      </c>
      <c r="T91">
        <f>('Data Saham'!T91-'Data Saham'!T90)/'Data Saham'!T90</f>
        <v>2.4844720496894408E-2</v>
      </c>
      <c r="U91">
        <f>('Data Saham'!U91-'Data Saham'!U90)/'Data Saham'!U90</f>
        <v>4.048582995951417E-3</v>
      </c>
      <c r="V91">
        <f>('Data Saham'!V91-'Data Saham'!V90)/'Data Saham'!V90</f>
        <v>1.3626834381551363E-2</v>
      </c>
      <c r="W91">
        <f>('Data Saham'!W91-'Data Saham'!W90)/'Data Saham'!W90</f>
        <v>-4.0322580645161289E-3</v>
      </c>
      <c r="X91">
        <f>('Data Saham'!X91-'Data Saham'!X90)/'Data Saham'!X90</f>
        <v>6.4516129032258063E-2</v>
      </c>
      <c r="Y91">
        <f>('Data Saham'!Y91-'Data Saham'!Y90)/'Data Saham'!Y90</f>
        <v>4.5454545454545452E-3</v>
      </c>
      <c r="Z91">
        <f>('Data Saham'!Z91-'Data Saham'!Z90)/'Data Saham'!Z90</f>
        <v>-4.2194092827004216E-3</v>
      </c>
      <c r="AA91">
        <f>('Data Saham'!AA91-'Data Saham'!AA90)/'Data Saham'!AA90</f>
        <v>-3.017241379310345E-2</v>
      </c>
      <c r="AB91">
        <f>('Data Saham'!AB91-'Data Saham'!AB90)/'Data Saham'!AB90</f>
        <v>1.7241379310344827E-2</v>
      </c>
      <c r="AC91">
        <f>('Data Saham'!AC91-'Data Saham'!AC90)/'Data Saham'!AC90</f>
        <v>1.4184397163120567E-2</v>
      </c>
      <c r="AD91">
        <f>('Data Saham'!AD91-'Data Saham'!AD90)/'Data Saham'!AD90</f>
        <v>2.4752475247524754E-2</v>
      </c>
      <c r="AE91">
        <f>('Data Saham'!AE91-'Data Saham'!AE90)/'Data Saham'!AE90</f>
        <v>0</v>
      </c>
      <c r="AF91">
        <f>('Data Saham'!AF91-'Data Saham'!AF90)/'Data Saham'!AF90</f>
        <v>0</v>
      </c>
    </row>
    <row r="92" spans="1:32" x14ac:dyDescent="0.3">
      <c r="A92" s="3" t="s">
        <v>57</v>
      </c>
      <c r="B92">
        <f>('Data Saham'!B92-'Data Saham'!B91)/'Data Saham'!B91</f>
        <v>4.1235651240935942E-4</v>
      </c>
      <c r="C92">
        <f>('Data Saham'!C92-'Data Saham'!C91)/'Data Saham'!C91</f>
        <v>-1.1764705882352941E-2</v>
      </c>
      <c r="D92">
        <f>('Data Saham'!D92-'Data Saham'!D91)/'Data Saham'!D91</f>
        <v>-5.076142131979695E-3</v>
      </c>
      <c r="E92">
        <f>('Data Saham'!E92-'Data Saham'!E91)/'Data Saham'!E91</f>
        <v>2.1276595744680851E-3</v>
      </c>
      <c r="F92">
        <f>('Data Saham'!F92-'Data Saham'!F91)/'Data Saham'!F91</f>
        <v>-1.4251781472684086E-2</v>
      </c>
      <c r="G92">
        <f>('Data Saham'!G92-'Data Saham'!G91)/'Data Saham'!G91</f>
        <v>6.993006993006993E-3</v>
      </c>
      <c r="H92">
        <f>('Data Saham'!H92-'Data Saham'!H91)/'Data Saham'!H91</f>
        <v>0</v>
      </c>
      <c r="I92">
        <f>('Data Saham'!I92-'Data Saham'!I91)/'Data Saham'!I91</f>
        <v>-2.2004889975550123E-2</v>
      </c>
      <c r="J92">
        <f>('Data Saham'!J92-'Data Saham'!J91)/'Data Saham'!J91</f>
        <v>-8.9552238805970154E-3</v>
      </c>
      <c r="K92">
        <f>('Data Saham'!K92-'Data Saham'!K91)/'Data Saham'!K91</f>
        <v>-2.5974025974025974E-3</v>
      </c>
      <c r="L92">
        <f>('Data Saham'!L92-'Data Saham'!L91)/'Data Saham'!L91</f>
        <v>-1.0752688172043011E-3</v>
      </c>
      <c r="M92">
        <f>('Data Saham'!M92-'Data Saham'!M91)/'Data Saham'!M91</f>
        <v>1.0101010101010102E-2</v>
      </c>
      <c r="N92">
        <f>('Data Saham'!N92-'Data Saham'!N91)/'Data Saham'!N91</f>
        <v>1.9305019305019305E-2</v>
      </c>
      <c r="O92">
        <f>('Data Saham'!O92-'Data Saham'!O91)/'Data Saham'!O91</f>
        <v>1.2422360248447204E-2</v>
      </c>
      <c r="P92">
        <f>('Data Saham'!P92-'Data Saham'!P91)/'Data Saham'!P91</f>
        <v>0</v>
      </c>
      <c r="Q92">
        <f>('Data Saham'!Q92-'Data Saham'!Q91)/'Data Saham'!Q91</f>
        <v>1.1904761904761904E-2</v>
      </c>
      <c r="R92">
        <f>('Data Saham'!R92-'Data Saham'!R91)/'Data Saham'!R91</f>
        <v>1.0169491525423728E-2</v>
      </c>
      <c r="S92">
        <f>('Data Saham'!S92-'Data Saham'!S91)/'Data Saham'!S91</f>
        <v>-1.2072434607645875E-2</v>
      </c>
      <c r="T92">
        <f>('Data Saham'!T92-'Data Saham'!T91)/'Data Saham'!T91</f>
        <v>2.1212121212121213E-2</v>
      </c>
      <c r="U92">
        <f>('Data Saham'!U92-'Data Saham'!U91)/'Data Saham'!U91</f>
        <v>3.2258064516129031E-2</v>
      </c>
      <c r="V92">
        <f>('Data Saham'!V92-'Data Saham'!V91)/'Data Saham'!V91</f>
        <v>-1.0341261633919339E-3</v>
      </c>
      <c r="W92">
        <f>('Data Saham'!W92-'Data Saham'!W91)/'Data Saham'!W91</f>
        <v>5.6680161943319839E-2</v>
      </c>
      <c r="X92">
        <f>('Data Saham'!X92-'Data Saham'!X91)/'Data Saham'!X91</f>
        <v>1.893939393939394E-2</v>
      </c>
      <c r="Y92">
        <f>('Data Saham'!Y92-'Data Saham'!Y91)/'Data Saham'!Y91</f>
        <v>3.1674208144796379E-2</v>
      </c>
      <c r="Z92">
        <f>('Data Saham'!Z92-'Data Saham'!Z91)/'Data Saham'!Z91</f>
        <v>1.2711864406779662E-2</v>
      </c>
      <c r="AA92">
        <f>('Data Saham'!AA92-'Data Saham'!AA91)/'Data Saham'!AA91</f>
        <v>-4.4444444444444444E-3</v>
      </c>
      <c r="AB92">
        <f>('Data Saham'!AB92-'Data Saham'!AB91)/'Data Saham'!AB91</f>
        <v>0</v>
      </c>
      <c r="AC92">
        <f>('Data Saham'!AC92-'Data Saham'!AC91)/'Data Saham'!AC91</f>
        <v>2.7972027972027972E-2</v>
      </c>
      <c r="AD92">
        <f>('Data Saham'!AD92-'Data Saham'!AD91)/'Data Saham'!AD91</f>
        <v>9.6618357487922701E-3</v>
      </c>
      <c r="AE92">
        <f>('Data Saham'!AE92-'Data Saham'!AE91)/'Data Saham'!AE91</f>
        <v>-5.5555555555555558E-3</v>
      </c>
      <c r="AF92">
        <f>('Data Saham'!AF92-'Data Saham'!AF91)/'Data Saham'!AF91</f>
        <v>1.0638297872340425E-2</v>
      </c>
    </row>
    <row r="93" spans="1:32" x14ac:dyDescent="0.3">
      <c r="A93" s="4" t="s">
        <v>58</v>
      </c>
      <c r="B93">
        <f>('Data Saham'!B93-'Data Saham'!B92)/'Data Saham'!B92</f>
        <v>-8.9289582050719324E-3</v>
      </c>
      <c r="C93">
        <f>('Data Saham'!C93-'Data Saham'!C92)/'Data Saham'!C92</f>
        <v>-2.976190476190476E-3</v>
      </c>
      <c r="D93">
        <f>('Data Saham'!D93-'Data Saham'!D92)/'Data Saham'!D92</f>
        <v>-3.5714285714285712E-2</v>
      </c>
      <c r="E93">
        <f>('Data Saham'!E93-'Data Saham'!E92)/'Data Saham'!E92</f>
        <v>-1.9108280254777069E-2</v>
      </c>
      <c r="F93">
        <f>('Data Saham'!F93-'Data Saham'!F92)/'Data Saham'!F92</f>
        <v>-7.2289156626506026E-3</v>
      </c>
      <c r="G93">
        <f>('Data Saham'!G93-'Data Saham'!G92)/'Data Saham'!G92</f>
        <v>0</v>
      </c>
      <c r="H93">
        <f>('Data Saham'!H93-'Data Saham'!H92)/'Data Saham'!H92</f>
        <v>9.8039215686274508E-3</v>
      </c>
      <c r="I93">
        <f>('Data Saham'!I93-'Data Saham'!I92)/'Data Saham'!I92</f>
        <v>-7.4999999999999997E-3</v>
      </c>
      <c r="J93">
        <f>('Data Saham'!J93-'Data Saham'!J92)/'Data Saham'!J92</f>
        <v>9.0361445783132526E-3</v>
      </c>
      <c r="K93">
        <f>('Data Saham'!K93-'Data Saham'!K92)/'Data Saham'!K92</f>
        <v>-1.0416666666666666E-2</v>
      </c>
      <c r="L93">
        <f>('Data Saham'!L93-'Data Saham'!L92)/'Data Saham'!L92</f>
        <v>9.6878363832077503E-3</v>
      </c>
      <c r="M93">
        <f>('Data Saham'!M93-'Data Saham'!M92)/'Data Saham'!M92</f>
        <v>-3.3333333333333335E-3</v>
      </c>
      <c r="N93">
        <f>('Data Saham'!N93-'Data Saham'!N92)/'Data Saham'!N92</f>
        <v>-3.4090909090909088E-2</v>
      </c>
      <c r="O93">
        <f>('Data Saham'!O93-'Data Saham'!O92)/'Data Saham'!O92</f>
        <v>-6.1349693251533744E-3</v>
      </c>
      <c r="P93">
        <f>('Data Saham'!P93-'Data Saham'!P92)/'Data Saham'!P92</f>
        <v>-2.2222222222222223E-2</v>
      </c>
      <c r="Q93">
        <f>('Data Saham'!Q93-'Data Saham'!Q92)/'Data Saham'!Q92</f>
        <v>-1.5686274509803921E-2</v>
      </c>
      <c r="R93">
        <f>('Data Saham'!R93-'Data Saham'!R92)/'Data Saham'!R92</f>
        <v>-3.3557046979865771E-3</v>
      </c>
      <c r="S93">
        <f>('Data Saham'!S93-'Data Saham'!S92)/'Data Saham'!S92</f>
        <v>-4.0733197556008143E-3</v>
      </c>
      <c r="T93">
        <f>('Data Saham'!T93-'Data Saham'!T92)/'Data Saham'!T92</f>
        <v>-2.967359050445104E-2</v>
      </c>
      <c r="U93">
        <f>('Data Saham'!U93-'Data Saham'!U92)/'Data Saham'!U92</f>
        <v>-1.953125E-2</v>
      </c>
      <c r="V93">
        <f>('Data Saham'!V93-'Data Saham'!V92)/'Data Saham'!V92</f>
        <v>9.316770186335404E-3</v>
      </c>
      <c r="W93">
        <f>('Data Saham'!W93-'Data Saham'!W92)/'Data Saham'!W92</f>
        <v>0</v>
      </c>
      <c r="X93">
        <f>('Data Saham'!X93-'Data Saham'!X92)/'Data Saham'!X92</f>
        <v>-1.4869888475836431E-2</v>
      </c>
      <c r="Y93">
        <f>('Data Saham'!Y93-'Data Saham'!Y92)/'Data Saham'!Y92</f>
        <v>-4.3859649122807015E-2</v>
      </c>
      <c r="Z93">
        <f>('Data Saham'!Z93-'Data Saham'!Z92)/'Data Saham'!Z92</f>
        <v>-8.368200836820083E-3</v>
      </c>
      <c r="AA93">
        <f>('Data Saham'!AA93-'Data Saham'!AA92)/'Data Saham'!AA92</f>
        <v>-8.9285714285714281E-3</v>
      </c>
      <c r="AB93">
        <f>('Data Saham'!AB93-'Data Saham'!AB92)/'Data Saham'!AB92</f>
        <v>8.4745762711864403E-2</v>
      </c>
      <c r="AC93">
        <f>('Data Saham'!AC93-'Data Saham'!AC92)/'Data Saham'!AC92</f>
        <v>2.0408163265306121E-2</v>
      </c>
      <c r="AD93">
        <f>('Data Saham'!AD93-'Data Saham'!AD92)/'Data Saham'!AD92</f>
        <v>-4.7846889952153108E-3</v>
      </c>
      <c r="AE93">
        <f>('Data Saham'!AE93-'Data Saham'!AE92)/'Data Saham'!AE92</f>
        <v>1.6759776536312849E-2</v>
      </c>
      <c r="AF93">
        <f>('Data Saham'!AF93-'Data Saham'!AF92)/'Data Saham'!AF92</f>
        <v>-1.0526315789473684E-2</v>
      </c>
    </row>
    <row r="94" spans="1:32" x14ac:dyDescent="0.3">
      <c r="A94" s="3" t="s">
        <v>59</v>
      </c>
      <c r="B94">
        <f>('Data Saham'!B94-'Data Saham'!B93)/'Data Saham'!B93</f>
        <v>-8.6822457015930266E-3</v>
      </c>
      <c r="C94">
        <f>('Data Saham'!C94-'Data Saham'!C93)/'Data Saham'!C93</f>
        <v>-1.1940298507462687E-2</v>
      </c>
      <c r="D94">
        <f>('Data Saham'!D94-'Data Saham'!D93)/'Data Saham'!D93</f>
        <v>-1.8518518518518517E-2</v>
      </c>
      <c r="E94">
        <f>('Data Saham'!E94-'Data Saham'!E93)/'Data Saham'!E93</f>
        <v>-2.3809523809523808E-2</v>
      </c>
      <c r="F94">
        <f>('Data Saham'!F94-'Data Saham'!F93)/'Data Saham'!F93</f>
        <v>-2.6699029126213591E-2</v>
      </c>
      <c r="G94">
        <f>('Data Saham'!G94-'Data Saham'!G93)/'Data Saham'!G93</f>
        <v>0</v>
      </c>
      <c r="H94">
        <f>('Data Saham'!H94-'Data Saham'!H93)/'Data Saham'!H93</f>
        <v>-9.7087378640776691E-3</v>
      </c>
      <c r="I94">
        <f>('Data Saham'!I94-'Data Saham'!I93)/'Data Saham'!I93</f>
        <v>-1.2594458438287154E-2</v>
      </c>
      <c r="J94">
        <f>('Data Saham'!J94-'Data Saham'!J93)/'Data Saham'!J93</f>
        <v>1.7910447761194031E-2</v>
      </c>
      <c r="K94">
        <f>('Data Saham'!K94-'Data Saham'!K93)/'Data Saham'!K93</f>
        <v>-2.6315789473684209E-2</v>
      </c>
      <c r="L94">
        <f>('Data Saham'!L94-'Data Saham'!L93)/'Data Saham'!L93</f>
        <v>-1.9189765458422176E-2</v>
      </c>
      <c r="M94">
        <f>('Data Saham'!M94-'Data Saham'!M93)/'Data Saham'!M93</f>
        <v>-4.6822742474916385E-2</v>
      </c>
      <c r="N94">
        <f>('Data Saham'!N94-'Data Saham'!N93)/'Data Saham'!N93</f>
        <v>-7.4509803921568626E-2</v>
      </c>
      <c r="O94">
        <f>('Data Saham'!O94-'Data Saham'!O93)/'Data Saham'!O93</f>
        <v>6.1728395061728392E-3</v>
      </c>
      <c r="P94">
        <f>('Data Saham'!P94-'Data Saham'!P93)/'Data Saham'!P93</f>
        <v>-7.575757575757576E-2</v>
      </c>
      <c r="Q94">
        <f>('Data Saham'!Q94-'Data Saham'!Q93)/'Data Saham'!Q93</f>
        <v>3.9840637450199202E-3</v>
      </c>
      <c r="R94">
        <f>('Data Saham'!R94-'Data Saham'!R93)/'Data Saham'!R93</f>
        <v>-3.7037037037037035E-2</v>
      </c>
      <c r="S94">
        <f>('Data Saham'!S94-'Data Saham'!S93)/'Data Saham'!S93</f>
        <v>8.1799591002044997E-3</v>
      </c>
      <c r="T94">
        <f>('Data Saham'!T94-'Data Saham'!T93)/'Data Saham'!T93</f>
        <v>-2.1406727828746176E-2</v>
      </c>
      <c r="U94">
        <f>('Data Saham'!U94-'Data Saham'!U93)/'Data Saham'!U93</f>
        <v>-1.9920318725099601E-2</v>
      </c>
      <c r="V94">
        <f>('Data Saham'!V94-'Data Saham'!V93)/'Data Saham'!V93</f>
        <v>-9.2307692307692316E-3</v>
      </c>
      <c r="W94">
        <f>('Data Saham'!W94-'Data Saham'!W93)/'Data Saham'!W93</f>
        <v>7.6628352490421452E-3</v>
      </c>
      <c r="X94">
        <f>('Data Saham'!X94-'Data Saham'!X93)/'Data Saham'!X93</f>
        <v>1.1320754716981131E-2</v>
      </c>
      <c r="Y94">
        <f>('Data Saham'!Y94-'Data Saham'!Y93)/'Data Saham'!Y93</f>
        <v>6.4220183486238536E-2</v>
      </c>
      <c r="Z94">
        <f>('Data Saham'!Z94-'Data Saham'!Z93)/'Data Saham'!Z93</f>
        <v>-8.4388185654008432E-3</v>
      </c>
      <c r="AA94">
        <f>('Data Saham'!AA94-'Data Saham'!AA93)/'Data Saham'!AA93</f>
        <v>5.8558558558558557E-2</v>
      </c>
      <c r="AB94">
        <f>('Data Saham'!AB94-'Data Saham'!AB93)/'Data Saham'!AB93</f>
        <v>1.5625E-2</v>
      </c>
      <c r="AC94">
        <f>('Data Saham'!AC94-'Data Saham'!AC93)/'Data Saham'!AC93</f>
        <v>6.6666666666666671E-3</v>
      </c>
      <c r="AD94">
        <f>('Data Saham'!AD94-'Data Saham'!AD93)/'Data Saham'!AD93</f>
        <v>-9.6153846153846159E-3</v>
      </c>
      <c r="AE94">
        <f>('Data Saham'!AE94-'Data Saham'!AE93)/'Data Saham'!AE93</f>
        <v>-3.2967032967032968E-2</v>
      </c>
      <c r="AF94">
        <f>('Data Saham'!AF94-'Data Saham'!AF93)/'Data Saham'!AF93</f>
        <v>-2.1276595744680851E-2</v>
      </c>
    </row>
    <row r="95" spans="1:32" x14ac:dyDescent="0.3">
      <c r="A95" s="2">
        <v>45665</v>
      </c>
      <c r="B95">
        <f>('Data Saham'!B95-'Data Saham'!B94)/'Data Saham'!B94</f>
        <v>7.1389060358027952E-3</v>
      </c>
      <c r="C95">
        <f>('Data Saham'!C95-'Data Saham'!C94)/'Data Saham'!C94</f>
        <v>3.0211480362537764E-3</v>
      </c>
      <c r="D95">
        <f>('Data Saham'!D95-'Data Saham'!D94)/'Data Saham'!D94</f>
        <v>8.0862533692722376E-3</v>
      </c>
      <c r="E95">
        <f>('Data Saham'!E95-'Data Saham'!E94)/'Data Saham'!E94</f>
        <v>4.434589800443459E-3</v>
      </c>
      <c r="F95">
        <f>('Data Saham'!F95-'Data Saham'!F94)/'Data Saham'!F94</f>
        <v>0</v>
      </c>
      <c r="G95">
        <f>('Data Saham'!G95-'Data Saham'!G94)/'Data Saham'!G94</f>
        <v>3.4722222222222224E-2</v>
      </c>
      <c r="H95">
        <f>('Data Saham'!H95-'Data Saham'!H94)/'Data Saham'!H94</f>
        <v>-1.9607843137254902E-2</v>
      </c>
      <c r="I95">
        <f>('Data Saham'!I95-'Data Saham'!I94)/'Data Saham'!I94</f>
        <v>1.020408163265306E-2</v>
      </c>
      <c r="J95">
        <f>('Data Saham'!J95-'Data Saham'!J94)/'Data Saham'!J94</f>
        <v>-5.8651026392961877E-3</v>
      </c>
      <c r="K95">
        <f>('Data Saham'!K95-'Data Saham'!K94)/'Data Saham'!K94</f>
        <v>8.1081081081081086E-3</v>
      </c>
      <c r="L95">
        <f>('Data Saham'!L95-'Data Saham'!L94)/'Data Saham'!L94</f>
        <v>-3.2608695652173911E-3</v>
      </c>
      <c r="M95">
        <f>('Data Saham'!M95-'Data Saham'!M94)/'Data Saham'!M94</f>
        <v>1.0526315789473684E-2</v>
      </c>
      <c r="N95">
        <f>('Data Saham'!N95-'Data Saham'!N94)/'Data Saham'!N94</f>
        <v>3.8135593220338986E-2</v>
      </c>
      <c r="O95">
        <f>('Data Saham'!O95-'Data Saham'!O94)/'Data Saham'!O94</f>
        <v>-6.1349693251533744E-3</v>
      </c>
      <c r="P95">
        <f>('Data Saham'!P95-'Data Saham'!P94)/'Data Saham'!P94</f>
        <v>3.2786885245901641E-2</v>
      </c>
      <c r="Q95">
        <f>('Data Saham'!Q95-'Data Saham'!Q94)/'Data Saham'!Q94</f>
        <v>1.984126984126984E-2</v>
      </c>
      <c r="R95">
        <f>('Data Saham'!R95-'Data Saham'!R94)/'Data Saham'!R94</f>
        <v>0</v>
      </c>
      <c r="S95">
        <f>('Data Saham'!S95-'Data Saham'!S94)/'Data Saham'!S94</f>
        <v>-3.2454361054766734E-2</v>
      </c>
      <c r="T95">
        <f>('Data Saham'!T95-'Data Saham'!T94)/'Data Saham'!T94</f>
        <v>5.3124999999999999E-2</v>
      </c>
      <c r="U95">
        <f>('Data Saham'!U95-'Data Saham'!U94)/'Data Saham'!U94</f>
        <v>2.032520325203252E-2</v>
      </c>
      <c r="V95">
        <f>('Data Saham'!V95-'Data Saham'!V94)/'Data Saham'!V94</f>
        <v>-5.175983436853002E-3</v>
      </c>
      <c r="W95">
        <f>('Data Saham'!W95-'Data Saham'!W94)/'Data Saham'!W94</f>
        <v>2.2813688212927757E-2</v>
      </c>
      <c r="X95">
        <f>('Data Saham'!X95-'Data Saham'!X94)/'Data Saham'!X94</f>
        <v>-1.1194029850746268E-2</v>
      </c>
      <c r="Y95">
        <f>('Data Saham'!Y95-'Data Saham'!Y94)/'Data Saham'!Y94</f>
        <v>0</v>
      </c>
      <c r="Z95">
        <f>('Data Saham'!Z95-'Data Saham'!Z94)/'Data Saham'!Z94</f>
        <v>4.2553191489361703E-3</v>
      </c>
      <c r="AA95">
        <f>('Data Saham'!AA95-'Data Saham'!AA94)/'Data Saham'!AA94</f>
        <v>2.553191489361702E-2</v>
      </c>
      <c r="AB95">
        <f>('Data Saham'!AB95-'Data Saham'!AB94)/'Data Saham'!AB94</f>
        <v>0</v>
      </c>
      <c r="AC95">
        <f>('Data Saham'!AC95-'Data Saham'!AC94)/'Data Saham'!AC94</f>
        <v>3.9735099337748346E-2</v>
      </c>
      <c r="AD95">
        <f>('Data Saham'!AD95-'Data Saham'!AD94)/'Data Saham'!AD94</f>
        <v>1.4563106796116505E-2</v>
      </c>
      <c r="AE95">
        <f>('Data Saham'!AE95-'Data Saham'!AE94)/'Data Saham'!AE94</f>
        <v>5.681818181818182E-3</v>
      </c>
      <c r="AF95">
        <f>('Data Saham'!AF95-'Data Saham'!AF94)/'Data Saham'!AF94</f>
        <v>-2.1739130434782608E-2</v>
      </c>
    </row>
    <row r="96" spans="1:32" x14ac:dyDescent="0.3">
      <c r="A96" s="1">
        <v>45755</v>
      </c>
      <c r="B96">
        <f>('Data Saham'!B96-'Data Saham'!B95)/'Data Saham'!B95</f>
        <v>-9.7004817074546976E-3</v>
      </c>
      <c r="C96">
        <f>('Data Saham'!C96-'Data Saham'!C95)/'Data Saham'!C95</f>
        <v>-3.0120481927710845E-3</v>
      </c>
      <c r="D96">
        <f>('Data Saham'!D96-'Data Saham'!D95)/'Data Saham'!D95</f>
        <v>-8.0213903743315516E-3</v>
      </c>
      <c r="E96">
        <f>('Data Saham'!E96-'Data Saham'!E95)/'Data Saham'!E95</f>
        <v>1.9867549668874173E-2</v>
      </c>
      <c r="F96">
        <f>('Data Saham'!F96-'Data Saham'!F95)/'Data Saham'!F95</f>
        <v>0</v>
      </c>
      <c r="G96">
        <f>('Data Saham'!G96-'Data Saham'!G95)/'Data Saham'!G95</f>
        <v>1.6778523489932886E-2</v>
      </c>
      <c r="H96">
        <f>('Data Saham'!H96-'Data Saham'!H95)/'Data Saham'!H95</f>
        <v>5.0000000000000001E-3</v>
      </c>
      <c r="I96">
        <f>('Data Saham'!I96-'Data Saham'!I95)/'Data Saham'!I95</f>
        <v>-3.5353535353535352E-2</v>
      </c>
      <c r="J96">
        <f>('Data Saham'!J96-'Data Saham'!J95)/'Data Saham'!J95</f>
        <v>-1.1799410029498525E-2</v>
      </c>
      <c r="K96">
        <f>('Data Saham'!K96-'Data Saham'!K95)/'Data Saham'!K95</f>
        <v>1.876675603217158E-2</v>
      </c>
      <c r="L96">
        <f>('Data Saham'!L96-'Data Saham'!L95)/'Data Saham'!L95</f>
        <v>7.6335877862595417E-3</v>
      </c>
      <c r="M96">
        <f>('Data Saham'!M96-'Data Saham'!M95)/'Data Saham'!M95</f>
        <v>1.0416666666666666E-2</v>
      </c>
      <c r="N96">
        <f>('Data Saham'!N96-'Data Saham'!N95)/'Data Saham'!N95</f>
        <v>-3.6734693877551024E-2</v>
      </c>
      <c r="O96">
        <f>('Data Saham'!O96-'Data Saham'!O95)/'Data Saham'!O95</f>
        <v>9.2592592592592587E-3</v>
      </c>
      <c r="P96">
        <f>('Data Saham'!P96-'Data Saham'!P95)/'Data Saham'!P95</f>
        <v>7.9365079365079361E-3</v>
      </c>
      <c r="Q96">
        <f>('Data Saham'!Q96-'Data Saham'!Q95)/'Data Saham'!Q95</f>
        <v>1.9455252918287938E-2</v>
      </c>
      <c r="R96">
        <f>('Data Saham'!R96-'Data Saham'!R95)/'Data Saham'!R95</f>
        <v>-1.048951048951049E-2</v>
      </c>
      <c r="S96">
        <f>('Data Saham'!S96-'Data Saham'!S95)/'Data Saham'!S95</f>
        <v>6.2893081761006293E-3</v>
      </c>
      <c r="T96">
        <f>('Data Saham'!T96-'Data Saham'!T95)/'Data Saham'!T95</f>
        <v>8.9020771513353119E-3</v>
      </c>
      <c r="U96">
        <f>('Data Saham'!U96-'Data Saham'!U95)/'Data Saham'!U95</f>
        <v>-1.9920318725099601E-2</v>
      </c>
      <c r="V96">
        <f>('Data Saham'!V96-'Data Saham'!V95)/'Data Saham'!V95</f>
        <v>1.9771071800208116E-2</v>
      </c>
      <c r="W96">
        <f>('Data Saham'!W96-'Data Saham'!W95)/'Data Saham'!W95</f>
        <v>-4.4609665427509292E-2</v>
      </c>
      <c r="X96">
        <f>('Data Saham'!X96-'Data Saham'!X95)/'Data Saham'!X95</f>
        <v>-2.2641509433962263E-2</v>
      </c>
      <c r="Y96">
        <f>('Data Saham'!Y96-'Data Saham'!Y95)/'Data Saham'!Y95</f>
        <v>-1.2931034482758621E-2</v>
      </c>
      <c r="Z96">
        <f>('Data Saham'!Z96-'Data Saham'!Z95)/'Data Saham'!Z95</f>
        <v>8.4745762711864406E-3</v>
      </c>
      <c r="AA96">
        <f>('Data Saham'!AA96-'Data Saham'!AA95)/'Data Saham'!AA95</f>
        <v>-3.3195020746887967E-2</v>
      </c>
      <c r="AB96">
        <f>('Data Saham'!AB96-'Data Saham'!AB95)/'Data Saham'!AB95</f>
        <v>-3.0769230769230771E-2</v>
      </c>
      <c r="AC96">
        <f>('Data Saham'!AC96-'Data Saham'!AC95)/'Data Saham'!AC95</f>
        <v>5.7324840764331211E-2</v>
      </c>
      <c r="AD96">
        <f>('Data Saham'!AD96-'Data Saham'!AD95)/'Data Saham'!AD95</f>
        <v>-4.7846889952153108E-3</v>
      </c>
      <c r="AE96">
        <f>('Data Saham'!AE96-'Data Saham'!AE95)/'Data Saham'!AE95</f>
        <v>-5.6497175141242938E-3</v>
      </c>
      <c r="AF96">
        <f>('Data Saham'!AF96-'Data Saham'!AF95)/'Data Saham'!AF95</f>
        <v>-1.1111111111111112E-2</v>
      </c>
    </row>
    <row r="97" spans="1:32" x14ac:dyDescent="0.3">
      <c r="A97" s="2">
        <v>45785</v>
      </c>
      <c r="B97">
        <f>('Data Saham'!B97-'Data Saham'!B96)/'Data Saham'!B96</f>
        <v>6.7705786607543507E-3</v>
      </c>
      <c r="C97">
        <f>('Data Saham'!C97-'Data Saham'!C96)/'Data Saham'!C96</f>
        <v>1.812688821752266E-2</v>
      </c>
      <c r="D97">
        <f>('Data Saham'!D97-'Data Saham'!D96)/'Data Saham'!D96</f>
        <v>8.0862533692722376E-3</v>
      </c>
      <c r="E97">
        <f>('Data Saham'!E97-'Data Saham'!E96)/'Data Saham'!E96</f>
        <v>2.813852813852814E-2</v>
      </c>
      <c r="F97">
        <f>('Data Saham'!F97-'Data Saham'!F96)/'Data Saham'!F96</f>
        <v>5.2369077306733167E-2</v>
      </c>
      <c r="G97">
        <f>('Data Saham'!G97-'Data Saham'!G96)/'Data Saham'!G96</f>
        <v>0</v>
      </c>
      <c r="H97">
        <f>('Data Saham'!H97-'Data Saham'!H96)/'Data Saham'!H96</f>
        <v>0</v>
      </c>
      <c r="I97">
        <f>('Data Saham'!I97-'Data Saham'!I96)/'Data Saham'!I96</f>
        <v>2.617801047120419E-3</v>
      </c>
      <c r="J97">
        <f>('Data Saham'!J97-'Data Saham'!J96)/'Data Saham'!J96</f>
        <v>-5.9701492537313433E-3</v>
      </c>
      <c r="K97">
        <f>('Data Saham'!K97-'Data Saham'!K96)/'Data Saham'!K96</f>
        <v>-1.8421052631578946E-2</v>
      </c>
      <c r="L97">
        <f>('Data Saham'!L97-'Data Saham'!L96)/'Data Saham'!L96</f>
        <v>-3.246753246753247E-3</v>
      </c>
      <c r="M97">
        <f>('Data Saham'!M97-'Data Saham'!M96)/'Data Saham'!M96</f>
        <v>1.0309278350515464E-2</v>
      </c>
      <c r="N97">
        <f>('Data Saham'!N97-'Data Saham'!N96)/'Data Saham'!N96</f>
        <v>-1.2711864406779662E-2</v>
      </c>
      <c r="O97">
        <f>('Data Saham'!O97-'Data Saham'!O96)/'Data Saham'!O96</f>
        <v>-6.1162079510703364E-3</v>
      </c>
      <c r="P97">
        <f>('Data Saham'!P97-'Data Saham'!P96)/'Data Saham'!P96</f>
        <v>-2.3622047244094488E-2</v>
      </c>
      <c r="Q97">
        <f>('Data Saham'!Q97-'Data Saham'!Q96)/'Data Saham'!Q96</f>
        <v>-1.5267175572519083E-2</v>
      </c>
      <c r="R97">
        <f>('Data Saham'!R97-'Data Saham'!R96)/'Data Saham'!R96</f>
        <v>0</v>
      </c>
      <c r="S97">
        <f>('Data Saham'!S97-'Data Saham'!S96)/'Data Saham'!S96</f>
        <v>-2.0833333333333332E-2</v>
      </c>
      <c r="T97">
        <f>('Data Saham'!T97-'Data Saham'!T96)/'Data Saham'!T96</f>
        <v>-2.9411764705882353E-2</v>
      </c>
      <c r="U97">
        <f>('Data Saham'!U97-'Data Saham'!U96)/'Data Saham'!U96</f>
        <v>2.032520325203252E-2</v>
      </c>
      <c r="V97">
        <f>('Data Saham'!V97-'Data Saham'!V96)/'Data Saham'!V96</f>
        <v>-6.1224489795918364E-3</v>
      </c>
      <c r="W97">
        <f>('Data Saham'!W97-'Data Saham'!W96)/'Data Saham'!W96</f>
        <v>-4.2801556420233464E-2</v>
      </c>
      <c r="X97">
        <f>('Data Saham'!X97-'Data Saham'!X96)/'Data Saham'!X96</f>
        <v>1.5444015444015444E-2</v>
      </c>
      <c r="Y97">
        <f>('Data Saham'!Y97-'Data Saham'!Y96)/'Data Saham'!Y96</f>
        <v>5.6768558951965066E-2</v>
      </c>
      <c r="Z97">
        <f>('Data Saham'!Z97-'Data Saham'!Z96)/'Data Saham'!Z96</f>
        <v>1.680672268907563E-2</v>
      </c>
      <c r="AA97">
        <f>('Data Saham'!AA97-'Data Saham'!AA96)/'Data Saham'!AA96</f>
        <v>-1.2875536480686695E-2</v>
      </c>
      <c r="AB97">
        <f>('Data Saham'!AB97-'Data Saham'!AB96)/'Data Saham'!AB96</f>
        <v>3.1746031746031744E-2</v>
      </c>
      <c r="AC97">
        <f>('Data Saham'!AC97-'Data Saham'!AC96)/'Data Saham'!AC96</f>
        <v>3.0120481927710843E-2</v>
      </c>
      <c r="AD97">
        <f>('Data Saham'!AD97-'Data Saham'!AD96)/'Data Saham'!AD96</f>
        <v>1.9230769230769232E-2</v>
      </c>
      <c r="AE97">
        <f>('Data Saham'!AE97-'Data Saham'!AE96)/'Data Saham'!AE96</f>
        <v>3.4090909090909088E-2</v>
      </c>
      <c r="AF97">
        <f>('Data Saham'!AF97-'Data Saham'!AF96)/'Data Saham'!AF96</f>
        <v>2.247191011235955E-2</v>
      </c>
    </row>
    <row r="98" spans="1:32" x14ac:dyDescent="0.3">
      <c r="A98" s="1">
        <v>45816</v>
      </c>
      <c r="B98">
        <f>('Data Saham'!B98-'Data Saham'!B97)/'Data Saham'!B97</f>
        <v>-1.5222502691215525E-3</v>
      </c>
      <c r="C98">
        <f>('Data Saham'!C98-'Data Saham'!C97)/'Data Saham'!C97</f>
        <v>-1.483679525222552E-2</v>
      </c>
      <c r="D98">
        <f>('Data Saham'!D98-'Data Saham'!D97)/'Data Saham'!D97</f>
        <v>-8.0213903743315516E-3</v>
      </c>
      <c r="E98">
        <f>('Data Saham'!E98-'Data Saham'!E97)/'Data Saham'!E97</f>
        <v>-1.0526315789473684E-2</v>
      </c>
      <c r="F98">
        <f>('Data Saham'!F98-'Data Saham'!F97)/'Data Saham'!F97</f>
        <v>-2.843601895734597E-2</v>
      </c>
      <c r="G98">
        <f>('Data Saham'!G98-'Data Saham'!G97)/'Data Saham'!G97</f>
        <v>-1.3201320132013201E-2</v>
      </c>
      <c r="H98">
        <f>('Data Saham'!H98-'Data Saham'!H97)/'Data Saham'!H97</f>
        <v>-2.4875621890547265E-2</v>
      </c>
      <c r="I98">
        <f>('Data Saham'!I98-'Data Saham'!I97)/'Data Saham'!I97</f>
        <v>-2.6109660574412533E-3</v>
      </c>
      <c r="J98">
        <f>('Data Saham'!J98-'Data Saham'!J97)/'Data Saham'!J97</f>
        <v>-1.5015015015015015E-2</v>
      </c>
      <c r="K98">
        <f>('Data Saham'!K98-'Data Saham'!K97)/'Data Saham'!K97</f>
        <v>-2.6809651474530832E-3</v>
      </c>
      <c r="L98">
        <f>('Data Saham'!L98-'Data Saham'!L97)/'Data Saham'!L97</f>
        <v>2.1715526601520088E-3</v>
      </c>
      <c r="M98">
        <f>('Data Saham'!M98-'Data Saham'!M97)/'Data Saham'!M97</f>
        <v>4.7619047619047616E-2</v>
      </c>
      <c r="N98">
        <f>('Data Saham'!N98-'Data Saham'!N97)/'Data Saham'!N97</f>
        <v>3.0042918454935622E-2</v>
      </c>
      <c r="O98">
        <f>('Data Saham'!O98-'Data Saham'!O97)/'Data Saham'!O97</f>
        <v>0.04</v>
      </c>
      <c r="P98">
        <f>('Data Saham'!P98-'Data Saham'!P97)/'Data Saham'!P97</f>
        <v>-1.6129032258064516E-2</v>
      </c>
      <c r="Q98">
        <f>('Data Saham'!Q98-'Data Saham'!Q97)/'Data Saham'!Q97</f>
        <v>0</v>
      </c>
      <c r="R98">
        <f>('Data Saham'!R98-'Data Saham'!R97)/'Data Saham'!R97</f>
        <v>-1.4134275618374558E-2</v>
      </c>
      <c r="S98">
        <f>('Data Saham'!S98-'Data Saham'!S97)/'Data Saham'!S97</f>
        <v>-1.7021276595744681E-2</v>
      </c>
      <c r="T98">
        <f>('Data Saham'!T98-'Data Saham'!T97)/'Data Saham'!T97</f>
        <v>-1.8181818181818181E-2</v>
      </c>
      <c r="U98">
        <f>('Data Saham'!U98-'Data Saham'!U97)/'Data Saham'!U97</f>
        <v>3.9840637450199202E-3</v>
      </c>
      <c r="V98">
        <f>('Data Saham'!V98-'Data Saham'!V97)/'Data Saham'!V97</f>
        <v>-1.2320328542094456E-2</v>
      </c>
      <c r="W98">
        <f>('Data Saham'!W98-'Data Saham'!W97)/'Data Saham'!W97</f>
        <v>1.2195121951219513E-2</v>
      </c>
      <c r="X98">
        <f>('Data Saham'!X98-'Data Saham'!X97)/'Data Saham'!X97</f>
        <v>-3.4220532319391636E-2</v>
      </c>
      <c r="Y98">
        <f>('Data Saham'!Y98-'Data Saham'!Y97)/'Data Saham'!Y97</f>
        <v>-4.1322314049586778E-2</v>
      </c>
      <c r="Z98">
        <f>('Data Saham'!Z98-'Data Saham'!Z97)/'Data Saham'!Z97</f>
        <v>0</v>
      </c>
      <c r="AA98">
        <f>('Data Saham'!AA98-'Data Saham'!AA97)/'Data Saham'!AA97</f>
        <v>3.0434782608695653E-2</v>
      </c>
      <c r="AB98">
        <f>('Data Saham'!AB98-'Data Saham'!AB97)/'Data Saham'!AB97</f>
        <v>0</v>
      </c>
      <c r="AC98">
        <f>('Data Saham'!AC98-'Data Saham'!AC97)/'Data Saham'!AC97</f>
        <v>0</v>
      </c>
      <c r="AD98">
        <f>('Data Saham'!AD98-'Data Saham'!AD97)/'Data Saham'!AD97</f>
        <v>-9.433962264150943E-3</v>
      </c>
      <c r="AE98">
        <f>('Data Saham'!AE98-'Data Saham'!AE97)/'Data Saham'!AE97</f>
        <v>1.6483516483516484E-2</v>
      </c>
      <c r="AF98">
        <f>('Data Saham'!AF98-'Data Saham'!AF97)/'Data Saham'!AF97</f>
        <v>0</v>
      </c>
    </row>
    <row r="99" spans="1:32" x14ac:dyDescent="0.3">
      <c r="A99" s="2">
        <v>45846</v>
      </c>
      <c r="B99">
        <f>('Data Saham'!B99-'Data Saham'!B98)/'Data Saham'!B98</f>
        <v>-1.8084291187739077E-3</v>
      </c>
      <c r="C99">
        <f>('Data Saham'!C99-'Data Saham'!C98)/'Data Saham'!C98</f>
        <v>0</v>
      </c>
      <c r="D99">
        <f>('Data Saham'!D99-'Data Saham'!D98)/'Data Saham'!D98</f>
        <v>0</v>
      </c>
      <c r="E99">
        <f>('Data Saham'!E99-'Data Saham'!E98)/'Data Saham'!E98</f>
        <v>-4.2553191489361703E-3</v>
      </c>
      <c r="F99">
        <f>('Data Saham'!F99-'Data Saham'!F98)/'Data Saham'!F98</f>
        <v>4.8780487804878049E-3</v>
      </c>
      <c r="G99">
        <f>('Data Saham'!G99-'Data Saham'!G98)/'Data Saham'!G98</f>
        <v>-1.3377926421404682E-2</v>
      </c>
      <c r="H99">
        <f>('Data Saham'!H99-'Data Saham'!H98)/'Data Saham'!H98</f>
        <v>1.2244897959183673E-2</v>
      </c>
      <c r="I99">
        <f>('Data Saham'!I99-'Data Saham'!I98)/'Data Saham'!I98</f>
        <v>-5.235602094240838E-3</v>
      </c>
      <c r="J99">
        <f>('Data Saham'!J99-'Data Saham'!J98)/'Data Saham'!J98</f>
        <v>0</v>
      </c>
      <c r="K99">
        <f>('Data Saham'!K99-'Data Saham'!K98)/'Data Saham'!K98</f>
        <v>5.3763440860215058E-3</v>
      </c>
      <c r="L99">
        <f>('Data Saham'!L99-'Data Saham'!L98)/'Data Saham'!L98</f>
        <v>2.1668472372697724E-3</v>
      </c>
      <c r="M99">
        <f>('Data Saham'!M99-'Data Saham'!M98)/'Data Saham'!M98</f>
        <v>2.2727272727272728E-2</v>
      </c>
      <c r="N99">
        <f>('Data Saham'!N99-'Data Saham'!N98)/'Data Saham'!N98</f>
        <v>3.7499999999999999E-2</v>
      </c>
      <c r="O99">
        <f>('Data Saham'!O99-'Data Saham'!O98)/'Data Saham'!O98</f>
        <v>0</v>
      </c>
      <c r="P99">
        <f>('Data Saham'!P99-'Data Saham'!P98)/'Data Saham'!P98</f>
        <v>1.6393442622950821E-2</v>
      </c>
      <c r="Q99">
        <f>('Data Saham'!Q99-'Data Saham'!Q98)/'Data Saham'!Q98</f>
        <v>-1.937984496124031E-2</v>
      </c>
      <c r="R99">
        <f>('Data Saham'!R99-'Data Saham'!R98)/'Data Saham'!R98</f>
        <v>-1.0752688172043012E-2</v>
      </c>
      <c r="S99">
        <f>('Data Saham'!S99-'Data Saham'!S98)/'Data Saham'!S98</f>
        <v>-1.948051948051948E-2</v>
      </c>
      <c r="T99">
        <f>('Data Saham'!T99-'Data Saham'!T98)/'Data Saham'!T98</f>
        <v>-1.2345679012345678E-2</v>
      </c>
      <c r="U99">
        <f>('Data Saham'!U99-'Data Saham'!U98)/'Data Saham'!U98</f>
        <v>-1.1904761904761904E-2</v>
      </c>
      <c r="V99">
        <f>('Data Saham'!V99-'Data Saham'!V98)/'Data Saham'!V98</f>
        <v>2.0790020790020791E-3</v>
      </c>
      <c r="W99">
        <f>('Data Saham'!W99-'Data Saham'!W98)/'Data Saham'!W98</f>
        <v>-4.4176706827309238E-2</v>
      </c>
      <c r="X99">
        <f>('Data Saham'!X99-'Data Saham'!X98)/'Data Saham'!X98</f>
        <v>2.7559055118110236E-2</v>
      </c>
      <c r="Y99">
        <f>('Data Saham'!Y99-'Data Saham'!Y98)/'Data Saham'!Y98</f>
        <v>2.5862068965517241E-2</v>
      </c>
      <c r="Z99">
        <f>('Data Saham'!Z99-'Data Saham'!Z98)/'Data Saham'!Z98</f>
        <v>-4.1322314049586778E-3</v>
      </c>
      <c r="AA99">
        <f>('Data Saham'!AA99-'Data Saham'!AA98)/'Data Saham'!AA98</f>
        <v>2.5316455696202531E-2</v>
      </c>
      <c r="AB99">
        <f>('Data Saham'!AB99-'Data Saham'!AB98)/'Data Saham'!AB98</f>
        <v>-3.0769230769230771E-2</v>
      </c>
      <c r="AC99">
        <f>('Data Saham'!AC99-'Data Saham'!AC98)/'Data Saham'!AC98</f>
        <v>5.8479532163742687E-3</v>
      </c>
      <c r="AD99">
        <f>('Data Saham'!AD99-'Data Saham'!AD98)/'Data Saham'!AD98</f>
        <v>0</v>
      </c>
      <c r="AE99">
        <f>('Data Saham'!AE99-'Data Saham'!AE98)/'Data Saham'!AE98</f>
        <v>1.6216216216216217E-2</v>
      </c>
      <c r="AF99">
        <f>('Data Saham'!AF99-'Data Saham'!AF98)/'Data Saham'!AF98</f>
        <v>2.7472527472527472E-2</v>
      </c>
    </row>
    <row r="100" spans="1:32" x14ac:dyDescent="0.3">
      <c r="A100" s="1">
        <v>45877</v>
      </c>
      <c r="B100">
        <f>('Data Saham'!B100-'Data Saham'!B99)/'Data Saham'!B99</f>
        <v>5.7675516476239311E-3</v>
      </c>
      <c r="C100">
        <f>('Data Saham'!C100-'Data Saham'!C99)/'Data Saham'!C99</f>
        <v>0</v>
      </c>
      <c r="D100">
        <f>('Data Saham'!D100-'Data Saham'!D99)/'Data Saham'!D99</f>
        <v>-2.6954177897574125E-3</v>
      </c>
      <c r="E100">
        <f>('Data Saham'!E100-'Data Saham'!E99)/'Data Saham'!E99</f>
        <v>-2.136752136752137E-3</v>
      </c>
      <c r="F100">
        <f>('Data Saham'!F100-'Data Saham'!F99)/'Data Saham'!F99</f>
        <v>-1.2135922330097087E-2</v>
      </c>
      <c r="G100">
        <f>('Data Saham'!G100-'Data Saham'!G99)/'Data Saham'!G99</f>
        <v>-3.3898305084745762E-3</v>
      </c>
      <c r="H100">
        <f>('Data Saham'!H100-'Data Saham'!H99)/'Data Saham'!H99</f>
        <v>-8.0645161290322578E-3</v>
      </c>
      <c r="I100">
        <f>('Data Saham'!I100-'Data Saham'!I99)/'Data Saham'!I99</f>
        <v>-1.5789473684210527E-2</v>
      </c>
      <c r="J100">
        <f>('Data Saham'!J100-'Data Saham'!J99)/'Data Saham'!J99</f>
        <v>-6.0975609756097563E-3</v>
      </c>
      <c r="K100">
        <f>('Data Saham'!K100-'Data Saham'!K99)/'Data Saham'!K99</f>
        <v>-4.2780748663101602E-2</v>
      </c>
      <c r="L100">
        <f>('Data Saham'!L100-'Data Saham'!L99)/'Data Saham'!L99</f>
        <v>9.7297297297297292E-3</v>
      </c>
      <c r="M100">
        <f>('Data Saham'!M100-'Data Saham'!M99)/'Data Saham'!M99</f>
        <v>-1.9047619047619049E-2</v>
      </c>
      <c r="N100">
        <f>('Data Saham'!N100-'Data Saham'!N99)/'Data Saham'!N99</f>
        <v>-8.0321285140562242E-3</v>
      </c>
      <c r="O100">
        <f>('Data Saham'!O100-'Data Saham'!O99)/'Data Saham'!O99</f>
        <v>-2.9585798816568047E-3</v>
      </c>
      <c r="P100">
        <f>('Data Saham'!P100-'Data Saham'!P99)/'Data Saham'!P99</f>
        <v>0</v>
      </c>
      <c r="Q100">
        <f>('Data Saham'!Q100-'Data Saham'!Q99)/'Data Saham'!Q99</f>
        <v>4.3478260869565216E-2</v>
      </c>
      <c r="R100">
        <f>('Data Saham'!R100-'Data Saham'!R99)/'Data Saham'!R99</f>
        <v>-3.6231884057971015E-3</v>
      </c>
      <c r="S100">
        <f>('Data Saham'!S100-'Data Saham'!S99)/'Data Saham'!S99</f>
        <v>-6.6225165562913907E-3</v>
      </c>
      <c r="T100">
        <f>('Data Saham'!T100-'Data Saham'!T99)/'Data Saham'!T99</f>
        <v>-6.2500000000000003E-3</v>
      </c>
      <c r="U100">
        <f>('Data Saham'!U100-'Data Saham'!U99)/'Data Saham'!U99</f>
        <v>-4.0160642570281121E-3</v>
      </c>
      <c r="V100">
        <f>('Data Saham'!V100-'Data Saham'!V99)/'Data Saham'!V99</f>
        <v>2.0746887966804979E-3</v>
      </c>
      <c r="W100">
        <f>('Data Saham'!W100-'Data Saham'!W99)/'Data Saham'!W99</f>
        <v>3.3613445378151259E-2</v>
      </c>
      <c r="X100">
        <f>('Data Saham'!X100-'Data Saham'!X99)/'Data Saham'!X99</f>
        <v>0</v>
      </c>
      <c r="Y100">
        <f>('Data Saham'!Y100-'Data Saham'!Y99)/'Data Saham'!Y99</f>
        <v>-1.2605042016806723E-2</v>
      </c>
      <c r="Z100">
        <f>('Data Saham'!Z100-'Data Saham'!Z99)/'Data Saham'!Z99</f>
        <v>-1.6597510373443983E-2</v>
      </c>
      <c r="AA100">
        <f>('Data Saham'!AA100-'Data Saham'!AA99)/'Data Saham'!AA99</f>
        <v>-1.2345679012345678E-2</v>
      </c>
      <c r="AB100">
        <f>('Data Saham'!AB100-'Data Saham'!AB99)/'Data Saham'!AB99</f>
        <v>-1.5873015873015872E-2</v>
      </c>
      <c r="AC100">
        <f>('Data Saham'!AC100-'Data Saham'!AC99)/'Data Saham'!AC99</f>
        <v>1.7441860465116279E-2</v>
      </c>
      <c r="AD100">
        <f>('Data Saham'!AD100-'Data Saham'!AD99)/'Data Saham'!AD99</f>
        <v>-1.4285714285714285E-2</v>
      </c>
      <c r="AE100">
        <f>('Data Saham'!AE100-'Data Saham'!AE99)/'Data Saham'!AE99</f>
        <v>-1.5957446808510637E-2</v>
      </c>
      <c r="AF100">
        <f>('Data Saham'!AF100-'Data Saham'!AF99)/'Data Saham'!AF99</f>
        <v>2.1390374331550801E-2</v>
      </c>
    </row>
    <row r="101" spans="1:32" x14ac:dyDescent="0.3">
      <c r="A101" s="2">
        <v>45969</v>
      </c>
      <c r="B101">
        <f>('Data Saham'!B101-'Data Saham'!B100)/'Data Saham'!B100</f>
        <v>9.6291438902590815E-3</v>
      </c>
      <c r="C101">
        <f>('Data Saham'!C101-'Data Saham'!C100)/'Data Saham'!C100</f>
        <v>3.0120481927710843E-2</v>
      </c>
      <c r="D101">
        <f>('Data Saham'!D101-'Data Saham'!D100)/'Data Saham'!D100</f>
        <v>2.9729729729729731E-2</v>
      </c>
      <c r="E101">
        <f>('Data Saham'!E101-'Data Saham'!E100)/'Data Saham'!E100</f>
        <v>1.0706638115631691E-2</v>
      </c>
      <c r="F101">
        <f>('Data Saham'!F101-'Data Saham'!F100)/'Data Saham'!F100</f>
        <v>3.1941031941031942E-2</v>
      </c>
      <c r="G101">
        <f>('Data Saham'!G101-'Data Saham'!G100)/'Data Saham'!G100</f>
        <v>1.7006802721088437E-2</v>
      </c>
      <c r="H101">
        <f>('Data Saham'!H101-'Data Saham'!H100)/'Data Saham'!H100</f>
        <v>-4.0650406504065045E-3</v>
      </c>
      <c r="I101">
        <f>('Data Saham'!I101-'Data Saham'!I100)/'Data Saham'!I100</f>
        <v>2.1390374331550801E-2</v>
      </c>
      <c r="J101">
        <f>('Data Saham'!J101-'Data Saham'!J100)/'Data Saham'!J100</f>
        <v>-9.202453987730062E-3</v>
      </c>
      <c r="K101">
        <f>('Data Saham'!K101-'Data Saham'!K100)/'Data Saham'!K100</f>
        <v>1.11731843575419E-2</v>
      </c>
      <c r="L101">
        <f>('Data Saham'!L101-'Data Saham'!L100)/'Data Saham'!L100</f>
        <v>1.4989293361884369E-2</v>
      </c>
      <c r="M101">
        <f>('Data Saham'!M101-'Data Saham'!M100)/'Data Saham'!M100</f>
        <v>-4.8543689320388349E-2</v>
      </c>
      <c r="N101">
        <f>('Data Saham'!N101-'Data Saham'!N100)/'Data Saham'!N100</f>
        <v>-3.2388663967611336E-2</v>
      </c>
      <c r="O101">
        <f>('Data Saham'!O101-'Data Saham'!O100)/'Data Saham'!O100</f>
        <v>-8.9020771513353119E-3</v>
      </c>
      <c r="P101">
        <f>('Data Saham'!P101-'Data Saham'!P100)/'Data Saham'!P100</f>
        <v>4.0322580645161289E-2</v>
      </c>
      <c r="Q101">
        <f>('Data Saham'!Q101-'Data Saham'!Q100)/'Data Saham'!Q100</f>
        <v>2.2727272727272728E-2</v>
      </c>
      <c r="R101">
        <f>('Data Saham'!R101-'Data Saham'!R100)/'Data Saham'!R100</f>
        <v>-3.6363636363636364E-3</v>
      </c>
      <c r="S101">
        <f>('Data Saham'!S101-'Data Saham'!S100)/'Data Saham'!S100</f>
        <v>-8.8888888888888889E-3</v>
      </c>
      <c r="T101">
        <f>('Data Saham'!T101-'Data Saham'!T100)/'Data Saham'!T100</f>
        <v>-3.1446540880503146E-3</v>
      </c>
      <c r="U101">
        <f>('Data Saham'!U101-'Data Saham'!U100)/'Data Saham'!U100</f>
        <v>7.6612903225806453E-2</v>
      </c>
      <c r="V101">
        <f>('Data Saham'!V101-'Data Saham'!V100)/'Data Saham'!V100</f>
        <v>5.175983436853002E-3</v>
      </c>
      <c r="W101">
        <f>('Data Saham'!W101-'Data Saham'!W100)/'Data Saham'!W100</f>
        <v>-4.4715447154471545E-2</v>
      </c>
      <c r="X101">
        <f>('Data Saham'!X101-'Data Saham'!X100)/'Data Saham'!X100</f>
        <v>-1.532567049808429E-2</v>
      </c>
      <c r="Y101">
        <f>('Data Saham'!Y101-'Data Saham'!Y100)/'Data Saham'!Y100</f>
        <v>1.276595744680851E-2</v>
      </c>
      <c r="Z101">
        <f>('Data Saham'!Z101-'Data Saham'!Z100)/'Data Saham'!Z100</f>
        <v>4.2194092827004216E-3</v>
      </c>
      <c r="AA101">
        <f>('Data Saham'!AA101-'Data Saham'!AA100)/'Data Saham'!AA100</f>
        <v>1.2500000000000001E-2</v>
      </c>
      <c r="AB101">
        <f>('Data Saham'!AB101-'Data Saham'!AB100)/'Data Saham'!AB100</f>
        <v>0</v>
      </c>
      <c r="AC101">
        <f>('Data Saham'!AC101-'Data Saham'!AC100)/'Data Saham'!AC100</f>
        <v>-5.7142857142857143E-3</v>
      </c>
      <c r="AD101">
        <f>('Data Saham'!AD101-'Data Saham'!AD100)/'Data Saham'!AD100</f>
        <v>6.7632850241545889E-2</v>
      </c>
      <c r="AE101">
        <f>('Data Saham'!AE101-'Data Saham'!AE100)/'Data Saham'!AE100</f>
        <v>3.783783783783784E-2</v>
      </c>
      <c r="AF101">
        <f>('Data Saham'!AF101-'Data Saham'!AF100)/'Data Saham'!AF100</f>
        <v>-0.99895287958115186</v>
      </c>
    </row>
    <row r="102" spans="1:32" x14ac:dyDescent="0.3">
      <c r="A102" s="1">
        <v>45999</v>
      </c>
      <c r="B102">
        <f>('Data Saham'!B102-'Data Saham'!B101)/'Data Saham'!B101</f>
        <v>2.4425710499190071E-2</v>
      </c>
      <c r="C102">
        <f>('Data Saham'!C102-'Data Saham'!C101)/'Data Saham'!C101</f>
        <v>3.5087719298245612E-2</v>
      </c>
      <c r="D102">
        <f>('Data Saham'!D102-'Data Saham'!D101)/'Data Saham'!D101</f>
        <v>6.2992125984251968E-2</v>
      </c>
      <c r="E102">
        <f>('Data Saham'!E102-'Data Saham'!E101)/'Data Saham'!E101</f>
        <v>4.025423728813559E-2</v>
      </c>
      <c r="F102">
        <f>('Data Saham'!F102-'Data Saham'!F101)/'Data Saham'!F101</f>
        <v>3.8095238095238099E-2</v>
      </c>
      <c r="G102">
        <f>('Data Saham'!G102-'Data Saham'!G101)/'Data Saham'!G101</f>
        <v>6.354515050167224E-2</v>
      </c>
      <c r="H102">
        <f>('Data Saham'!H102-'Data Saham'!H101)/'Data Saham'!H101</f>
        <v>1.8367346938775512E-2</v>
      </c>
      <c r="I102">
        <f>('Data Saham'!I102-'Data Saham'!I101)/'Data Saham'!I101</f>
        <v>0</v>
      </c>
      <c r="J102">
        <f>('Data Saham'!J102-'Data Saham'!J101)/'Data Saham'!J101</f>
        <v>-3.0959752321981426E-3</v>
      </c>
      <c r="K102">
        <f>('Data Saham'!K102-'Data Saham'!K101)/'Data Saham'!K101</f>
        <v>2.7624309392265192E-2</v>
      </c>
      <c r="L102">
        <f>('Data Saham'!L102-'Data Saham'!L101)/'Data Saham'!L101</f>
        <v>-4.852320675105485E-2</v>
      </c>
      <c r="M102">
        <f>('Data Saham'!M102-'Data Saham'!M101)/'Data Saham'!M101</f>
        <v>-1.3605442176870748E-2</v>
      </c>
      <c r="N102">
        <f>('Data Saham'!N102-'Data Saham'!N101)/'Data Saham'!N101</f>
        <v>-4.6025104602510462E-2</v>
      </c>
      <c r="O102">
        <f>('Data Saham'!O102-'Data Saham'!O101)/'Data Saham'!O101</f>
        <v>5.9880239520958087E-3</v>
      </c>
      <c r="P102">
        <f>('Data Saham'!P102-'Data Saham'!P101)/'Data Saham'!P101</f>
        <v>-7.7519379844961239E-3</v>
      </c>
      <c r="Q102">
        <f>('Data Saham'!Q102-'Data Saham'!Q101)/'Data Saham'!Q101</f>
        <v>5.5555555555555552E-2</v>
      </c>
      <c r="R102">
        <f>('Data Saham'!R102-'Data Saham'!R101)/'Data Saham'!R101</f>
        <v>7.2992700729927005E-3</v>
      </c>
      <c r="S102">
        <f>('Data Saham'!S102-'Data Saham'!S101)/'Data Saham'!S101</f>
        <v>0</v>
      </c>
      <c r="T102">
        <f>('Data Saham'!T102-'Data Saham'!T101)/'Data Saham'!T101</f>
        <v>-6.3091482649842269E-3</v>
      </c>
      <c r="U102">
        <f>('Data Saham'!U102-'Data Saham'!U101)/'Data Saham'!U101</f>
        <v>-1.4981273408239701E-2</v>
      </c>
      <c r="V102">
        <f>('Data Saham'!V102-'Data Saham'!V101)/'Data Saham'!V101</f>
        <v>-3.089598352214212E-3</v>
      </c>
      <c r="W102">
        <f>('Data Saham'!W102-'Data Saham'!W101)/'Data Saham'!W101</f>
        <v>-4.2553191489361703E-3</v>
      </c>
      <c r="X102">
        <f>('Data Saham'!X102-'Data Saham'!X101)/'Data Saham'!X101</f>
        <v>-1.9455252918287938E-2</v>
      </c>
      <c r="Y102">
        <f>('Data Saham'!Y102-'Data Saham'!Y101)/'Data Saham'!Y101</f>
        <v>4.2016806722689074E-3</v>
      </c>
      <c r="Z102">
        <f>('Data Saham'!Z102-'Data Saham'!Z101)/'Data Saham'!Z101</f>
        <v>4.2016806722689074E-3</v>
      </c>
      <c r="AA102">
        <f>('Data Saham'!AA102-'Data Saham'!AA101)/'Data Saham'!AA101</f>
        <v>-1.2345679012345678E-2</v>
      </c>
      <c r="AB102">
        <f>('Data Saham'!AB102-'Data Saham'!AB101)/'Data Saham'!AB101</f>
        <v>4.8387096774193547E-2</v>
      </c>
      <c r="AC102">
        <f>('Data Saham'!AC102-'Data Saham'!AC101)/'Data Saham'!AC101</f>
        <v>0</v>
      </c>
      <c r="AD102">
        <f>('Data Saham'!AD102-'Data Saham'!AD101)/'Data Saham'!AD101</f>
        <v>4.5248868778280547E-3</v>
      </c>
      <c r="AE102">
        <f>('Data Saham'!AE102-'Data Saham'!AE101)/'Data Saham'!AE101</f>
        <v>0</v>
      </c>
      <c r="AF102">
        <f>('Data Saham'!AF102-'Data Saham'!AF101)/'Data Saham'!AF101</f>
        <v>0</v>
      </c>
    </row>
    <row r="103" spans="1:32" x14ac:dyDescent="0.3">
      <c r="A103" s="4" t="s">
        <v>60</v>
      </c>
      <c r="B103">
        <f>('Data Saham'!B103-'Data Saham'!B102)/'Data Saham'!B102</f>
        <v>1.2989463146681731E-2</v>
      </c>
      <c r="C103">
        <f>('Data Saham'!C103-'Data Saham'!C102)/'Data Saham'!C102</f>
        <v>8.4745762711864406E-3</v>
      </c>
      <c r="D103">
        <f>('Data Saham'!D103-'Data Saham'!D102)/'Data Saham'!D102</f>
        <v>7.4074074074074077E-3</v>
      </c>
      <c r="E103">
        <f>('Data Saham'!E103-'Data Saham'!E102)/'Data Saham'!E102</f>
        <v>-8.1466395112016286E-3</v>
      </c>
      <c r="F103">
        <f>('Data Saham'!F103-'Data Saham'!F102)/'Data Saham'!F102</f>
        <v>2.2935779816513763E-3</v>
      </c>
      <c r="G103">
        <f>('Data Saham'!G103-'Data Saham'!G102)/'Data Saham'!G102</f>
        <v>5.6603773584905662E-2</v>
      </c>
      <c r="H103">
        <f>('Data Saham'!H103-'Data Saham'!H102)/'Data Saham'!H102</f>
        <v>3.7074148296593189E-2</v>
      </c>
      <c r="I103">
        <f>('Data Saham'!I103-'Data Saham'!I102)/'Data Saham'!I102</f>
        <v>-7.8534031413612562E-3</v>
      </c>
      <c r="J103">
        <f>('Data Saham'!J103-'Data Saham'!J102)/'Data Saham'!J102</f>
        <v>-3.105590062111801E-3</v>
      </c>
      <c r="K103">
        <f>('Data Saham'!K103-'Data Saham'!K102)/'Data Saham'!K102</f>
        <v>-1.6129032258064516E-2</v>
      </c>
      <c r="L103">
        <f>('Data Saham'!L103-'Data Saham'!L102)/'Data Saham'!L102</f>
        <v>-3.3259423503325942E-3</v>
      </c>
      <c r="M103">
        <f>('Data Saham'!M103-'Data Saham'!M102)/'Data Saham'!M102</f>
        <v>3.4482758620689655E-3</v>
      </c>
      <c r="N103">
        <f>('Data Saham'!N103-'Data Saham'!N102)/'Data Saham'!N102</f>
        <v>0</v>
      </c>
      <c r="O103">
        <f>('Data Saham'!O103-'Data Saham'!O102)/'Data Saham'!O102</f>
        <v>0</v>
      </c>
      <c r="P103">
        <f>('Data Saham'!P103-'Data Saham'!P102)/'Data Saham'!P102</f>
        <v>7.8125E-3</v>
      </c>
      <c r="Q103">
        <f>('Data Saham'!Q103-'Data Saham'!Q102)/'Data Saham'!Q102</f>
        <v>2.1052631578947368E-2</v>
      </c>
      <c r="R103">
        <f>('Data Saham'!R103-'Data Saham'!R102)/'Data Saham'!R102</f>
        <v>1.4492753623188406E-2</v>
      </c>
      <c r="S103">
        <f>('Data Saham'!S103-'Data Saham'!S102)/'Data Saham'!S102</f>
        <v>4.4843049327354259E-3</v>
      </c>
      <c r="T103">
        <f>('Data Saham'!T103-'Data Saham'!T102)/'Data Saham'!T102</f>
        <v>-6.3492063492063492E-3</v>
      </c>
      <c r="U103">
        <f>('Data Saham'!U103-'Data Saham'!U102)/'Data Saham'!U102</f>
        <v>0</v>
      </c>
      <c r="V103">
        <f>('Data Saham'!V103-'Data Saham'!V102)/'Data Saham'!V102</f>
        <v>-8.2644628099173556E-3</v>
      </c>
      <c r="W103">
        <f>('Data Saham'!W103-'Data Saham'!W102)/'Data Saham'!W102</f>
        <v>-8.5470085470085479E-3</v>
      </c>
      <c r="X103">
        <f>('Data Saham'!X103-'Data Saham'!X102)/'Data Saham'!X102</f>
        <v>1.5873015873015872E-2</v>
      </c>
      <c r="Y103">
        <f>('Data Saham'!Y103-'Data Saham'!Y102)/'Data Saham'!Y102</f>
        <v>-1.6736401673640166E-2</v>
      </c>
      <c r="Z103">
        <f>('Data Saham'!Z103-'Data Saham'!Z102)/'Data Saham'!Z102</f>
        <v>4.1841004184100415E-3</v>
      </c>
      <c r="AA103">
        <f>('Data Saham'!AA103-'Data Saham'!AA102)/'Data Saham'!AA102</f>
        <v>4.1666666666666664E-2</v>
      </c>
      <c r="AB103">
        <f>('Data Saham'!AB103-'Data Saham'!AB102)/'Data Saham'!AB102</f>
        <v>-1.5384615384615385E-2</v>
      </c>
      <c r="AC103">
        <f>('Data Saham'!AC103-'Data Saham'!AC102)/'Data Saham'!AC102</f>
        <v>0</v>
      </c>
      <c r="AD103">
        <f>('Data Saham'!AD103-'Data Saham'!AD102)/'Data Saham'!AD102</f>
        <v>3.1531531531531529E-2</v>
      </c>
      <c r="AE103">
        <f>('Data Saham'!AE103-'Data Saham'!AE102)/'Data Saham'!AE102</f>
        <v>1.5625E-2</v>
      </c>
      <c r="AF103">
        <f>('Data Saham'!AF103-'Data Saham'!AF102)/'Data Saham'!AF102</f>
        <v>7.0000000000000062E-2</v>
      </c>
    </row>
    <row r="104" spans="1:32" x14ac:dyDescent="0.3">
      <c r="A104" s="3" t="s">
        <v>61</v>
      </c>
      <c r="B104">
        <f>('Data Saham'!B104-'Data Saham'!B103)/'Data Saham'!B103</f>
        <v>4.8575240310608061E-3</v>
      </c>
      <c r="C104">
        <f>('Data Saham'!C104-'Data Saham'!C103)/'Data Saham'!C103</f>
        <v>-1.680672268907563E-2</v>
      </c>
      <c r="D104">
        <f>('Data Saham'!D104-'Data Saham'!D103)/'Data Saham'!D103</f>
        <v>-4.9019607843137254E-3</v>
      </c>
      <c r="E104">
        <f>('Data Saham'!E104-'Data Saham'!E103)/'Data Saham'!E103</f>
        <v>-4.1067761806981521E-3</v>
      </c>
      <c r="F104">
        <f>('Data Saham'!F104-'Data Saham'!F103)/'Data Saham'!F103</f>
        <v>4.5766590389016018E-3</v>
      </c>
      <c r="G104">
        <f>('Data Saham'!G104-'Data Saham'!G103)/'Data Saham'!G103</f>
        <v>1.7857142857142856E-2</v>
      </c>
      <c r="H104">
        <f>('Data Saham'!H104-'Data Saham'!H103)/'Data Saham'!H103</f>
        <v>-1.4492753623188406E-2</v>
      </c>
      <c r="I104">
        <f>('Data Saham'!I104-'Data Saham'!I103)/'Data Saham'!I103</f>
        <v>2.6385224274406333E-2</v>
      </c>
      <c r="J104">
        <f>('Data Saham'!J104-'Data Saham'!J103)/'Data Saham'!J103</f>
        <v>1.5576323987538941E-2</v>
      </c>
      <c r="K104">
        <f>('Data Saham'!K104-'Data Saham'!K103)/'Data Saham'!K103</f>
        <v>5.4644808743169399E-3</v>
      </c>
      <c r="L104">
        <f>('Data Saham'!L104-'Data Saham'!L103)/'Data Saham'!L103</f>
        <v>-3.3370411568409346E-3</v>
      </c>
      <c r="M104">
        <f>('Data Saham'!M104-'Data Saham'!M103)/'Data Saham'!M103</f>
        <v>-6.8728522336769758E-3</v>
      </c>
      <c r="N104">
        <f>('Data Saham'!N104-'Data Saham'!N103)/'Data Saham'!N103</f>
        <v>-4.3859649122807015E-3</v>
      </c>
      <c r="O104">
        <f>('Data Saham'!O104-'Data Saham'!O103)/'Data Saham'!O103</f>
        <v>-1.1904761904761904E-2</v>
      </c>
      <c r="P104">
        <f>('Data Saham'!P104-'Data Saham'!P103)/'Data Saham'!P103</f>
        <v>-1.5503875968992248E-2</v>
      </c>
      <c r="Q104">
        <f>('Data Saham'!Q104-'Data Saham'!Q103)/'Data Saham'!Q103</f>
        <v>1.7182130584192441E-2</v>
      </c>
      <c r="R104">
        <f>('Data Saham'!R104-'Data Saham'!R103)/'Data Saham'!R103</f>
        <v>2.5000000000000001E-2</v>
      </c>
      <c r="S104">
        <f>('Data Saham'!S104-'Data Saham'!S103)/'Data Saham'!S103</f>
        <v>-6.6964285714285711E-3</v>
      </c>
      <c r="T104">
        <f>('Data Saham'!T104-'Data Saham'!T103)/'Data Saham'!T103</f>
        <v>-1.9169329073482427E-2</v>
      </c>
      <c r="U104">
        <f>('Data Saham'!U104-'Data Saham'!U103)/'Data Saham'!U103</f>
        <v>7.6045627376425855E-3</v>
      </c>
      <c r="V104">
        <f>('Data Saham'!V104-'Data Saham'!V103)/'Data Saham'!V103</f>
        <v>7.2916666666666668E-3</v>
      </c>
      <c r="W104">
        <f>('Data Saham'!W104-'Data Saham'!W103)/'Data Saham'!W103</f>
        <v>-8.6206896551724137E-3</v>
      </c>
      <c r="X104">
        <f>('Data Saham'!X104-'Data Saham'!X103)/'Data Saham'!X103</f>
        <v>-1.953125E-2</v>
      </c>
      <c r="Y104">
        <f>('Data Saham'!Y104-'Data Saham'!Y103)/'Data Saham'!Y103</f>
        <v>-1.7021276595744681E-2</v>
      </c>
      <c r="Z104">
        <f>('Data Saham'!Z104-'Data Saham'!Z103)/'Data Saham'!Z103</f>
        <v>4.1666666666666666E-3</v>
      </c>
      <c r="AA104">
        <f>('Data Saham'!AA104-'Data Saham'!AA103)/'Data Saham'!AA103</f>
        <v>5.6000000000000001E-2</v>
      </c>
      <c r="AB104">
        <f>('Data Saham'!AB104-'Data Saham'!AB103)/'Data Saham'!AB103</f>
        <v>-3.125E-2</v>
      </c>
      <c r="AC104">
        <f>('Data Saham'!AC104-'Data Saham'!AC103)/'Data Saham'!AC103</f>
        <v>5.7471264367816091E-3</v>
      </c>
      <c r="AD104">
        <f>('Data Saham'!AD104-'Data Saham'!AD103)/'Data Saham'!AD103</f>
        <v>-1.7467248908296942E-2</v>
      </c>
      <c r="AE104">
        <f>('Data Saham'!AE104-'Data Saham'!AE103)/'Data Saham'!AE103</f>
        <v>-1.5384615384615385E-2</v>
      </c>
      <c r="AF104">
        <f>('Data Saham'!AF104-'Data Saham'!AF103)/'Data Saham'!AF103</f>
        <v>-9.3457943925233725E-3</v>
      </c>
    </row>
    <row r="105" spans="1:32" x14ac:dyDescent="0.3">
      <c r="A105" s="4" t="s">
        <v>62</v>
      </c>
      <c r="B105">
        <f>('Data Saham'!B105-'Data Saham'!B104)/'Data Saham'!B104</f>
        <v>-4.1443656422379691E-3</v>
      </c>
      <c r="C105">
        <f>('Data Saham'!C105-'Data Saham'!C104)/'Data Saham'!C104</f>
        <v>-8.5470085470085479E-3</v>
      </c>
      <c r="D105">
        <f>('Data Saham'!D105-'Data Saham'!D104)/'Data Saham'!D104</f>
        <v>1.4778325123152709E-2</v>
      </c>
      <c r="E105">
        <f>('Data Saham'!E105-'Data Saham'!E104)/'Data Saham'!E104</f>
        <v>0</v>
      </c>
      <c r="F105">
        <f>('Data Saham'!F105-'Data Saham'!F104)/'Data Saham'!F104</f>
        <v>-4.5558086560364463E-3</v>
      </c>
      <c r="G105">
        <f>('Data Saham'!G105-'Data Saham'!G104)/'Data Saham'!G104</f>
        <v>-3.2163742690058478E-2</v>
      </c>
      <c r="H105">
        <f>('Data Saham'!H105-'Data Saham'!H104)/'Data Saham'!H104</f>
        <v>-1.4705882352941176E-2</v>
      </c>
      <c r="I105">
        <f>('Data Saham'!I105-'Data Saham'!I104)/'Data Saham'!I104</f>
        <v>1.7994858611825194E-2</v>
      </c>
      <c r="J105">
        <f>('Data Saham'!J105-'Data Saham'!J104)/'Data Saham'!J104</f>
        <v>-1.2269938650306749E-2</v>
      </c>
      <c r="K105">
        <f>('Data Saham'!K105-'Data Saham'!K104)/'Data Saham'!K104</f>
        <v>-1.6304347826086956E-2</v>
      </c>
      <c r="L105">
        <f>('Data Saham'!L105-'Data Saham'!L104)/'Data Saham'!L104</f>
        <v>-6.6964285714285711E-3</v>
      </c>
      <c r="M105">
        <f>('Data Saham'!M105-'Data Saham'!M104)/'Data Saham'!M104</f>
        <v>3.4602076124567475E-3</v>
      </c>
      <c r="N105">
        <f>('Data Saham'!N105-'Data Saham'!N104)/'Data Saham'!N104</f>
        <v>-2.2026431718061675E-2</v>
      </c>
      <c r="O105">
        <f>('Data Saham'!O105-'Data Saham'!O104)/'Data Saham'!O104</f>
        <v>-3.0120481927710845E-3</v>
      </c>
      <c r="P105">
        <f>('Data Saham'!P105-'Data Saham'!P104)/'Data Saham'!P104</f>
        <v>-3.1496062992125984E-2</v>
      </c>
      <c r="Q105">
        <f>('Data Saham'!Q105-'Data Saham'!Q104)/'Data Saham'!Q104</f>
        <v>-1.3513513513513514E-2</v>
      </c>
      <c r="R105">
        <f>('Data Saham'!R105-'Data Saham'!R104)/'Data Saham'!R104</f>
        <v>-3.484320557491289E-2</v>
      </c>
      <c r="S105">
        <f>('Data Saham'!S105-'Data Saham'!S104)/'Data Saham'!S104</f>
        <v>-2.2471910112359553E-3</v>
      </c>
      <c r="T105">
        <f>('Data Saham'!T105-'Data Saham'!T104)/'Data Saham'!T104</f>
        <v>9.7719869706840382E-3</v>
      </c>
      <c r="U105">
        <f>('Data Saham'!U105-'Data Saham'!U104)/'Data Saham'!U104</f>
        <v>-1.8867924528301886E-2</v>
      </c>
      <c r="V105">
        <f>('Data Saham'!V105-'Data Saham'!V104)/'Data Saham'!V104</f>
        <v>-7.2388831437435368E-3</v>
      </c>
      <c r="W105">
        <f>('Data Saham'!W105-'Data Saham'!W104)/'Data Saham'!W104</f>
        <v>-8.6956521739130436E-3</v>
      </c>
      <c r="X105">
        <f>('Data Saham'!X105-'Data Saham'!X104)/'Data Saham'!X104</f>
        <v>3.9840637450199202E-3</v>
      </c>
      <c r="Y105">
        <f>('Data Saham'!Y105-'Data Saham'!Y104)/'Data Saham'!Y104</f>
        <v>-2.1645021645021644E-2</v>
      </c>
      <c r="Z105">
        <f>('Data Saham'!Z105-'Data Saham'!Z104)/'Data Saham'!Z104</f>
        <v>-2.0746887966804978E-2</v>
      </c>
      <c r="AA105">
        <f>('Data Saham'!AA105-'Data Saham'!AA104)/'Data Saham'!AA104</f>
        <v>3.0303030303030304E-2</v>
      </c>
      <c r="AB105">
        <f>('Data Saham'!AB105-'Data Saham'!AB104)/'Data Saham'!AB104</f>
        <v>0</v>
      </c>
      <c r="AC105">
        <f>('Data Saham'!AC105-'Data Saham'!AC104)/'Data Saham'!AC104</f>
        <v>-1.7142857142857144E-2</v>
      </c>
      <c r="AD105">
        <f>('Data Saham'!AD105-'Data Saham'!AD104)/'Data Saham'!AD104</f>
        <v>-3.111111111111111E-2</v>
      </c>
      <c r="AE105">
        <f>('Data Saham'!AE105-'Data Saham'!AE104)/'Data Saham'!AE104</f>
        <v>-2.0833333333333332E-2</v>
      </c>
      <c r="AF105">
        <f>('Data Saham'!AF105-'Data Saham'!AF104)/'Data Saham'!AF104</f>
        <v>-2.3584905660377482E-2</v>
      </c>
    </row>
    <row r="106" spans="1:32" x14ac:dyDescent="0.3">
      <c r="A106" s="3" t="s">
        <v>63</v>
      </c>
      <c r="B106">
        <f>('Data Saham'!B106-'Data Saham'!B105)/'Data Saham'!B105</f>
        <v>-4.4857299851362295E-3</v>
      </c>
      <c r="C106">
        <f>('Data Saham'!C106-'Data Saham'!C105)/'Data Saham'!C105</f>
        <v>-2.2988505747126436E-2</v>
      </c>
      <c r="D106">
        <f>('Data Saham'!D106-'Data Saham'!D105)/'Data Saham'!D105</f>
        <v>-1.9417475728155338E-2</v>
      </c>
      <c r="E106">
        <f>('Data Saham'!E106-'Data Saham'!E105)/'Data Saham'!E105</f>
        <v>-1.0309278350515464E-2</v>
      </c>
      <c r="F106">
        <f>('Data Saham'!F106-'Data Saham'!F105)/'Data Saham'!F105</f>
        <v>-9.1533180778032037E-3</v>
      </c>
      <c r="G106">
        <f>('Data Saham'!G106-'Data Saham'!G105)/'Data Saham'!G105</f>
        <v>-1.812688821752266E-2</v>
      </c>
      <c r="H106">
        <f>('Data Saham'!H106-'Data Saham'!H105)/'Data Saham'!H105</f>
        <v>9.950248756218906E-2</v>
      </c>
      <c r="I106">
        <f>('Data Saham'!I106-'Data Saham'!I105)/'Data Saham'!I105</f>
        <v>-1.2626262626262626E-2</v>
      </c>
      <c r="J106">
        <f>('Data Saham'!J106-'Data Saham'!J105)/'Data Saham'!J105</f>
        <v>-1.5527950310559006E-2</v>
      </c>
      <c r="K106">
        <f>('Data Saham'!K106-'Data Saham'!K105)/'Data Saham'!K105</f>
        <v>-5.5248618784530384E-3</v>
      </c>
      <c r="L106">
        <f>('Data Saham'!L106-'Data Saham'!L105)/'Data Saham'!L105</f>
        <v>-8.988764044943821E-3</v>
      </c>
      <c r="M106">
        <f>('Data Saham'!M106-'Data Saham'!M105)/'Data Saham'!M105</f>
        <v>-3.1034482758620689E-2</v>
      </c>
      <c r="N106">
        <f>('Data Saham'!N106-'Data Saham'!N105)/'Data Saham'!N105</f>
        <v>4.0540540540540543E-2</v>
      </c>
      <c r="O106">
        <f>('Data Saham'!O106-'Data Saham'!O105)/'Data Saham'!O105</f>
        <v>6.0422960725075529E-3</v>
      </c>
      <c r="P106">
        <f>('Data Saham'!P106-'Data Saham'!P105)/'Data Saham'!P105</f>
        <v>0</v>
      </c>
      <c r="Q106">
        <f>('Data Saham'!Q106-'Data Saham'!Q105)/'Data Saham'!Q105</f>
        <v>1.3698630136986301E-2</v>
      </c>
      <c r="R106">
        <f>('Data Saham'!R106-'Data Saham'!R105)/'Data Saham'!R105</f>
        <v>-1.444043321299639E-2</v>
      </c>
      <c r="S106">
        <f>('Data Saham'!S106-'Data Saham'!S105)/'Data Saham'!S105</f>
        <v>1.8018018018018018E-2</v>
      </c>
      <c r="T106">
        <f>('Data Saham'!T106-'Data Saham'!T105)/'Data Saham'!T105</f>
        <v>-1.2903225806451613E-2</v>
      </c>
      <c r="U106">
        <f>('Data Saham'!U106-'Data Saham'!U105)/'Data Saham'!U105</f>
        <v>3.8461538461538464E-2</v>
      </c>
      <c r="V106">
        <f>('Data Saham'!V106-'Data Saham'!V105)/'Data Saham'!V105</f>
        <v>-1.3541666666666667E-2</v>
      </c>
      <c r="W106">
        <f>('Data Saham'!W106-'Data Saham'!W105)/'Data Saham'!W105</f>
        <v>-2.1929824561403508E-2</v>
      </c>
      <c r="X106">
        <f>('Data Saham'!X106-'Data Saham'!X105)/'Data Saham'!X105</f>
        <v>-3.1746031746031744E-2</v>
      </c>
      <c r="Y106">
        <f>('Data Saham'!Y106-'Data Saham'!Y105)/'Data Saham'!Y105</f>
        <v>-2.2123893805309734E-2</v>
      </c>
      <c r="Z106">
        <f>('Data Saham'!Z106-'Data Saham'!Z105)/'Data Saham'!Z105</f>
        <v>-2.9661016949152543E-2</v>
      </c>
      <c r="AA106">
        <f>('Data Saham'!AA106-'Data Saham'!AA105)/'Data Saham'!AA105</f>
        <v>-2.9411764705882353E-2</v>
      </c>
      <c r="AB106">
        <f>('Data Saham'!AB106-'Data Saham'!AB105)/'Data Saham'!AB105</f>
        <v>-1.6129032258064516E-2</v>
      </c>
      <c r="AC106">
        <f>('Data Saham'!AC106-'Data Saham'!AC105)/'Data Saham'!AC105</f>
        <v>4.0697674418604654E-2</v>
      </c>
      <c r="AD106">
        <f>('Data Saham'!AD106-'Data Saham'!AD105)/'Data Saham'!AD105</f>
        <v>2.2935779816513763E-2</v>
      </c>
      <c r="AE106">
        <f>('Data Saham'!AE106-'Data Saham'!AE105)/'Data Saham'!AE105</f>
        <v>0</v>
      </c>
      <c r="AF106">
        <f>('Data Saham'!AF106-'Data Saham'!AF105)/'Data Saham'!AF105</f>
        <v>4.8309178743962469E-3</v>
      </c>
    </row>
    <row r="107" spans="1:32" x14ac:dyDescent="0.3">
      <c r="A107" s="4" t="s">
        <v>64</v>
      </c>
      <c r="B107">
        <f>('Data Saham'!B107-'Data Saham'!B106)/'Data Saham'!B106</f>
        <v>1.0286215733280779E-2</v>
      </c>
      <c r="C107">
        <f>('Data Saham'!C107-'Data Saham'!C106)/'Data Saham'!C106</f>
        <v>2.9411764705882353E-3</v>
      </c>
      <c r="D107">
        <f>('Data Saham'!D107-'Data Saham'!D106)/'Data Saham'!D106</f>
        <v>2.7227722772277228E-2</v>
      </c>
      <c r="E107">
        <f>('Data Saham'!E107-'Data Saham'!E106)/'Data Saham'!E106</f>
        <v>3.125E-2</v>
      </c>
      <c r="F107">
        <f>('Data Saham'!F107-'Data Saham'!F106)/'Data Saham'!F106</f>
        <v>2.3094688221709007E-2</v>
      </c>
      <c r="G107">
        <f>('Data Saham'!G107-'Data Saham'!G106)/'Data Saham'!G106</f>
        <v>-9.2307692307692316E-3</v>
      </c>
      <c r="H107">
        <f>('Data Saham'!H107-'Data Saham'!H106)/'Data Saham'!H106</f>
        <v>0</v>
      </c>
      <c r="I107">
        <f>('Data Saham'!I107-'Data Saham'!I106)/'Data Saham'!I106</f>
        <v>-1.278772378516624E-2</v>
      </c>
      <c r="J107">
        <f>('Data Saham'!J107-'Data Saham'!J106)/'Data Saham'!J106</f>
        <v>6.3091482649842269E-3</v>
      </c>
      <c r="K107">
        <f>('Data Saham'!K107-'Data Saham'!K106)/'Data Saham'!K106</f>
        <v>5.5555555555555558E-3</v>
      </c>
      <c r="L107">
        <f>('Data Saham'!L107-'Data Saham'!L106)/'Data Saham'!L106</f>
        <v>1.020408163265306E-2</v>
      </c>
      <c r="M107">
        <f>('Data Saham'!M107-'Data Saham'!M106)/'Data Saham'!M106</f>
        <v>1.0676156583629894E-2</v>
      </c>
      <c r="N107">
        <f>('Data Saham'!N107-'Data Saham'!N106)/'Data Saham'!N106</f>
        <v>4.329004329004329E-3</v>
      </c>
      <c r="O107">
        <f>('Data Saham'!O107-'Data Saham'!O106)/'Data Saham'!O106</f>
        <v>1.5015015015015015E-2</v>
      </c>
      <c r="P107">
        <f>('Data Saham'!P107-'Data Saham'!P106)/'Data Saham'!P106</f>
        <v>1.6260162601626018E-2</v>
      </c>
      <c r="Q107">
        <f>('Data Saham'!Q107-'Data Saham'!Q106)/'Data Saham'!Q106</f>
        <v>-3.3783783783783786E-3</v>
      </c>
      <c r="R107">
        <f>('Data Saham'!R107-'Data Saham'!R106)/'Data Saham'!R106</f>
        <v>2.564102564102564E-2</v>
      </c>
      <c r="S107">
        <f>('Data Saham'!S107-'Data Saham'!S106)/'Data Saham'!S106</f>
        <v>-2.2123893805309734E-3</v>
      </c>
      <c r="T107">
        <f>('Data Saham'!T107-'Data Saham'!T106)/'Data Saham'!T106</f>
        <v>2.6143790849673203E-2</v>
      </c>
      <c r="U107">
        <f>('Data Saham'!U107-'Data Saham'!U106)/'Data Saham'!U106</f>
        <v>4.4444444444444446E-2</v>
      </c>
      <c r="V107">
        <f>('Data Saham'!V107-'Data Saham'!V106)/'Data Saham'!V106</f>
        <v>3.0623020063357972E-2</v>
      </c>
      <c r="W107">
        <f>('Data Saham'!W107-'Data Saham'!W106)/'Data Saham'!W106</f>
        <v>5.3811659192825115E-2</v>
      </c>
      <c r="X107">
        <f>('Data Saham'!X107-'Data Saham'!X106)/'Data Saham'!X106</f>
        <v>8.1967213114754103E-3</v>
      </c>
      <c r="Y107">
        <f>('Data Saham'!Y107-'Data Saham'!Y106)/'Data Saham'!Y106</f>
        <v>6.7873303167420809E-2</v>
      </c>
      <c r="Z107">
        <f>('Data Saham'!Z107-'Data Saham'!Z106)/'Data Saham'!Z106</f>
        <v>-4.3668122270742356E-3</v>
      </c>
      <c r="AA107">
        <f>('Data Saham'!AA107-'Data Saham'!AA106)/'Data Saham'!AA106</f>
        <v>-3.787878787878788E-3</v>
      </c>
      <c r="AB107">
        <f>('Data Saham'!AB107-'Data Saham'!AB106)/'Data Saham'!AB106</f>
        <v>0</v>
      </c>
      <c r="AC107">
        <f>('Data Saham'!AC107-'Data Saham'!AC106)/'Data Saham'!AC106</f>
        <v>-2.23463687150838E-2</v>
      </c>
      <c r="AD107">
        <f>('Data Saham'!AD107-'Data Saham'!AD106)/'Data Saham'!AD106</f>
        <v>4.9327354260089683E-2</v>
      </c>
      <c r="AE107">
        <f>('Data Saham'!AE107-'Data Saham'!AE106)/'Data Saham'!AE106</f>
        <v>3.1914893617021274E-2</v>
      </c>
      <c r="AF107">
        <f>('Data Saham'!AF107-'Data Saham'!AF106)/'Data Saham'!AF106</f>
        <v>1.4423076923076828E-2</v>
      </c>
    </row>
    <row r="108" spans="1:32" x14ac:dyDescent="0.3">
      <c r="A108" s="3" t="s">
        <v>65</v>
      </c>
      <c r="B108">
        <f>('Data Saham'!B108-'Data Saham'!B107)/'Data Saham'!B107</f>
        <v>-6.6869507529743076E-3</v>
      </c>
      <c r="C108">
        <f>('Data Saham'!C108-'Data Saham'!C107)/'Data Saham'!C107</f>
        <v>2.9325513196480938E-3</v>
      </c>
      <c r="D108">
        <f>('Data Saham'!D108-'Data Saham'!D107)/'Data Saham'!D107</f>
        <v>0</v>
      </c>
      <c r="E108">
        <f>('Data Saham'!E108-'Data Saham'!E107)/'Data Saham'!E107</f>
        <v>-1.0101010101010102E-2</v>
      </c>
      <c r="F108">
        <f>('Data Saham'!F108-'Data Saham'!F107)/'Data Saham'!F107</f>
        <v>1.3544018058690745E-2</v>
      </c>
      <c r="G108">
        <f>('Data Saham'!G108-'Data Saham'!G107)/'Data Saham'!G107</f>
        <v>9.316770186335404E-3</v>
      </c>
      <c r="H108">
        <f>('Data Saham'!H108-'Data Saham'!H107)/'Data Saham'!H107</f>
        <v>1.8099547511312219E-2</v>
      </c>
      <c r="I108">
        <f>('Data Saham'!I108-'Data Saham'!I107)/'Data Saham'!I107</f>
        <v>-1.0362694300518135E-2</v>
      </c>
      <c r="J108">
        <f>('Data Saham'!J108-'Data Saham'!J107)/'Data Saham'!J107</f>
        <v>-6.269592476489028E-3</v>
      </c>
      <c r="K108">
        <f>('Data Saham'!K108-'Data Saham'!K107)/'Data Saham'!K107</f>
        <v>-1.6574585635359115E-2</v>
      </c>
      <c r="L108">
        <f>('Data Saham'!L108-'Data Saham'!L107)/'Data Saham'!L107</f>
        <v>0</v>
      </c>
      <c r="M108">
        <f>('Data Saham'!M108-'Data Saham'!M107)/'Data Saham'!M107</f>
        <v>-3.5211267605633804E-3</v>
      </c>
      <c r="N108">
        <f>('Data Saham'!N108-'Data Saham'!N107)/'Data Saham'!N107</f>
        <v>-1.7241379310344827E-2</v>
      </c>
      <c r="O108">
        <f>('Data Saham'!O108-'Data Saham'!O107)/'Data Saham'!O107</f>
        <v>2.0710059171597635E-2</v>
      </c>
      <c r="P108">
        <f>('Data Saham'!P108-'Data Saham'!P107)/'Data Saham'!P107</f>
        <v>-1.6E-2</v>
      </c>
      <c r="Q108">
        <f>('Data Saham'!Q108-'Data Saham'!Q107)/'Data Saham'!Q107</f>
        <v>-6.7796610169491523E-3</v>
      </c>
      <c r="R108">
        <f>('Data Saham'!R108-'Data Saham'!R107)/'Data Saham'!R107</f>
        <v>7.1428571428571426E-3</v>
      </c>
      <c r="S108">
        <f>('Data Saham'!S108-'Data Saham'!S107)/'Data Saham'!S107</f>
        <v>4.434589800443459E-3</v>
      </c>
      <c r="T108">
        <f>('Data Saham'!T108-'Data Saham'!T107)/'Data Saham'!T107</f>
        <v>4.7770700636942678E-2</v>
      </c>
      <c r="U108">
        <f>('Data Saham'!U108-'Data Saham'!U107)/'Data Saham'!U107</f>
        <v>-1.7730496453900711E-2</v>
      </c>
      <c r="V108">
        <f>('Data Saham'!V108-'Data Saham'!V107)/'Data Saham'!V107</f>
        <v>5.737704918032787E-2</v>
      </c>
      <c r="W108">
        <f>('Data Saham'!W108-'Data Saham'!W107)/'Data Saham'!W107</f>
        <v>-2.9787234042553193E-2</v>
      </c>
      <c r="X108">
        <f>('Data Saham'!X108-'Data Saham'!X107)/'Data Saham'!X107</f>
        <v>-4.0650406504065045E-3</v>
      </c>
      <c r="Y108">
        <f>('Data Saham'!Y108-'Data Saham'!Y107)/'Data Saham'!Y107</f>
        <v>2.1186440677966101E-2</v>
      </c>
      <c r="Z108">
        <f>('Data Saham'!Z108-'Data Saham'!Z107)/'Data Saham'!Z107</f>
        <v>8.771929824561403E-3</v>
      </c>
      <c r="AA108">
        <f>('Data Saham'!AA108-'Data Saham'!AA107)/'Data Saham'!AA107</f>
        <v>1.1406844106463879E-2</v>
      </c>
      <c r="AB108">
        <f>('Data Saham'!AB108-'Data Saham'!AB107)/'Data Saham'!AB107</f>
        <v>0</v>
      </c>
      <c r="AC108">
        <f>('Data Saham'!AC108-'Data Saham'!AC107)/'Data Saham'!AC107</f>
        <v>5.7142857142857143E-3</v>
      </c>
      <c r="AD108">
        <f>('Data Saham'!AD108-'Data Saham'!AD107)/'Data Saham'!AD107</f>
        <v>-1.7094017094017096E-2</v>
      </c>
      <c r="AE108">
        <f>('Data Saham'!AE108-'Data Saham'!AE107)/'Data Saham'!AE107</f>
        <v>-5.1546391752577319E-3</v>
      </c>
      <c r="AF108">
        <f>('Data Saham'!AF108-'Data Saham'!AF107)/'Data Saham'!AF107</f>
        <v>-2.8436018957345998E-2</v>
      </c>
    </row>
    <row r="109" spans="1:32" x14ac:dyDescent="0.3">
      <c r="A109" s="4" t="s">
        <v>66</v>
      </c>
      <c r="B109">
        <f>('Data Saham'!B109-'Data Saham'!B108)/'Data Saham'!B108</f>
        <v>-4.0376594755097668E-3</v>
      </c>
      <c r="C109">
        <f>('Data Saham'!C109-'Data Saham'!C108)/'Data Saham'!C108</f>
        <v>-1.1695906432748537E-2</v>
      </c>
      <c r="D109">
        <f>('Data Saham'!D109-'Data Saham'!D108)/'Data Saham'!D108</f>
        <v>-1.2048192771084338E-2</v>
      </c>
      <c r="E109">
        <f>('Data Saham'!E109-'Data Saham'!E108)/'Data Saham'!E108</f>
        <v>-2.0408163265306124E-3</v>
      </c>
      <c r="F109">
        <f>('Data Saham'!F109-'Data Saham'!F108)/'Data Saham'!F108</f>
        <v>-2.2271714922048998E-2</v>
      </c>
      <c r="G109">
        <f>('Data Saham'!G109-'Data Saham'!G108)/'Data Saham'!G108</f>
        <v>-3.0769230769230769E-3</v>
      </c>
      <c r="H109">
        <f>('Data Saham'!H109-'Data Saham'!H108)/'Data Saham'!H108</f>
        <v>1.3333333333333334E-2</v>
      </c>
      <c r="I109">
        <f>('Data Saham'!I109-'Data Saham'!I108)/'Data Saham'!I108</f>
        <v>2.617801047120419E-3</v>
      </c>
      <c r="J109">
        <f>('Data Saham'!J109-'Data Saham'!J108)/'Data Saham'!J108</f>
        <v>-9.4637223974763408E-3</v>
      </c>
      <c r="K109">
        <f>('Data Saham'!K109-'Data Saham'!K108)/'Data Saham'!K108</f>
        <v>-2.8089887640449437E-3</v>
      </c>
      <c r="L109">
        <f>('Data Saham'!L109-'Data Saham'!L108)/'Data Saham'!L108</f>
        <v>1.1223344556677891E-3</v>
      </c>
      <c r="M109">
        <f>('Data Saham'!M109-'Data Saham'!M108)/'Data Saham'!M108</f>
        <v>-3.5335689045936395E-3</v>
      </c>
      <c r="N109">
        <f>('Data Saham'!N109-'Data Saham'!N108)/'Data Saham'!N108</f>
        <v>0</v>
      </c>
      <c r="O109">
        <f>('Data Saham'!O109-'Data Saham'!O108)/'Data Saham'!O108</f>
        <v>-2.8985507246376812E-3</v>
      </c>
      <c r="P109">
        <f>('Data Saham'!P109-'Data Saham'!P108)/'Data Saham'!P108</f>
        <v>-1.6260162601626018E-2</v>
      </c>
      <c r="Q109">
        <f>('Data Saham'!Q109-'Data Saham'!Q108)/'Data Saham'!Q108</f>
        <v>0</v>
      </c>
      <c r="R109">
        <f>('Data Saham'!R109-'Data Saham'!R108)/'Data Saham'!R108</f>
        <v>-3.9007092198581561E-2</v>
      </c>
      <c r="S109">
        <f>('Data Saham'!S109-'Data Saham'!S108)/'Data Saham'!S108</f>
        <v>-2.2075055187637969E-3</v>
      </c>
      <c r="T109">
        <f>('Data Saham'!T109-'Data Saham'!T108)/'Data Saham'!T108</f>
        <v>0</v>
      </c>
      <c r="U109">
        <f>('Data Saham'!U109-'Data Saham'!U108)/'Data Saham'!U108</f>
        <v>-7.2202166064981952E-3</v>
      </c>
      <c r="V109">
        <f>('Data Saham'!V109-'Data Saham'!V108)/'Data Saham'!V108</f>
        <v>0</v>
      </c>
      <c r="W109">
        <f>('Data Saham'!W109-'Data Saham'!W108)/'Data Saham'!W108</f>
        <v>-1.3157894736842105E-2</v>
      </c>
      <c r="X109">
        <f>('Data Saham'!X109-'Data Saham'!X108)/'Data Saham'!X108</f>
        <v>4.0816326530612249E-3</v>
      </c>
      <c r="Y109">
        <f>('Data Saham'!Y109-'Data Saham'!Y108)/'Data Saham'!Y108</f>
        <v>-4.5643153526970952E-2</v>
      </c>
      <c r="Z109">
        <f>('Data Saham'!Z109-'Data Saham'!Z108)/'Data Saham'!Z108</f>
        <v>-8.6956521739130436E-3</v>
      </c>
      <c r="AA109">
        <f>('Data Saham'!AA109-'Data Saham'!AA108)/'Data Saham'!AA108</f>
        <v>1.5037593984962405E-2</v>
      </c>
      <c r="AB109">
        <f>('Data Saham'!AB109-'Data Saham'!AB108)/'Data Saham'!AB108</f>
        <v>0</v>
      </c>
      <c r="AC109">
        <f>('Data Saham'!AC109-'Data Saham'!AC108)/'Data Saham'!AC108</f>
        <v>2.2727272727272728E-2</v>
      </c>
      <c r="AD109">
        <f>('Data Saham'!AD109-'Data Saham'!AD108)/'Data Saham'!AD108</f>
        <v>-4.3478260869565218E-3</v>
      </c>
      <c r="AE109">
        <f>('Data Saham'!AE109-'Data Saham'!AE108)/'Data Saham'!AE108</f>
        <v>-1.0362694300518135E-2</v>
      </c>
      <c r="AF109">
        <f>('Data Saham'!AF109-'Data Saham'!AF108)/'Data Saham'!AF108</f>
        <v>-1.463414634146332E-2</v>
      </c>
    </row>
    <row r="110" spans="1:32" x14ac:dyDescent="0.3">
      <c r="A110" s="3" t="s">
        <v>67</v>
      </c>
      <c r="B110">
        <f>('Data Saham'!B110-'Data Saham'!B109)/'Data Saham'!B109</f>
        <v>8.6603001711445683E-3</v>
      </c>
      <c r="C110">
        <f>('Data Saham'!C110-'Data Saham'!C109)/'Data Saham'!C109</f>
        <v>2.9585798816568047E-3</v>
      </c>
      <c r="D110">
        <f>('Data Saham'!D110-'Data Saham'!D109)/'Data Saham'!D109</f>
        <v>2.6829268292682926E-2</v>
      </c>
      <c r="E110">
        <f>('Data Saham'!E110-'Data Saham'!E109)/'Data Saham'!E109</f>
        <v>1.2269938650306749E-2</v>
      </c>
      <c r="F110">
        <f>('Data Saham'!F110-'Data Saham'!F109)/'Data Saham'!F109</f>
        <v>1.366742596810934E-2</v>
      </c>
      <c r="G110">
        <f>('Data Saham'!G110-'Data Saham'!G109)/'Data Saham'!G109</f>
        <v>2.1604938271604937E-2</v>
      </c>
      <c r="H110">
        <f>('Data Saham'!H110-'Data Saham'!H109)/'Data Saham'!H109</f>
        <v>8.771929824561403E-3</v>
      </c>
      <c r="I110">
        <f>('Data Saham'!I110-'Data Saham'!I109)/'Data Saham'!I109</f>
        <v>-7.832898172323759E-3</v>
      </c>
      <c r="J110">
        <f>('Data Saham'!J110-'Data Saham'!J109)/'Data Saham'!J109</f>
        <v>-1.9108280254777069E-2</v>
      </c>
      <c r="K110">
        <f>('Data Saham'!K110-'Data Saham'!K109)/'Data Saham'!K109</f>
        <v>-1.9718309859154931E-2</v>
      </c>
      <c r="L110">
        <f>('Data Saham'!L110-'Data Saham'!L109)/'Data Saham'!L109</f>
        <v>4.4843049327354259E-3</v>
      </c>
      <c r="M110">
        <f>('Data Saham'!M110-'Data Saham'!M109)/'Data Saham'!M109</f>
        <v>1.7730496453900711E-2</v>
      </c>
      <c r="N110">
        <f>('Data Saham'!N110-'Data Saham'!N109)/'Data Saham'!N109</f>
        <v>-8.771929824561403E-3</v>
      </c>
      <c r="O110">
        <f>('Data Saham'!O110-'Data Saham'!O109)/'Data Saham'!O109</f>
        <v>0</v>
      </c>
      <c r="P110">
        <f>('Data Saham'!P110-'Data Saham'!P109)/'Data Saham'!P109</f>
        <v>0.13223140495867769</v>
      </c>
      <c r="Q110">
        <f>('Data Saham'!Q110-'Data Saham'!Q109)/'Data Saham'!Q109</f>
        <v>0</v>
      </c>
      <c r="R110">
        <f>('Data Saham'!R110-'Data Saham'!R109)/'Data Saham'!R109</f>
        <v>-4.0590405904059039E-2</v>
      </c>
      <c r="S110">
        <f>('Data Saham'!S110-'Data Saham'!S109)/'Data Saham'!S109</f>
        <v>-8.8495575221238937E-3</v>
      </c>
      <c r="T110">
        <f>('Data Saham'!T110-'Data Saham'!T109)/'Data Saham'!T109</f>
        <v>-1.82370820668693E-2</v>
      </c>
      <c r="U110">
        <f>('Data Saham'!U110-'Data Saham'!U109)/'Data Saham'!U109</f>
        <v>2.181818181818182E-2</v>
      </c>
      <c r="V110">
        <f>('Data Saham'!V110-'Data Saham'!V109)/'Data Saham'!V109</f>
        <v>-2.2286821705426358E-2</v>
      </c>
      <c r="W110">
        <f>('Data Saham'!W110-'Data Saham'!W109)/'Data Saham'!W109</f>
        <v>8.8888888888888889E-3</v>
      </c>
      <c r="X110">
        <f>('Data Saham'!X110-'Data Saham'!X109)/'Data Saham'!X109</f>
        <v>1.6260162601626018E-2</v>
      </c>
      <c r="Y110">
        <f>('Data Saham'!Y110-'Data Saham'!Y109)/'Data Saham'!Y109</f>
        <v>-8.6956521739130436E-3</v>
      </c>
      <c r="Z110">
        <f>('Data Saham'!Z110-'Data Saham'!Z109)/'Data Saham'!Z109</f>
        <v>8.771929824561403E-3</v>
      </c>
      <c r="AA110">
        <f>('Data Saham'!AA110-'Data Saham'!AA109)/'Data Saham'!AA109</f>
        <v>3.7037037037037038E-3</v>
      </c>
      <c r="AB110">
        <f>('Data Saham'!AB110-'Data Saham'!AB109)/'Data Saham'!AB109</f>
        <v>-1.6393442622950821E-2</v>
      </c>
      <c r="AC110">
        <f>('Data Saham'!AC110-'Data Saham'!AC109)/'Data Saham'!AC109</f>
        <v>1.6666666666666666E-2</v>
      </c>
      <c r="AD110">
        <f>('Data Saham'!AD110-'Data Saham'!AD109)/'Data Saham'!AD109</f>
        <v>3.4934497816593885E-2</v>
      </c>
      <c r="AE110">
        <f>('Data Saham'!AE110-'Data Saham'!AE109)/'Data Saham'!AE109</f>
        <v>1.5706806282722512E-2</v>
      </c>
      <c r="AF110">
        <f>('Data Saham'!AF110-'Data Saham'!AF109)/'Data Saham'!AF109</f>
        <v>5.4455445544554393E-2</v>
      </c>
    </row>
    <row r="111" spans="1:32" x14ac:dyDescent="0.3">
      <c r="A111" s="4" t="s">
        <v>68</v>
      </c>
      <c r="B111">
        <f>('Data Saham'!B111-'Data Saham'!B110)/'Data Saham'!B110</f>
        <v>-2.6681266723098452E-3</v>
      </c>
      <c r="C111">
        <f>('Data Saham'!C111-'Data Saham'!C110)/'Data Saham'!C110</f>
        <v>-2.6548672566371681E-2</v>
      </c>
      <c r="D111">
        <f>('Data Saham'!D111-'Data Saham'!D110)/'Data Saham'!D110</f>
        <v>-9.5011876484560574E-3</v>
      </c>
      <c r="E111">
        <f>('Data Saham'!E111-'Data Saham'!E110)/'Data Saham'!E110</f>
        <v>-1.0101010101010102E-2</v>
      </c>
      <c r="F111">
        <f>('Data Saham'!F111-'Data Saham'!F110)/'Data Saham'!F110</f>
        <v>2.0224719101123594E-2</v>
      </c>
      <c r="G111">
        <f>('Data Saham'!G111-'Data Saham'!G110)/'Data Saham'!G110</f>
        <v>-1.5105740181268883E-2</v>
      </c>
      <c r="H111">
        <f>('Data Saham'!H111-'Data Saham'!H110)/'Data Saham'!H110</f>
        <v>-2.1739130434782608E-2</v>
      </c>
      <c r="I111">
        <f>('Data Saham'!I111-'Data Saham'!I110)/'Data Saham'!I110</f>
        <v>-1.3157894736842105E-2</v>
      </c>
      <c r="J111">
        <f>('Data Saham'!J111-'Data Saham'!J110)/'Data Saham'!J110</f>
        <v>1.2987012987012988E-2</v>
      </c>
      <c r="K111">
        <f>('Data Saham'!K111-'Data Saham'!K110)/'Data Saham'!K110</f>
        <v>-2.8735632183908046E-3</v>
      </c>
      <c r="L111">
        <f>('Data Saham'!L111-'Data Saham'!L110)/'Data Saham'!L110</f>
        <v>-1.1160714285714285E-3</v>
      </c>
      <c r="M111">
        <f>('Data Saham'!M111-'Data Saham'!M110)/'Data Saham'!M110</f>
        <v>3.4843205574912892E-3</v>
      </c>
      <c r="N111">
        <f>('Data Saham'!N111-'Data Saham'!N110)/'Data Saham'!N110</f>
        <v>-1.3274336283185841E-2</v>
      </c>
      <c r="O111">
        <f>('Data Saham'!O111-'Data Saham'!O110)/'Data Saham'!O110</f>
        <v>-8.7209302325581394E-3</v>
      </c>
      <c r="P111">
        <f>('Data Saham'!P111-'Data Saham'!P110)/'Data Saham'!P110</f>
        <v>-7.2992700729927001E-2</v>
      </c>
      <c r="Q111">
        <f>('Data Saham'!Q111-'Data Saham'!Q110)/'Data Saham'!Q110</f>
        <v>1.0238907849829351E-2</v>
      </c>
      <c r="R111">
        <f>('Data Saham'!R111-'Data Saham'!R110)/'Data Saham'!R110</f>
        <v>-7.6923076923076927E-3</v>
      </c>
      <c r="S111">
        <f>('Data Saham'!S111-'Data Saham'!S110)/'Data Saham'!S110</f>
        <v>-1.1160714285714286E-2</v>
      </c>
      <c r="T111">
        <f>('Data Saham'!T111-'Data Saham'!T110)/'Data Saham'!T110</f>
        <v>-6.1919504643962852E-3</v>
      </c>
      <c r="U111">
        <f>('Data Saham'!U111-'Data Saham'!U110)/'Data Saham'!U110</f>
        <v>-1.4234875444839857E-2</v>
      </c>
      <c r="V111">
        <f>('Data Saham'!V111-'Data Saham'!V110)/'Data Saham'!V110</f>
        <v>-2.4777006937561942E-2</v>
      </c>
      <c r="W111">
        <f>('Data Saham'!W111-'Data Saham'!W110)/'Data Saham'!W110</f>
        <v>-3.9647577092511016E-2</v>
      </c>
      <c r="X111">
        <f>('Data Saham'!X111-'Data Saham'!X110)/'Data Saham'!X110</f>
        <v>-0.02</v>
      </c>
      <c r="Y111">
        <f>('Data Saham'!Y111-'Data Saham'!Y110)/'Data Saham'!Y110</f>
        <v>0</v>
      </c>
      <c r="Z111">
        <f>('Data Saham'!Z111-'Data Saham'!Z110)/'Data Saham'!Z110</f>
        <v>0</v>
      </c>
      <c r="AA111">
        <f>('Data Saham'!AA111-'Data Saham'!AA110)/'Data Saham'!AA110</f>
        <v>-2.5830258302583026E-2</v>
      </c>
      <c r="AB111">
        <f>('Data Saham'!AB111-'Data Saham'!AB110)/'Data Saham'!AB110</f>
        <v>1.6666666666666666E-2</v>
      </c>
      <c r="AC111">
        <f>('Data Saham'!AC111-'Data Saham'!AC110)/'Data Saham'!AC110</f>
        <v>-1.6393442622950821E-2</v>
      </c>
      <c r="AD111">
        <f>('Data Saham'!AD111-'Data Saham'!AD110)/'Data Saham'!AD110</f>
        <v>-2.1097046413502109E-2</v>
      </c>
      <c r="AE111">
        <f>('Data Saham'!AE111-'Data Saham'!AE110)/'Data Saham'!AE110</f>
        <v>-1.0309278350515464E-2</v>
      </c>
      <c r="AF111">
        <f>('Data Saham'!AF111-'Data Saham'!AF110)/'Data Saham'!AF110</f>
        <v>4.6948356807512822E-3</v>
      </c>
    </row>
    <row r="112" spans="1:32" x14ac:dyDescent="0.3">
      <c r="A112" s="3" t="s">
        <v>69</v>
      </c>
      <c r="B112">
        <f>('Data Saham'!B112-'Data Saham'!B111)/'Data Saham'!B111</f>
        <v>3.8478274068527341E-3</v>
      </c>
      <c r="C112">
        <f>('Data Saham'!C112-'Data Saham'!C111)/'Data Saham'!C111</f>
        <v>6.0606060606060606E-3</v>
      </c>
      <c r="D112">
        <f>('Data Saham'!D112-'Data Saham'!D111)/'Data Saham'!D111</f>
        <v>-9.5923261390887284E-3</v>
      </c>
      <c r="E112">
        <f>('Data Saham'!E112-'Data Saham'!E111)/'Data Saham'!E111</f>
        <v>-2.0408163265306121E-2</v>
      </c>
      <c r="F112">
        <f>('Data Saham'!F112-'Data Saham'!F111)/'Data Saham'!F111</f>
        <v>-1.9823788546255508E-2</v>
      </c>
      <c r="G112">
        <f>('Data Saham'!G112-'Data Saham'!G111)/'Data Saham'!G111</f>
        <v>-2.7607361963190184E-2</v>
      </c>
      <c r="H112">
        <f>('Data Saham'!H112-'Data Saham'!H111)/'Data Saham'!H111</f>
        <v>-2.2222222222222223E-2</v>
      </c>
      <c r="I112">
        <f>('Data Saham'!I112-'Data Saham'!I111)/'Data Saham'!I111</f>
        <v>-5.3333333333333332E-3</v>
      </c>
      <c r="J112">
        <f>('Data Saham'!J112-'Data Saham'!J111)/'Data Saham'!J111</f>
        <v>-2.564102564102564E-2</v>
      </c>
      <c r="K112">
        <f>('Data Saham'!K112-'Data Saham'!K111)/'Data Saham'!K111</f>
        <v>4.0345821325648415E-2</v>
      </c>
      <c r="L112">
        <f>('Data Saham'!L112-'Data Saham'!L111)/'Data Saham'!L111</f>
        <v>1.1173184357541898E-3</v>
      </c>
      <c r="M112">
        <f>('Data Saham'!M112-'Data Saham'!M111)/'Data Saham'!M111</f>
        <v>2.7777777777777776E-2</v>
      </c>
      <c r="N112">
        <f>('Data Saham'!N112-'Data Saham'!N111)/'Data Saham'!N111</f>
        <v>7.1748878923766815E-2</v>
      </c>
      <c r="O112">
        <f>('Data Saham'!O112-'Data Saham'!O111)/'Data Saham'!O111</f>
        <v>-2.3460410557184751E-2</v>
      </c>
      <c r="P112">
        <f>('Data Saham'!P112-'Data Saham'!P111)/'Data Saham'!P111</f>
        <v>2.3622047244094488E-2</v>
      </c>
      <c r="Q112">
        <f>('Data Saham'!Q112-'Data Saham'!Q111)/'Data Saham'!Q111</f>
        <v>-6.7567567567567571E-2</v>
      </c>
      <c r="R112">
        <f>('Data Saham'!R112-'Data Saham'!R111)/'Data Saham'!R111</f>
        <v>0</v>
      </c>
      <c r="S112">
        <f>('Data Saham'!S112-'Data Saham'!S111)/'Data Saham'!S111</f>
        <v>-1.1286681715575621E-2</v>
      </c>
      <c r="T112">
        <f>('Data Saham'!T112-'Data Saham'!T111)/'Data Saham'!T111</f>
        <v>3.7383177570093455E-2</v>
      </c>
      <c r="U112">
        <f>('Data Saham'!U112-'Data Saham'!U111)/'Data Saham'!U111</f>
        <v>-1.444043321299639E-2</v>
      </c>
      <c r="V112">
        <f>('Data Saham'!V112-'Data Saham'!V111)/'Data Saham'!V111</f>
        <v>1.6260162601626018E-2</v>
      </c>
      <c r="W112">
        <f>('Data Saham'!W112-'Data Saham'!W111)/'Data Saham'!W111</f>
        <v>5.0458715596330278E-2</v>
      </c>
      <c r="X112">
        <f>('Data Saham'!X112-'Data Saham'!X111)/'Data Saham'!X111</f>
        <v>-8.1632653061224497E-3</v>
      </c>
      <c r="Y112">
        <f>('Data Saham'!Y112-'Data Saham'!Y111)/'Data Saham'!Y111</f>
        <v>-1.3157894736842105E-2</v>
      </c>
      <c r="Z112">
        <f>('Data Saham'!Z112-'Data Saham'!Z111)/'Data Saham'!Z111</f>
        <v>-4.3478260869565218E-3</v>
      </c>
      <c r="AA112">
        <f>('Data Saham'!AA112-'Data Saham'!AA111)/'Data Saham'!AA111</f>
        <v>-4.1666666666666664E-2</v>
      </c>
      <c r="AB112">
        <f>('Data Saham'!AB112-'Data Saham'!AB111)/'Data Saham'!AB111</f>
        <v>-1.6393442622950821E-2</v>
      </c>
      <c r="AC112">
        <f>('Data Saham'!AC112-'Data Saham'!AC111)/'Data Saham'!AC111</f>
        <v>-2.2222222222222223E-2</v>
      </c>
      <c r="AD112">
        <f>('Data Saham'!AD112-'Data Saham'!AD111)/'Data Saham'!AD111</f>
        <v>0</v>
      </c>
      <c r="AE112">
        <f>('Data Saham'!AE112-'Data Saham'!AE111)/'Data Saham'!AE111</f>
        <v>-5.208333333333333E-3</v>
      </c>
      <c r="AF112">
        <f>('Data Saham'!AF112-'Data Saham'!AF111)/'Data Saham'!AF111</f>
        <v>4.6728971962615821E-3</v>
      </c>
    </row>
    <row r="113" spans="1:32" x14ac:dyDescent="0.3">
      <c r="A113" s="4" t="s">
        <v>70</v>
      </c>
      <c r="B113">
        <f>('Data Saham'!B113-'Data Saham'!B112)/'Data Saham'!B112</f>
        <v>2.004742835973964E-3</v>
      </c>
      <c r="C113">
        <f>('Data Saham'!C113-'Data Saham'!C112)/'Data Saham'!C112</f>
        <v>3.0120481927710845E-3</v>
      </c>
      <c r="D113">
        <f>('Data Saham'!D113-'Data Saham'!D112)/'Data Saham'!D112</f>
        <v>2.4213075060532689E-3</v>
      </c>
      <c r="E113">
        <f>('Data Saham'!E113-'Data Saham'!E112)/'Data Saham'!E112</f>
        <v>-6.2500000000000003E-3</v>
      </c>
      <c r="F113">
        <f>('Data Saham'!F113-'Data Saham'!F112)/'Data Saham'!F112</f>
        <v>2.2471910112359553E-3</v>
      </c>
      <c r="G113">
        <f>('Data Saham'!G113-'Data Saham'!G112)/'Data Saham'!G112</f>
        <v>3.1545741324921135E-3</v>
      </c>
      <c r="H113">
        <f>('Data Saham'!H113-'Data Saham'!H112)/'Data Saham'!H112</f>
        <v>1.3636363636363636E-2</v>
      </c>
      <c r="I113">
        <f>('Data Saham'!I113-'Data Saham'!I112)/'Data Saham'!I112</f>
        <v>-2.6809651474530832E-3</v>
      </c>
      <c r="J113">
        <f>('Data Saham'!J113-'Data Saham'!J112)/'Data Saham'!J112</f>
        <v>0</v>
      </c>
      <c r="K113">
        <f>('Data Saham'!K113-'Data Saham'!K112)/'Data Saham'!K112</f>
        <v>-1.9390581717451522E-2</v>
      </c>
      <c r="L113">
        <f>('Data Saham'!L113-'Data Saham'!L112)/'Data Saham'!L112</f>
        <v>1.1160714285714285E-3</v>
      </c>
      <c r="M113">
        <f>('Data Saham'!M113-'Data Saham'!M112)/'Data Saham'!M112</f>
        <v>6.7567567567567571E-3</v>
      </c>
      <c r="N113">
        <f>('Data Saham'!N113-'Data Saham'!N112)/'Data Saham'!N112</f>
        <v>5.0209205020920501E-2</v>
      </c>
      <c r="O113">
        <f>('Data Saham'!O113-'Data Saham'!O112)/'Data Saham'!O112</f>
        <v>3.003003003003003E-2</v>
      </c>
      <c r="P113">
        <f>('Data Saham'!P113-'Data Saham'!P112)/'Data Saham'!P112</f>
        <v>-7.6923076923076927E-3</v>
      </c>
      <c r="Q113">
        <f>('Data Saham'!Q113-'Data Saham'!Q112)/'Data Saham'!Q112</f>
        <v>3.6231884057971015E-3</v>
      </c>
      <c r="R113">
        <f>('Data Saham'!R113-'Data Saham'!R112)/'Data Saham'!R112</f>
        <v>-1.5503875968992248E-2</v>
      </c>
      <c r="S113">
        <f>('Data Saham'!S113-'Data Saham'!S112)/'Data Saham'!S112</f>
        <v>0</v>
      </c>
      <c r="T113">
        <f>('Data Saham'!T113-'Data Saham'!T112)/'Data Saham'!T112</f>
        <v>-9.0090090090090089E-3</v>
      </c>
      <c r="U113">
        <f>('Data Saham'!U113-'Data Saham'!U112)/'Data Saham'!U112</f>
        <v>0</v>
      </c>
      <c r="V113">
        <f>('Data Saham'!V113-'Data Saham'!V112)/'Data Saham'!V112</f>
        <v>-1.2999999999999999E-2</v>
      </c>
      <c r="W113">
        <f>('Data Saham'!W113-'Data Saham'!W112)/'Data Saham'!W112</f>
        <v>-1.3100436681222707E-2</v>
      </c>
      <c r="X113">
        <f>('Data Saham'!X113-'Data Saham'!X112)/'Data Saham'!X112</f>
        <v>8.23045267489712E-3</v>
      </c>
      <c r="Y113">
        <f>('Data Saham'!Y113-'Data Saham'!Y112)/'Data Saham'!Y112</f>
        <v>-8.8888888888888889E-3</v>
      </c>
      <c r="Z113">
        <f>('Data Saham'!Z113-'Data Saham'!Z112)/'Data Saham'!Z112</f>
        <v>1.7467248908296942E-2</v>
      </c>
      <c r="AA113">
        <f>('Data Saham'!AA113-'Data Saham'!AA112)/'Data Saham'!AA112</f>
        <v>-1.1857707509881422E-2</v>
      </c>
      <c r="AB113">
        <f>('Data Saham'!AB113-'Data Saham'!AB112)/'Data Saham'!AB112</f>
        <v>-1.6666666666666666E-2</v>
      </c>
      <c r="AC113">
        <f>('Data Saham'!AC113-'Data Saham'!AC112)/'Data Saham'!AC112</f>
        <v>1.1363636363636364E-2</v>
      </c>
      <c r="AD113">
        <f>('Data Saham'!AD113-'Data Saham'!AD112)/'Data Saham'!AD112</f>
        <v>8.6206896551724137E-3</v>
      </c>
      <c r="AE113">
        <f>('Data Saham'!AE113-'Data Saham'!AE112)/'Data Saham'!AE112</f>
        <v>-1.0471204188481676E-2</v>
      </c>
      <c r="AF113">
        <f>('Data Saham'!AF113-'Data Saham'!AF112)/'Data Saham'!AF112</f>
        <v>-1.3953488372092933E-2</v>
      </c>
    </row>
    <row r="114" spans="1:32" x14ac:dyDescent="0.3">
      <c r="A114" s="3" t="s">
        <v>71</v>
      </c>
      <c r="B114">
        <f>('Data Saham'!B114-'Data Saham'!B113)/'Data Saham'!B113</f>
        <v>-1.5291577434360069E-2</v>
      </c>
      <c r="C114">
        <f>('Data Saham'!C114-'Data Saham'!C113)/'Data Saham'!C113</f>
        <v>-3.003003003003003E-2</v>
      </c>
      <c r="D114">
        <f>('Data Saham'!D114-'Data Saham'!D113)/'Data Saham'!D113</f>
        <v>-2.1739130434782608E-2</v>
      </c>
      <c r="E114">
        <f>('Data Saham'!E114-'Data Saham'!E113)/'Data Saham'!E113</f>
        <v>-8.385744234800839E-3</v>
      </c>
      <c r="F114">
        <f>('Data Saham'!F114-'Data Saham'!F113)/'Data Saham'!F113</f>
        <v>-1.7937219730941704E-2</v>
      </c>
      <c r="G114">
        <f>('Data Saham'!G114-'Data Saham'!G113)/'Data Saham'!G113</f>
        <v>-1.5723270440251572E-2</v>
      </c>
      <c r="H114">
        <f>('Data Saham'!H114-'Data Saham'!H113)/'Data Saham'!H113</f>
        <v>-1.3452914798206279E-2</v>
      </c>
      <c r="I114">
        <f>('Data Saham'!I114-'Data Saham'!I113)/'Data Saham'!I113</f>
        <v>-3.4946236559139782E-2</v>
      </c>
      <c r="J114">
        <f>('Data Saham'!J114-'Data Saham'!J113)/'Data Saham'!J113</f>
        <v>-1.9736842105263157E-2</v>
      </c>
      <c r="K114">
        <f>('Data Saham'!K114-'Data Saham'!K113)/'Data Saham'!K113</f>
        <v>-8.4745762711864406E-3</v>
      </c>
      <c r="L114">
        <f>('Data Saham'!L114-'Data Saham'!L113)/'Data Saham'!L113</f>
        <v>-1.3377926421404682E-2</v>
      </c>
      <c r="M114">
        <f>('Data Saham'!M114-'Data Saham'!M113)/'Data Saham'!M113</f>
        <v>2.0134228187919462E-2</v>
      </c>
      <c r="N114">
        <f>('Data Saham'!N114-'Data Saham'!N113)/'Data Saham'!N113</f>
        <v>-1.5936254980079681E-2</v>
      </c>
      <c r="O114">
        <f>('Data Saham'!O114-'Data Saham'!O113)/'Data Saham'!O113</f>
        <v>-2.9154518950437317E-3</v>
      </c>
      <c r="P114">
        <f>('Data Saham'!P114-'Data Saham'!P113)/'Data Saham'!P113</f>
        <v>-4.6511627906976744E-2</v>
      </c>
      <c r="Q114">
        <f>('Data Saham'!Q114-'Data Saham'!Q113)/'Data Saham'!Q113</f>
        <v>-7.2202166064981952E-3</v>
      </c>
      <c r="R114">
        <f>('Data Saham'!R114-'Data Saham'!R113)/'Data Saham'!R113</f>
        <v>-4.3307086614173228E-2</v>
      </c>
      <c r="S114">
        <f>('Data Saham'!S114-'Data Saham'!S113)/'Data Saham'!S113</f>
        <v>-2.5114155251141551E-2</v>
      </c>
      <c r="T114">
        <f>('Data Saham'!T114-'Data Saham'!T113)/'Data Saham'!T113</f>
        <v>-6.0606060606060606E-3</v>
      </c>
      <c r="U114">
        <f>('Data Saham'!U114-'Data Saham'!U113)/'Data Saham'!U113</f>
        <v>-2.9304029304029304E-2</v>
      </c>
      <c r="V114">
        <f>('Data Saham'!V114-'Data Saham'!V113)/'Data Saham'!V113</f>
        <v>-1.1144883485309016E-2</v>
      </c>
      <c r="W114">
        <f>('Data Saham'!W114-'Data Saham'!W113)/'Data Saham'!W113</f>
        <v>-3.0973451327433628E-2</v>
      </c>
      <c r="X114">
        <f>('Data Saham'!X114-'Data Saham'!X113)/'Data Saham'!X113</f>
        <v>-2.4489795918367346E-2</v>
      </c>
      <c r="Y114">
        <f>('Data Saham'!Y114-'Data Saham'!Y113)/'Data Saham'!Y113</f>
        <v>-1.3452914798206279E-2</v>
      </c>
      <c r="Z114">
        <f>('Data Saham'!Z114-'Data Saham'!Z113)/'Data Saham'!Z113</f>
        <v>-2.1459227467811159E-2</v>
      </c>
      <c r="AA114">
        <f>('Data Saham'!AA114-'Data Saham'!AA113)/'Data Saham'!AA113</f>
        <v>-3.5999999999999997E-2</v>
      </c>
      <c r="AB114">
        <f>('Data Saham'!AB114-'Data Saham'!AB113)/'Data Saham'!AB113</f>
        <v>-1.6949152542372881E-2</v>
      </c>
      <c r="AC114">
        <f>('Data Saham'!AC114-'Data Saham'!AC113)/'Data Saham'!AC113</f>
        <v>-2.247191011235955E-2</v>
      </c>
      <c r="AD114">
        <f>('Data Saham'!AD114-'Data Saham'!AD113)/'Data Saham'!AD113</f>
        <v>-4.2735042735042736E-2</v>
      </c>
      <c r="AE114">
        <f>('Data Saham'!AE114-'Data Saham'!AE113)/'Data Saham'!AE113</f>
        <v>-1.5873015873015872E-2</v>
      </c>
      <c r="AF114">
        <f>('Data Saham'!AF114-'Data Saham'!AF113)/'Data Saham'!AF113</f>
        <v>-4.2452830188679389E-2</v>
      </c>
    </row>
    <row r="115" spans="1:32" x14ac:dyDescent="0.3">
      <c r="A115" s="2">
        <v>45666</v>
      </c>
      <c r="B115">
        <f>('Data Saham'!B115-'Data Saham'!B114)/'Data Saham'!B114</f>
        <v>-1.2057993816478927E-2</v>
      </c>
      <c r="C115">
        <f>('Data Saham'!C115-'Data Saham'!C114)/'Data Saham'!C114</f>
        <v>-9.2879256965944269E-3</v>
      </c>
      <c r="D115">
        <f>('Data Saham'!D115-'Data Saham'!D114)/'Data Saham'!D114</f>
        <v>-1.7283950617283949E-2</v>
      </c>
      <c r="E115">
        <f>('Data Saham'!E115-'Data Saham'!E114)/'Data Saham'!E114</f>
        <v>-2.748414376321353E-2</v>
      </c>
      <c r="F115">
        <f>('Data Saham'!F115-'Data Saham'!F114)/'Data Saham'!F114</f>
        <v>-1.3698630136986301E-2</v>
      </c>
      <c r="G115">
        <f>('Data Saham'!G115-'Data Saham'!G114)/'Data Saham'!G114</f>
        <v>-6.3897763578274758E-3</v>
      </c>
      <c r="H115">
        <f>('Data Saham'!H115-'Data Saham'!H114)/'Data Saham'!H114</f>
        <v>-9.0909090909090905E-3</v>
      </c>
      <c r="I115">
        <f>('Data Saham'!I115-'Data Saham'!I114)/'Data Saham'!I114</f>
        <v>2.5069637883008356E-2</v>
      </c>
      <c r="J115">
        <f>('Data Saham'!J115-'Data Saham'!J114)/'Data Saham'!J114</f>
        <v>-6.7114093959731542E-3</v>
      </c>
      <c r="K115">
        <f>('Data Saham'!K115-'Data Saham'!K114)/'Data Saham'!K114</f>
        <v>-1.9943019943019943E-2</v>
      </c>
      <c r="L115">
        <f>('Data Saham'!L115-'Data Saham'!L114)/'Data Saham'!L114</f>
        <v>3.3898305084745762E-3</v>
      </c>
      <c r="M115">
        <f>('Data Saham'!M115-'Data Saham'!M114)/'Data Saham'!M114</f>
        <v>5.2631578947368418E-2</v>
      </c>
      <c r="N115">
        <f>('Data Saham'!N115-'Data Saham'!N114)/'Data Saham'!N114</f>
        <v>8.0971659919028341E-3</v>
      </c>
      <c r="O115">
        <f>('Data Saham'!O115-'Data Saham'!O114)/'Data Saham'!O114</f>
        <v>-2.6315789473684209E-2</v>
      </c>
      <c r="P115">
        <f>('Data Saham'!P115-'Data Saham'!P114)/'Data Saham'!P114</f>
        <v>-1.6260162601626018E-2</v>
      </c>
      <c r="Q115">
        <f>('Data Saham'!Q115-'Data Saham'!Q114)/'Data Saham'!Q114</f>
        <v>-1.090909090909091E-2</v>
      </c>
      <c r="R115">
        <f>('Data Saham'!R115-'Data Saham'!R114)/'Data Saham'!R114</f>
        <v>-3.292181069958848E-2</v>
      </c>
      <c r="S115">
        <f>('Data Saham'!S115-'Data Saham'!S114)/'Data Saham'!S114</f>
        <v>7.0257611241217799E-3</v>
      </c>
      <c r="T115">
        <f>('Data Saham'!T115-'Data Saham'!T114)/'Data Saham'!T114</f>
        <v>-1.2195121951219513E-2</v>
      </c>
      <c r="U115">
        <f>('Data Saham'!U115-'Data Saham'!U114)/'Data Saham'!U114</f>
        <v>2.6415094339622643E-2</v>
      </c>
      <c r="V115">
        <f>('Data Saham'!V115-'Data Saham'!V114)/'Data Saham'!V114</f>
        <v>3.0737704918032786E-3</v>
      </c>
      <c r="W115">
        <f>('Data Saham'!W115-'Data Saham'!W114)/'Data Saham'!W114</f>
        <v>-2.7397260273972601E-2</v>
      </c>
      <c r="X115">
        <f>('Data Saham'!X115-'Data Saham'!X114)/'Data Saham'!X114</f>
        <v>-4.1841004184100415E-3</v>
      </c>
      <c r="Y115">
        <f>('Data Saham'!Y115-'Data Saham'!Y114)/'Data Saham'!Y114</f>
        <v>-1.8181818181818181E-2</v>
      </c>
      <c r="Z115">
        <f>('Data Saham'!Z115-'Data Saham'!Z114)/'Data Saham'!Z114</f>
        <v>-2.6315789473684209E-2</v>
      </c>
      <c r="AA115">
        <f>('Data Saham'!AA115-'Data Saham'!AA114)/'Data Saham'!AA114</f>
        <v>-1.2448132780082987E-2</v>
      </c>
      <c r="AB115">
        <f>('Data Saham'!AB115-'Data Saham'!AB114)/'Data Saham'!AB114</f>
        <v>0</v>
      </c>
      <c r="AC115">
        <f>('Data Saham'!AC115-'Data Saham'!AC114)/'Data Saham'!AC114</f>
        <v>-3.4482758620689655E-2</v>
      </c>
      <c r="AD115">
        <f>('Data Saham'!AD115-'Data Saham'!AD114)/'Data Saham'!AD114</f>
        <v>-8.9285714285714281E-3</v>
      </c>
      <c r="AE115">
        <f>('Data Saham'!AE115-'Data Saham'!AE114)/'Data Saham'!AE114</f>
        <v>-4.8387096774193547E-2</v>
      </c>
      <c r="AF115">
        <f>('Data Saham'!AF115-'Data Saham'!AF114)/'Data Saham'!AF114</f>
        <v>969.44334975369463</v>
      </c>
    </row>
    <row r="116" spans="1:32" x14ac:dyDescent="0.3">
      <c r="A116" s="1">
        <v>45697</v>
      </c>
      <c r="B116">
        <f>('Data Saham'!B116-'Data Saham'!B115)/'Data Saham'!B115</f>
        <v>8.4681239957756609E-3</v>
      </c>
      <c r="C116">
        <f>('Data Saham'!C116-'Data Saham'!C115)/'Data Saham'!C115</f>
        <v>0</v>
      </c>
      <c r="D116">
        <f>('Data Saham'!D116-'Data Saham'!D115)/'Data Saham'!D115</f>
        <v>-5.0251256281407036E-3</v>
      </c>
      <c r="E116">
        <f>('Data Saham'!E116-'Data Saham'!E115)/'Data Saham'!E115</f>
        <v>-6.5217391304347823E-3</v>
      </c>
      <c r="F116">
        <f>('Data Saham'!F116-'Data Saham'!F115)/'Data Saham'!F115</f>
        <v>-2.3148148148148147E-3</v>
      </c>
      <c r="G116">
        <f>('Data Saham'!G116-'Data Saham'!G115)/'Data Saham'!G115</f>
        <v>-1.2861736334405145E-2</v>
      </c>
      <c r="H116">
        <f>('Data Saham'!H116-'Data Saham'!H115)/'Data Saham'!H115</f>
        <v>4.5871559633027525E-3</v>
      </c>
      <c r="I116">
        <f>('Data Saham'!I116-'Data Saham'!I115)/'Data Saham'!I115</f>
        <v>0</v>
      </c>
      <c r="J116">
        <f>('Data Saham'!J116-'Data Saham'!J115)/'Data Saham'!J115</f>
        <v>1.3513513513513514E-2</v>
      </c>
      <c r="K116">
        <f>('Data Saham'!K116-'Data Saham'!K115)/'Data Saham'!K115</f>
        <v>0</v>
      </c>
      <c r="L116">
        <f>('Data Saham'!L116-'Data Saham'!L115)/'Data Saham'!L115</f>
        <v>6.7567567567567571E-3</v>
      </c>
      <c r="M116">
        <f>('Data Saham'!M116-'Data Saham'!M115)/'Data Saham'!M115</f>
        <v>8.4375000000000006E-2</v>
      </c>
      <c r="N116">
        <f>('Data Saham'!N116-'Data Saham'!N115)/'Data Saham'!N115</f>
        <v>3.2128514056224897E-2</v>
      </c>
      <c r="O116">
        <f>('Data Saham'!O116-'Data Saham'!O115)/'Data Saham'!O115</f>
        <v>2.1021021021021023E-2</v>
      </c>
      <c r="P116">
        <f>('Data Saham'!P116-'Data Saham'!P115)/'Data Saham'!P115</f>
        <v>-1.6528925619834711E-2</v>
      </c>
      <c r="Q116">
        <f>('Data Saham'!Q116-'Data Saham'!Q115)/'Data Saham'!Q115</f>
        <v>1.8382352941176471E-2</v>
      </c>
      <c r="R116">
        <f>('Data Saham'!R116-'Data Saham'!R115)/'Data Saham'!R115</f>
        <v>-1.276595744680851E-2</v>
      </c>
      <c r="S116">
        <f>('Data Saham'!S116-'Data Saham'!S115)/'Data Saham'!S115</f>
        <v>6.9767441860465115E-3</v>
      </c>
      <c r="T116">
        <f>('Data Saham'!T116-'Data Saham'!T115)/'Data Saham'!T115</f>
        <v>5.8641975308641972E-2</v>
      </c>
      <c r="U116">
        <f>('Data Saham'!U116-'Data Saham'!U115)/'Data Saham'!U115</f>
        <v>-3.6764705882352941E-3</v>
      </c>
      <c r="V116">
        <f>('Data Saham'!V116-'Data Saham'!V115)/'Data Saham'!V115</f>
        <v>5.8222676200204292E-2</v>
      </c>
      <c r="W116">
        <f>('Data Saham'!W116-'Data Saham'!W115)/'Data Saham'!W115</f>
        <v>7.0422535211267609E-2</v>
      </c>
      <c r="X116">
        <f>('Data Saham'!X116-'Data Saham'!X115)/'Data Saham'!X115</f>
        <v>8.4033613445378148E-3</v>
      </c>
      <c r="Y116">
        <f>('Data Saham'!Y116-'Data Saham'!Y115)/'Data Saham'!Y115</f>
        <v>-2.3148148148148147E-2</v>
      </c>
      <c r="Z116">
        <f>('Data Saham'!Z116-'Data Saham'!Z115)/'Data Saham'!Z115</f>
        <v>-4.5045045045045045E-3</v>
      </c>
      <c r="AA116">
        <f>('Data Saham'!AA116-'Data Saham'!AA115)/'Data Saham'!AA115</f>
        <v>-8.4033613445378148E-3</v>
      </c>
      <c r="AB116">
        <f>('Data Saham'!AB116-'Data Saham'!AB115)/'Data Saham'!AB115</f>
        <v>0</v>
      </c>
      <c r="AC116">
        <f>('Data Saham'!AC116-'Data Saham'!AC115)/'Data Saham'!AC115</f>
        <v>4.7619047619047616E-2</v>
      </c>
      <c r="AD116">
        <f>('Data Saham'!AD116-'Data Saham'!AD115)/'Data Saham'!AD115</f>
        <v>2.7027027027027029E-2</v>
      </c>
      <c r="AE116">
        <f>('Data Saham'!AE116-'Data Saham'!AE115)/'Data Saham'!AE115</f>
        <v>3.954802259887006E-2</v>
      </c>
      <c r="AF116">
        <f>('Data Saham'!AF116-'Data Saham'!AF115)/'Data Saham'!AF115</f>
        <v>-0.99897461928934006</v>
      </c>
    </row>
    <row r="117" spans="1:32" x14ac:dyDescent="0.3">
      <c r="A117" s="2">
        <v>45725</v>
      </c>
      <c r="B117">
        <f>('Data Saham'!B117-'Data Saham'!B116)/'Data Saham'!B116</f>
        <v>1.0802939917298771E-2</v>
      </c>
      <c r="C117">
        <f>('Data Saham'!C117-'Data Saham'!C116)/'Data Saham'!C116</f>
        <v>-3.1250000000000002E-3</v>
      </c>
      <c r="D117">
        <f>('Data Saham'!D117-'Data Saham'!D116)/'Data Saham'!D116</f>
        <v>1.7676767676767676E-2</v>
      </c>
      <c r="E117">
        <f>('Data Saham'!E117-'Data Saham'!E116)/'Data Saham'!E116</f>
        <v>1.0940919037199124E-2</v>
      </c>
      <c r="F117">
        <f>('Data Saham'!F117-'Data Saham'!F116)/'Data Saham'!F116</f>
        <v>2.3201856148491878E-2</v>
      </c>
      <c r="G117">
        <f>('Data Saham'!G117-'Data Saham'!G116)/'Data Saham'!G116</f>
        <v>1.3029315960912053E-2</v>
      </c>
      <c r="H117">
        <f>('Data Saham'!H117-'Data Saham'!H116)/'Data Saham'!H116</f>
        <v>4.5662100456621002E-3</v>
      </c>
      <c r="I117">
        <f>('Data Saham'!I117-'Data Saham'!I116)/'Data Saham'!I116</f>
        <v>1.0869565217391304E-2</v>
      </c>
      <c r="J117">
        <f>('Data Saham'!J117-'Data Saham'!J116)/'Data Saham'!J116</f>
        <v>2.6666666666666668E-2</v>
      </c>
      <c r="K117">
        <f>('Data Saham'!K117-'Data Saham'!K116)/'Data Saham'!K116</f>
        <v>5.8139534883720929E-3</v>
      </c>
      <c r="L117">
        <f>('Data Saham'!L117-'Data Saham'!L116)/'Data Saham'!L116</f>
        <v>-3.3557046979865771E-3</v>
      </c>
      <c r="M117">
        <f>('Data Saham'!M117-'Data Saham'!M116)/'Data Saham'!M116</f>
        <v>2.881844380403458E-3</v>
      </c>
      <c r="N117">
        <f>('Data Saham'!N117-'Data Saham'!N116)/'Data Saham'!N116</f>
        <v>-7.7821011673151752E-3</v>
      </c>
      <c r="O117">
        <f>('Data Saham'!O117-'Data Saham'!O116)/'Data Saham'!O116</f>
        <v>3.5294117647058823E-2</v>
      </c>
      <c r="P117">
        <f>('Data Saham'!P117-'Data Saham'!P116)/'Data Saham'!P116</f>
        <v>0</v>
      </c>
      <c r="Q117">
        <f>('Data Saham'!Q117-'Data Saham'!Q116)/'Data Saham'!Q116</f>
        <v>-7.2202166064981952E-3</v>
      </c>
      <c r="R117">
        <f>('Data Saham'!R117-'Data Saham'!R116)/'Data Saham'!R116</f>
        <v>1.7241379310344827E-2</v>
      </c>
      <c r="S117">
        <f>('Data Saham'!S117-'Data Saham'!S116)/'Data Saham'!S116</f>
        <v>2.3094688221709007E-2</v>
      </c>
      <c r="T117">
        <f>('Data Saham'!T117-'Data Saham'!T116)/'Data Saham'!T116</f>
        <v>-2.0408163265306121E-2</v>
      </c>
      <c r="U117">
        <f>('Data Saham'!U117-'Data Saham'!U116)/'Data Saham'!U116</f>
        <v>3.3210332103321034E-2</v>
      </c>
      <c r="V117">
        <f>('Data Saham'!V117-'Data Saham'!V116)/'Data Saham'!V116</f>
        <v>-1.1583011583011582E-2</v>
      </c>
      <c r="W117">
        <f>('Data Saham'!W117-'Data Saham'!W116)/'Data Saham'!W116</f>
        <v>-3.5087719298245612E-2</v>
      </c>
      <c r="X117">
        <f>('Data Saham'!X117-'Data Saham'!X116)/'Data Saham'!X116</f>
        <v>2.9166666666666667E-2</v>
      </c>
      <c r="Y117">
        <f>('Data Saham'!Y117-'Data Saham'!Y116)/'Data Saham'!Y116</f>
        <v>1.4218009478672985E-2</v>
      </c>
      <c r="Z117">
        <f>('Data Saham'!Z117-'Data Saham'!Z116)/'Data Saham'!Z116</f>
        <v>-1.3574660633484163E-2</v>
      </c>
      <c r="AA117">
        <f>('Data Saham'!AA117-'Data Saham'!AA116)/'Data Saham'!AA116</f>
        <v>0</v>
      </c>
      <c r="AB117">
        <f>('Data Saham'!AB117-'Data Saham'!AB116)/'Data Saham'!AB116</f>
        <v>0</v>
      </c>
      <c r="AC117">
        <f>('Data Saham'!AC117-'Data Saham'!AC116)/'Data Saham'!AC116</f>
        <v>-1.1363636363636364E-2</v>
      </c>
      <c r="AD117">
        <f>('Data Saham'!AD117-'Data Saham'!AD116)/'Data Saham'!AD116</f>
        <v>-1.3157894736842105E-2</v>
      </c>
      <c r="AE117">
        <f>('Data Saham'!AE117-'Data Saham'!AE116)/'Data Saham'!AE116</f>
        <v>5.434782608695652E-3</v>
      </c>
      <c r="AF117">
        <f>('Data Saham'!AF117-'Data Saham'!AF116)/'Data Saham'!AF116</f>
        <v>979.19801980198019</v>
      </c>
    </row>
    <row r="118" spans="1:32" x14ac:dyDescent="0.3">
      <c r="A118" s="1">
        <v>45756</v>
      </c>
      <c r="B118">
        <f>('Data Saham'!B118-'Data Saham'!B117)/'Data Saham'!B117</f>
        <v>-2.3472392357966423E-3</v>
      </c>
      <c r="C118">
        <f>('Data Saham'!C118-'Data Saham'!C117)/'Data Saham'!C117</f>
        <v>3.134796238244514E-3</v>
      </c>
      <c r="D118">
        <f>('Data Saham'!D118-'Data Saham'!D117)/'Data Saham'!D117</f>
        <v>-7.4441687344913151E-3</v>
      </c>
      <c r="E118">
        <f>('Data Saham'!E118-'Data Saham'!E117)/'Data Saham'!E117</f>
        <v>1.2987012987012988E-2</v>
      </c>
      <c r="F118">
        <f>('Data Saham'!F118-'Data Saham'!F117)/'Data Saham'!F117</f>
        <v>-9.0702947845804991E-3</v>
      </c>
      <c r="G118">
        <f>('Data Saham'!G118-'Data Saham'!G117)/'Data Saham'!G117</f>
        <v>1.2861736334405145E-2</v>
      </c>
      <c r="H118">
        <f>('Data Saham'!H118-'Data Saham'!H117)/'Data Saham'!H117</f>
        <v>0</v>
      </c>
      <c r="I118">
        <f>('Data Saham'!I118-'Data Saham'!I117)/'Data Saham'!I117</f>
        <v>-5.3763440860215058E-3</v>
      </c>
      <c r="J118">
        <f>('Data Saham'!J118-'Data Saham'!J117)/'Data Saham'!J117</f>
        <v>-2.2727272727272728E-2</v>
      </c>
      <c r="K118">
        <f>('Data Saham'!K118-'Data Saham'!K117)/'Data Saham'!K117</f>
        <v>1.7341040462427744E-2</v>
      </c>
      <c r="L118">
        <f>('Data Saham'!L118-'Data Saham'!L117)/'Data Saham'!L117</f>
        <v>3.3670033670033669E-3</v>
      </c>
      <c r="M118">
        <f>('Data Saham'!M118-'Data Saham'!M117)/'Data Saham'!M117</f>
        <v>-2.5862068965517241E-2</v>
      </c>
      <c r="N118">
        <f>('Data Saham'!N118-'Data Saham'!N117)/'Data Saham'!N117</f>
        <v>2.7450980392156862E-2</v>
      </c>
      <c r="O118">
        <f>('Data Saham'!O118-'Data Saham'!O117)/'Data Saham'!O117</f>
        <v>5.681818181818182E-3</v>
      </c>
      <c r="P118">
        <f>('Data Saham'!P118-'Data Saham'!P117)/'Data Saham'!P117</f>
        <v>8.4033613445378148E-3</v>
      </c>
      <c r="Q118">
        <f>('Data Saham'!Q118-'Data Saham'!Q117)/'Data Saham'!Q117</f>
        <v>-3.6363636363636364E-3</v>
      </c>
      <c r="R118">
        <f>('Data Saham'!R118-'Data Saham'!R117)/'Data Saham'!R117</f>
        <v>0</v>
      </c>
      <c r="S118">
        <f>('Data Saham'!S118-'Data Saham'!S117)/'Data Saham'!S117</f>
        <v>2.0316027088036117E-2</v>
      </c>
      <c r="T118">
        <f>('Data Saham'!T118-'Data Saham'!T117)/'Data Saham'!T117</f>
        <v>4.7619047619047616E-2</v>
      </c>
      <c r="U118">
        <f>('Data Saham'!U118-'Data Saham'!U117)/'Data Saham'!U117</f>
        <v>-7.1428571428571426E-3</v>
      </c>
      <c r="V118">
        <f>('Data Saham'!V118-'Data Saham'!V117)/'Data Saham'!V117</f>
        <v>-9.765625E-3</v>
      </c>
      <c r="W118">
        <f>('Data Saham'!W118-'Data Saham'!W117)/'Data Saham'!W117</f>
        <v>0</v>
      </c>
      <c r="X118">
        <f>('Data Saham'!X118-'Data Saham'!X117)/'Data Saham'!X117</f>
        <v>-4.048582995951417E-3</v>
      </c>
      <c r="Y118">
        <f>('Data Saham'!Y118-'Data Saham'!Y117)/'Data Saham'!Y117</f>
        <v>-2.8037383177570093E-2</v>
      </c>
      <c r="Z118">
        <f>('Data Saham'!Z118-'Data Saham'!Z117)/'Data Saham'!Z117</f>
        <v>9.1743119266055051E-3</v>
      </c>
      <c r="AA118">
        <f>('Data Saham'!AA118-'Data Saham'!AA117)/'Data Saham'!AA117</f>
        <v>-8.4745762711864406E-3</v>
      </c>
      <c r="AB118">
        <f>('Data Saham'!AB118-'Data Saham'!AB117)/'Data Saham'!AB117</f>
        <v>1.7241379310344827E-2</v>
      </c>
      <c r="AC118">
        <f>('Data Saham'!AC118-'Data Saham'!AC117)/'Data Saham'!AC117</f>
        <v>5.7471264367816091E-3</v>
      </c>
      <c r="AD118">
        <f>('Data Saham'!AD118-'Data Saham'!AD117)/'Data Saham'!AD117</f>
        <v>4.4444444444444444E-3</v>
      </c>
      <c r="AE118">
        <f>('Data Saham'!AE118-'Data Saham'!AE117)/'Data Saham'!AE117</f>
        <v>5.4054054054054057E-3</v>
      </c>
      <c r="AF118">
        <f>('Data Saham'!AF118-'Data Saham'!AF117)/'Data Saham'!AF117</f>
        <v>0</v>
      </c>
    </row>
    <row r="119" spans="1:32" x14ac:dyDescent="0.3">
      <c r="A119" s="2">
        <v>45878</v>
      </c>
      <c r="B119">
        <f>('Data Saham'!B119-'Data Saham'!B118)/'Data Saham'!B118</f>
        <v>-1.2774314095597627E-2</v>
      </c>
      <c r="C119">
        <f>('Data Saham'!C119-'Data Saham'!C118)/'Data Saham'!C118</f>
        <v>-3.7499999999999999E-2</v>
      </c>
      <c r="D119">
        <f>('Data Saham'!D119-'Data Saham'!D118)/'Data Saham'!D118</f>
        <v>-2.5000000000000001E-2</v>
      </c>
      <c r="E119">
        <f>('Data Saham'!E119-'Data Saham'!E118)/'Data Saham'!E118</f>
        <v>-4.05982905982906E-2</v>
      </c>
      <c r="F119">
        <f>('Data Saham'!F119-'Data Saham'!F118)/'Data Saham'!F118</f>
        <v>-4.3478260869565216E-2</v>
      </c>
      <c r="G119">
        <f>('Data Saham'!G119-'Data Saham'!G118)/'Data Saham'!G118</f>
        <v>-1.9047619047619049E-2</v>
      </c>
      <c r="H119">
        <f>('Data Saham'!H119-'Data Saham'!H118)/'Data Saham'!H118</f>
        <v>-1.3636363636363636E-2</v>
      </c>
      <c r="I119">
        <f>('Data Saham'!I119-'Data Saham'!I118)/'Data Saham'!I118</f>
        <v>1.3513513513513514E-2</v>
      </c>
      <c r="J119">
        <f>('Data Saham'!J119-'Data Saham'!J118)/'Data Saham'!J118</f>
        <v>-1.3289036544850499E-2</v>
      </c>
      <c r="K119">
        <f>('Data Saham'!K119-'Data Saham'!K118)/'Data Saham'!K118</f>
        <v>-2.2727272727272728E-2</v>
      </c>
      <c r="L119">
        <f>('Data Saham'!L119-'Data Saham'!L118)/'Data Saham'!L118</f>
        <v>-3.3557046979865771E-3</v>
      </c>
      <c r="M119">
        <f>('Data Saham'!M119-'Data Saham'!M118)/'Data Saham'!M118</f>
        <v>6.4896755162241887E-2</v>
      </c>
      <c r="N119">
        <f>('Data Saham'!N119-'Data Saham'!N118)/'Data Saham'!N118</f>
        <v>7.6335877862595417E-3</v>
      </c>
      <c r="O119">
        <f>('Data Saham'!O119-'Data Saham'!O118)/'Data Saham'!O118</f>
        <v>-2.5423728813559324E-2</v>
      </c>
      <c r="P119">
        <f>('Data Saham'!P119-'Data Saham'!P118)/'Data Saham'!P118</f>
        <v>-1.6666666666666666E-2</v>
      </c>
      <c r="Q119">
        <f>('Data Saham'!Q119-'Data Saham'!Q118)/'Data Saham'!Q118</f>
        <v>-2.1897810218978103E-2</v>
      </c>
      <c r="R119">
        <f>('Data Saham'!R119-'Data Saham'!R118)/'Data Saham'!R118</f>
        <v>-2.5423728813559324E-2</v>
      </c>
      <c r="S119">
        <f>('Data Saham'!S119-'Data Saham'!S118)/'Data Saham'!S118</f>
        <v>2.2123893805309734E-3</v>
      </c>
      <c r="T119">
        <f>('Data Saham'!T119-'Data Saham'!T118)/'Data Saham'!T118</f>
        <v>-3.9772727272727272E-2</v>
      </c>
      <c r="U119">
        <f>('Data Saham'!U119-'Data Saham'!U118)/'Data Saham'!U118</f>
        <v>0</v>
      </c>
      <c r="V119">
        <f>('Data Saham'!V119-'Data Saham'!V118)/'Data Saham'!V118</f>
        <v>4.3392504930966469E-2</v>
      </c>
      <c r="W119">
        <f>('Data Saham'!W119-'Data Saham'!W118)/'Data Saham'!W118</f>
        <v>-2.2727272727272728E-2</v>
      </c>
      <c r="X119">
        <f>('Data Saham'!X119-'Data Saham'!X118)/'Data Saham'!X118</f>
        <v>-8.130081300813009E-3</v>
      </c>
      <c r="Y119">
        <f>('Data Saham'!Y119-'Data Saham'!Y118)/'Data Saham'!Y118</f>
        <v>0</v>
      </c>
      <c r="Z119">
        <f>('Data Saham'!Z119-'Data Saham'!Z118)/'Data Saham'!Z118</f>
        <v>-1.8181818181818181E-2</v>
      </c>
      <c r="AA119">
        <f>('Data Saham'!AA119-'Data Saham'!AA118)/'Data Saham'!AA118</f>
        <v>-2.564102564102564E-2</v>
      </c>
      <c r="AB119">
        <f>('Data Saham'!AB119-'Data Saham'!AB118)/'Data Saham'!AB118</f>
        <v>-1.6949152542372881E-2</v>
      </c>
      <c r="AC119">
        <f>('Data Saham'!AC119-'Data Saham'!AC118)/'Data Saham'!AC118</f>
        <v>-2.2857142857142857E-2</v>
      </c>
      <c r="AD119">
        <f>('Data Saham'!AD119-'Data Saham'!AD118)/'Data Saham'!AD118</f>
        <v>-1.3274336283185841E-2</v>
      </c>
      <c r="AE119">
        <f>('Data Saham'!AE119-'Data Saham'!AE118)/'Data Saham'!AE118</f>
        <v>-2.1505376344086023E-2</v>
      </c>
      <c r="AF119">
        <f>('Data Saham'!AF119-'Data Saham'!AF118)/'Data Saham'!AF118</f>
        <v>-3.0303030303030304E-2</v>
      </c>
    </row>
    <row r="120" spans="1:32" x14ac:dyDescent="0.3">
      <c r="A120" s="1">
        <v>45909</v>
      </c>
      <c r="B120">
        <f>('Data Saham'!B120-'Data Saham'!B119)/'Data Saham'!B119</f>
        <v>-1.780000901266279E-2</v>
      </c>
      <c r="C120">
        <f>('Data Saham'!C120-'Data Saham'!C119)/'Data Saham'!C119</f>
        <v>-2.2727272727272728E-2</v>
      </c>
      <c r="D120">
        <f>('Data Saham'!D120-'Data Saham'!D119)/'Data Saham'!D119</f>
        <v>-2.8205128205128206E-2</v>
      </c>
      <c r="E120">
        <f>('Data Saham'!E120-'Data Saham'!E119)/'Data Saham'!E119</f>
        <v>-4.0089086859688199E-2</v>
      </c>
      <c r="F120">
        <f>('Data Saham'!F120-'Data Saham'!F119)/'Data Saham'!F119</f>
        <v>-2.3923444976076555E-2</v>
      </c>
      <c r="G120">
        <f>('Data Saham'!G120-'Data Saham'!G119)/'Data Saham'!G119</f>
        <v>-1.2944983818770227E-2</v>
      </c>
      <c r="H120">
        <f>('Data Saham'!H120-'Data Saham'!H119)/'Data Saham'!H119</f>
        <v>1.8433179723502304E-2</v>
      </c>
      <c r="I120">
        <f>('Data Saham'!I120-'Data Saham'!I119)/'Data Saham'!I119</f>
        <v>-1.6E-2</v>
      </c>
      <c r="J120">
        <f>('Data Saham'!J120-'Data Saham'!J119)/'Data Saham'!J119</f>
        <v>-1.0101010101010102E-2</v>
      </c>
      <c r="K120">
        <f>('Data Saham'!K120-'Data Saham'!K119)/'Data Saham'!K119</f>
        <v>-2.0348837209302327E-2</v>
      </c>
      <c r="L120">
        <f>('Data Saham'!L120-'Data Saham'!L119)/'Data Saham'!L119</f>
        <v>-1.1223344556677891E-3</v>
      </c>
      <c r="M120">
        <f>('Data Saham'!M120-'Data Saham'!M119)/'Data Saham'!M119</f>
        <v>1.3850415512465374E-2</v>
      </c>
      <c r="N120">
        <f>('Data Saham'!N120-'Data Saham'!N119)/'Data Saham'!N119</f>
        <v>2.2727272727272728E-2</v>
      </c>
      <c r="O120">
        <f>('Data Saham'!O120-'Data Saham'!O119)/'Data Saham'!O119</f>
        <v>0</v>
      </c>
      <c r="P120">
        <f>('Data Saham'!P120-'Data Saham'!P119)/'Data Saham'!P119</f>
        <v>0</v>
      </c>
      <c r="Q120">
        <f>('Data Saham'!Q120-'Data Saham'!Q119)/'Data Saham'!Q119</f>
        <v>-3.3582089552238806E-2</v>
      </c>
      <c r="R120">
        <f>('Data Saham'!R120-'Data Saham'!R119)/'Data Saham'!R119</f>
        <v>-8.6956521739130436E-3</v>
      </c>
      <c r="S120">
        <f>('Data Saham'!S120-'Data Saham'!S119)/'Data Saham'!S119</f>
        <v>-1.1037527593818985E-2</v>
      </c>
      <c r="T120">
        <f>('Data Saham'!T120-'Data Saham'!T119)/'Data Saham'!T119</f>
        <v>5.6213017751479293E-2</v>
      </c>
      <c r="U120">
        <f>('Data Saham'!U120-'Data Saham'!U119)/'Data Saham'!U119</f>
        <v>-1.4388489208633094E-2</v>
      </c>
      <c r="V120">
        <f>('Data Saham'!V120-'Data Saham'!V119)/'Data Saham'!V119</f>
        <v>2.835538752362949E-2</v>
      </c>
      <c r="W120">
        <f>('Data Saham'!W120-'Data Saham'!W119)/'Data Saham'!W119</f>
        <v>0</v>
      </c>
      <c r="X120">
        <f>('Data Saham'!X120-'Data Saham'!X119)/'Data Saham'!X119</f>
        <v>0</v>
      </c>
      <c r="Y120">
        <f>('Data Saham'!Y120-'Data Saham'!Y119)/'Data Saham'!Y119</f>
        <v>-1.4423076923076924E-2</v>
      </c>
      <c r="Z120">
        <f>('Data Saham'!Z120-'Data Saham'!Z119)/'Data Saham'!Z119</f>
        <v>-1.8518518518518517E-2</v>
      </c>
      <c r="AA120">
        <f>('Data Saham'!AA120-'Data Saham'!AA119)/'Data Saham'!AA119</f>
        <v>-1.7543859649122806E-2</v>
      </c>
      <c r="AB120">
        <f>('Data Saham'!AB120-'Data Saham'!AB119)/'Data Saham'!AB119</f>
        <v>-3.4482758620689655E-2</v>
      </c>
      <c r="AC120">
        <f>('Data Saham'!AC120-'Data Saham'!AC119)/'Data Saham'!AC119</f>
        <v>-1.1695906432748537E-2</v>
      </c>
      <c r="AD120">
        <f>('Data Saham'!AD120-'Data Saham'!AD119)/'Data Saham'!AD119</f>
        <v>-1.3452914798206279E-2</v>
      </c>
      <c r="AE120">
        <f>('Data Saham'!AE120-'Data Saham'!AE119)/'Data Saham'!AE119</f>
        <v>5.4945054945054949E-3</v>
      </c>
      <c r="AF120">
        <f>('Data Saham'!AF120-'Data Saham'!AF119)/'Data Saham'!AF119</f>
        <v>-1.5625E-2</v>
      </c>
    </row>
    <row r="121" spans="1:32" x14ac:dyDescent="0.3">
      <c r="A121" s="2">
        <v>45939</v>
      </c>
      <c r="B121">
        <f>('Data Saham'!B121-'Data Saham'!B120)/'Data Saham'!B120</f>
        <v>9.2297407125815807E-3</v>
      </c>
      <c r="C121">
        <f>('Data Saham'!C121-'Data Saham'!C120)/'Data Saham'!C120</f>
        <v>3.6544850498338874E-2</v>
      </c>
      <c r="D121">
        <f>('Data Saham'!D121-'Data Saham'!D120)/'Data Saham'!D120</f>
        <v>2.3746701846965697E-2</v>
      </c>
      <c r="E121">
        <f>('Data Saham'!E121-'Data Saham'!E120)/'Data Saham'!E120</f>
        <v>2.0881670533642691E-2</v>
      </c>
      <c r="F121">
        <f>('Data Saham'!F121-'Data Saham'!F120)/'Data Saham'!F120</f>
        <v>4.9019607843137254E-3</v>
      </c>
      <c r="G121">
        <f>('Data Saham'!G121-'Data Saham'!G120)/'Data Saham'!G120</f>
        <v>3.2786885245901641E-2</v>
      </c>
      <c r="H121">
        <f>('Data Saham'!H121-'Data Saham'!H120)/'Data Saham'!H120</f>
        <v>-9.0497737556561094E-3</v>
      </c>
      <c r="I121">
        <f>('Data Saham'!I121-'Data Saham'!I120)/'Data Saham'!I120</f>
        <v>0</v>
      </c>
      <c r="J121">
        <f>('Data Saham'!J121-'Data Saham'!J120)/'Data Saham'!J120</f>
        <v>1.020408163265306E-2</v>
      </c>
      <c r="K121">
        <f>('Data Saham'!K121-'Data Saham'!K120)/'Data Saham'!K120</f>
        <v>0</v>
      </c>
      <c r="L121">
        <f>('Data Saham'!L121-'Data Saham'!L120)/'Data Saham'!L120</f>
        <v>-2.2471910112359553E-3</v>
      </c>
      <c r="M121">
        <f>('Data Saham'!M121-'Data Saham'!M120)/'Data Saham'!M120</f>
        <v>-4.0983606557377046E-2</v>
      </c>
      <c r="N121">
        <f>('Data Saham'!N121-'Data Saham'!N120)/'Data Saham'!N120</f>
        <v>-3.7037037037037035E-2</v>
      </c>
      <c r="O121">
        <f>('Data Saham'!O121-'Data Saham'!O120)/'Data Saham'!O120</f>
        <v>-8.6956521739130436E-3</v>
      </c>
      <c r="P121">
        <f>('Data Saham'!P121-'Data Saham'!P120)/'Data Saham'!P120</f>
        <v>-1.6949152542372881E-2</v>
      </c>
      <c r="Q121">
        <f>('Data Saham'!Q121-'Data Saham'!Q120)/'Data Saham'!Q120</f>
        <v>3.8610038610038611E-3</v>
      </c>
      <c r="R121">
        <f>('Data Saham'!R121-'Data Saham'!R120)/'Data Saham'!R120</f>
        <v>1.7543859649122806E-2</v>
      </c>
      <c r="S121">
        <f>('Data Saham'!S121-'Data Saham'!S120)/'Data Saham'!S120</f>
        <v>2.232142857142857E-3</v>
      </c>
      <c r="T121">
        <f>('Data Saham'!T121-'Data Saham'!T120)/'Data Saham'!T120</f>
        <v>-8.4033613445378148E-3</v>
      </c>
      <c r="U121">
        <f>('Data Saham'!U121-'Data Saham'!U120)/'Data Saham'!U120</f>
        <v>-1.0948905109489052E-2</v>
      </c>
      <c r="V121">
        <f>('Data Saham'!V121-'Data Saham'!V120)/'Data Saham'!V120</f>
        <v>-3.125E-2</v>
      </c>
      <c r="W121">
        <f>('Data Saham'!W121-'Data Saham'!W120)/'Data Saham'!W120</f>
        <v>5.1162790697674418E-2</v>
      </c>
      <c r="X121">
        <f>('Data Saham'!X121-'Data Saham'!X120)/'Data Saham'!X120</f>
        <v>8.1967213114754103E-3</v>
      </c>
      <c r="Y121">
        <f>('Data Saham'!Y121-'Data Saham'!Y120)/'Data Saham'!Y120</f>
        <v>3.9024390243902439E-2</v>
      </c>
      <c r="Z121">
        <f>('Data Saham'!Z121-'Data Saham'!Z120)/'Data Saham'!Z120</f>
        <v>1.4150943396226415E-2</v>
      </c>
      <c r="AA121">
        <f>('Data Saham'!AA121-'Data Saham'!AA120)/'Data Saham'!AA120</f>
        <v>4.9107142857142856E-2</v>
      </c>
      <c r="AB121">
        <f>('Data Saham'!AB121-'Data Saham'!AB120)/'Data Saham'!AB120</f>
        <v>0</v>
      </c>
      <c r="AC121">
        <f>('Data Saham'!AC121-'Data Saham'!AC120)/'Data Saham'!AC120</f>
        <v>-3.5502958579881658E-2</v>
      </c>
      <c r="AD121">
        <f>('Data Saham'!AD121-'Data Saham'!AD120)/'Data Saham'!AD120</f>
        <v>-3.1818181818181815E-2</v>
      </c>
      <c r="AE121">
        <f>('Data Saham'!AE121-'Data Saham'!AE120)/'Data Saham'!AE120</f>
        <v>-1.092896174863388E-2</v>
      </c>
      <c r="AF121">
        <f>('Data Saham'!AF121-'Data Saham'!AF120)/'Data Saham'!AF120</f>
        <v>-5.2910052910052907E-3</v>
      </c>
    </row>
    <row r="122" spans="1:32" x14ac:dyDescent="0.3">
      <c r="A122" s="1">
        <v>45970</v>
      </c>
      <c r="B122">
        <f>('Data Saham'!B122-'Data Saham'!B121)/'Data Saham'!B121</f>
        <v>6.3501670994062119E-3</v>
      </c>
      <c r="C122">
        <f>('Data Saham'!C122-'Data Saham'!C121)/'Data Saham'!C121</f>
        <v>6.41025641025641E-3</v>
      </c>
      <c r="D122">
        <f>('Data Saham'!D122-'Data Saham'!D121)/'Data Saham'!D121</f>
        <v>5.1546391752577317E-2</v>
      </c>
      <c r="E122">
        <f>('Data Saham'!E122-'Data Saham'!E121)/'Data Saham'!E121</f>
        <v>1.8181818181818181E-2</v>
      </c>
      <c r="F122">
        <f>('Data Saham'!F122-'Data Saham'!F121)/'Data Saham'!F121</f>
        <v>7.8048780487804878E-2</v>
      </c>
      <c r="G122">
        <f>('Data Saham'!G122-'Data Saham'!G121)/'Data Saham'!G121</f>
        <v>-2.2222222222222223E-2</v>
      </c>
      <c r="H122">
        <f>('Data Saham'!H122-'Data Saham'!H121)/'Data Saham'!H121</f>
        <v>1.3698630136986301E-2</v>
      </c>
      <c r="I122">
        <f>('Data Saham'!I122-'Data Saham'!I121)/'Data Saham'!I121</f>
        <v>8.130081300813009E-3</v>
      </c>
      <c r="J122">
        <f>('Data Saham'!J122-'Data Saham'!J121)/'Data Saham'!J121</f>
        <v>6.7340067340067337E-3</v>
      </c>
      <c r="K122">
        <f>('Data Saham'!K122-'Data Saham'!K121)/'Data Saham'!K121</f>
        <v>-2.967359050445104E-3</v>
      </c>
      <c r="L122">
        <f>('Data Saham'!L122-'Data Saham'!L121)/'Data Saham'!L121</f>
        <v>5.6306306306306304E-3</v>
      </c>
      <c r="M122">
        <f>('Data Saham'!M122-'Data Saham'!M121)/'Data Saham'!M121</f>
        <v>-3.4188034188034191E-2</v>
      </c>
      <c r="N122">
        <f>('Data Saham'!N122-'Data Saham'!N121)/'Data Saham'!N121</f>
        <v>-3.8461538461538464E-2</v>
      </c>
      <c r="O122">
        <f>('Data Saham'!O122-'Data Saham'!O121)/'Data Saham'!O121</f>
        <v>2.3391812865497075E-2</v>
      </c>
      <c r="P122">
        <f>('Data Saham'!P122-'Data Saham'!P121)/'Data Saham'!P121</f>
        <v>8.6206896551724137E-3</v>
      </c>
      <c r="Q122">
        <f>('Data Saham'!Q122-'Data Saham'!Q121)/'Data Saham'!Q121</f>
        <v>-3.8461538461538464E-3</v>
      </c>
      <c r="R122">
        <f>('Data Saham'!R122-'Data Saham'!R121)/'Data Saham'!R121</f>
        <v>3.4482758620689655E-2</v>
      </c>
      <c r="S122">
        <f>('Data Saham'!S122-'Data Saham'!S121)/'Data Saham'!S121</f>
        <v>4.2316258351893093E-2</v>
      </c>
      <c r="T122">
        <f>('Data Saham'!T122-'Data Saham'!T121)/'Data Saham'!T121</f>
        <v>6.4971751412429377E-2</v>
      </c>
      <c r="U122">
        <f>('Data Saham'!U122-'Data Saham'!U121)/'Data Saham'!U121</f>
        <v>2.5830258302583026E-2</v>
      </c>
      <c r="V122">
        <f>('Data Saham'!V122-'Data Saham'!V121)/'Data Saham'!V121</f>
        <v>6.6413662239089184E-3</v>
      </c>
      <c r="W122">
        <f>('Data Saham'!W122-'Data Saham'!W121)/'Data Saham'!W121</f>
        <v>-4.4247787610619468E-3</v>
      </c>
      <c r="X122">
        <f>('Data Saham'!X122-'Data Saham'!X121)/'Data Saham'!X121</f>
        <v>-8.130081300813009E-3</v>
      </c>
      <c r="Y122">
        <f>('Data Saham'!Y122-'Data Saham'!Y121)/'Data Saham'!Y121</f>
        <v>1.8779342723004695E-2</v>
      </c>
      <c r="Z122">
        <f>('Data Saham'!Z122-'Data Saham'!Z121)/'Data Saham'!Z121</f>
        <v>9.3023255813953487E-3</v>
      </c>
      <c r="AA122">
        <f>('Data Saham'!AA122-'Data Saham'!AA121)/'Data Saham'!AA121</f>
        <v>0</v>
      </c>
      <c r="AB122">
        <f>('Data Saham'!AB122-'Data Saham'!AB121)/'Data Saham'!AB121</f>
        <v>1.7857142857142856E-2</v>
      </c>
      <c r="AC122">
        <f>('Data Saham'!AC122-'Data Saham'!AC121)/'Data Saham'!AC121</f>
        <v>-3.0674846625766871E-2</v>
      </c>
      <c r="AD122">
        <f>('Data Saham'!AD122-'Data Saham'!AD121)/'Data Saham'!AD121</f>
        <v>5.1643192488262914E-2</v>
      </c>
      <c r="AE122">
        <f>('Data Saham'!AE122-'Data Saham'!AE121)/'Data Saham'!AE121</f>
        <v>0</v>
      </c>
      <c r="AF122">
        <f>('Data Saham'!AF122-'Data Saham'!AF121)/'Data Saham'!AF121</f>
        <v>2.1276595744680851E-2</v>
      </c>
    </row>
    <row r="123" spans="1:32" x14ac:dyDescent="0.3">
      <c r="A123" s="2">
        <v>46000</v>
      </c>
      <c r="B123">
        <f>('Data Saham'!B123-'Data Saham'!B122)/'Data Saham'!B122</f>
        <v>1.3701777255772631E-2</v>
      </c>
      <c r="C123">
        <f>('Data Saham'!C123-'Data Saham'!C122)/'Data Saham'!C122</f>
        <v>9.5541401273885346E-3</v>
      </c>
      <c r="D123">
        <f>('Data Saham'!D123-'Data Saham'!D122)/'Data Saham'!D122</f>
        <v>2.4509803921568627E-2</v>
      </c>
      <c r="E123">
        <f>('Data Saham'!E123-'Data Saham'!E122)/'Data Saham'!E122</f>
        <v>8.9285714285714281E-3</v>
      </c>
      <c r="F123">
        <f>('Data Saham'!F123-'Data Saham'!F122)/'Data Saham'!F122</f>
        <v>2.2624434389140271E-2</v>
      </c>
      <c r="G123">
        <f>('Data Saham'!G123-'Data Saham'!G122)/'Data Saham'!G122</f>
        <v>6.4935064935064939E-3</v>
      </c>
      <c r="H123">
        <f>('Data Saham'!H123-'Data Saham'!H122)/'Data Saham'!H122</f>
        <v>2.2522522522522521E-2</v>
      </c>
      <c r="I123">
        <f>('Data Saham'!I123-'Data Saham'!I122)/'Data Saham'!I122</f>
        <v>-5.3763440860215058E-3</v>
      </c>
      <c r="J123">
        <f>('Data Saham'!J123-'Data Saham'!J122)/'Data Saham'!J122</f>
        <v>1.0033444816053512E-2</v>
      </c>
      <c r="K123">
        <f>('Data Saham'!K123-'Data Saham'!K122)/'Data Saham'!K122</f>
        <v>-5.9523809523809521E-3</v>
      </c>
      <c r="L123">
        <f>('Data Saham'!L123-'Data Saham'!L122)/'Data Saham'!L122</f>
        <v>0</v>
      </c>
      <c r="M123">
        <f>('Data Saham'!M123-'Data Saham'!M122)/'Data Saham'!M122</f>
        <v>2.9498525073746312E-2</v>
      </c>
      <c r="N123">
        <f>('Data Saham'!N123-'Data Saham'!N122)/'Data Saham'!N122</f>
        <v>1.2E-2</v>
      </c>
      <c r="O123">
        <f>('Data Saham'!O123-'Data Saham'!O122)/'Data Saham'!O122</f>
        <v>2.5714285714285714E-2</v>
      </c>
      <c r="P123">
        <f>('Data Saham'!P123-'Data Saham'!P122)/'Data Saham'!P122</f>
        <v>0</v>
      </c>
      <c r="Q123">
        <f>('Data Saham'!Q123-'Data Saham'!Q122)/'Data Saham'!Q122</f>
        <v>0</v>
      </c>
      <c r="R123">
        <f>('Data Saham'!R123-'Data Saham'!R122)/'Data Saham'!R122</f>
        <v>-1.6666666666666666E-2</v>
      </c>
      <c r="S123">
        <f>('Data Saham'!S123-'Data Saham'!S122)/'Data Saham'!S122</f>
        <v>4.2735042735042739E-3</v>
      </c>
      <c r="T123">
        <f>('Data Saham'!T123-'Data Saham'!T122)/'Data Saham'!T122</f>
        <v>2.6525198938992044E-2</v>
      </c>
      <c r="U123">
        <f>('Data Saham'!U123-'Data Saham'!U122)/'Data Saham'!U122</f>
        <v>3.237410071942446E-2</v>
      </c>
      <c r="V123">
        <f>('Data Saham'!V123-'Data Saham'!V122)/'Data Saham'!V122</f>
        <v>-1.885014137606032E-3</v>
      </c>
      <c r="W123">
        <f>('Data Saham'!W123-'Data Saham'!W122)/'Data Saham'!W122</f>
        <v>4.4444444444444444E-3</v>
      </c>
      <c r="X123">
        <f>('Data Saham'!X123-'Data Saham'!X122)/'Data Saham'!X122</f>
        <v>-1.2295081967213115E-2</v>
      </c>
      <c r="Y123">
        <f>('Data Saham'!Y123-'Data Saham'!Y122)/'Data Saham'!Y122</f>
        <v>-9.2165898617511521E-3</v>
      </c>
      <c r="Z123">
        <f>('Data Saham'!Z123-'Data Saham'!Z122)/'Data Saham'!Z122</f>
        <v>0</v>
      </c>
      <c r="AA123">
        <f>('Data Saham'!AA123-'Data Saham'!AA122)/'Data Saham'!AA122</f>
        <v>4.2553191489361703E-3</v>
      </c>
      <c r="AB123">
        <f>('Data Saham'!AB123-'Data Saham'!AB122)/'Data Saham'!AB122</f>
        <v>0</v>
      </c>
      <c r="AC123">
        <f>('Data Saham'!AC123-'Data Saham'!AC122)/'Data Saham'!AC122</f>
        <v>-1.2658227848101266E-2</v>
      </c>
      <c r="AD123">
        <f>('Data Saham'!AD123-'Data Saham'!AD122)/'Data Saham'!AD122</f>
        <v>8.9285714285714281E-3</v>
      </c>
      <c r="AE123">
        <f>('Data Saham'!AE123-'Data Saham'!AE122)/'Data Saham'!AE122</f>
        <v>1.1049723756906077E-2</v>
      </c>
      <c r="AF123">
        <f>('Data Saham'!AF123-'Data Saham'!AF122)/'Data Saham'!AF122</f>
        <v>-1.5625E-2</v>
      </c>
    </row>
    <row r="124" spans="1:32" x14ac:dyDescent="0.3">
      <c r="A124" s="3" t="s">
        <v>72</v>
      </c>
      <c r="B124">
        <f>('Data Saham'!B124-'Data Saham'!B123)/'Data Saham'!B123</f>
        <v>1.0575422138358949E-2</v>
      </c>
      <c r="C124">
        <f>('Data Saham'!C124-'Data Saham'!C123)/'Data Saham'!C123</f>
        <v>1.2618296529968454E-2</v>
      </c>
      <c r="D124">
        <f>('Data Saham'!D124-'Data Saham'!D123)/'Data Saham'!D123</f>
        <v>-9.5693779904306216E-3</v>
      </c>
      <c r="E124">
        <f>('Data Saham'!E124-'Data Saham'!E123)/'Data Saham'!E123</f>
        <v>2.2123893805309734E-3</v>
      </c>
      <c r="F124">
        <f>('Data Saham'!F124-'Data Saham'!F123)/'Data Saham'!F123</f>
        <v>-2.4336283185840708E-2</v>
      </c>
      <c r="G124">
        <f>('Data Saham'!G124-'Data Saham'!G123)/'Data Saham'!G123</f>
        <v>5.1612903225806452E-2</v>
      </c>
      <c r="H124">
        <f>('Data Saham'!H124-'Data Saham'!H123)/'Data Saham'!H123</f>
        <v>-8.8105726872246704E-3</v>
      </c>
      <c r="I124">
        <f>('Data Saham'!I124-'Data Saham'!I123)/'Data Saham'!I123</f>
        <v>-2.7027027027027029E-3</v>
      </c>
      <c r="J124">
        <f>('Data Saham'!J124-'Data Saham'!J123)/'Data Saham'!J123</f>
        <v>1.3245033112582781E-2</v>
      </c>
      <c r="K124">
        <f>('Data Saham'!K124-'Data Saham'!K123)/'Data Saham'!K123</f>
        <v>5.9880239520958087E-3</v>
      </c>
      <c r="L124">
        <f>('Data Saham'!L124-'Data Saham'!L123)/'Data Saham'!L123</f>
        <v>5.5991041433370659E-3</v>
      </c>
      <c r="M124">
        <f>('Data Saham'!M124-'Data Saham'!M123)/'Data Saham'!M123</f>
        <v>0</v>
      </c>
      <c r="N124">
        <f>('Data Saham'!N124-'Data Saham'!N123)/'Data Saham'!N123</f>
        <v>-3.952569169960474E-3</v>
      </c>
      <c r="O124">
        <f>('Data Saham'!O124-'Data Saham'!O123)/'Data Saham'!O123</f>
        <v>-1.3927576601671309E-2</v>
      </c>
      <c r="P124">
        <f>('Data Saham'!P124-'Data Saham'!P123)/'Data Saham'!P123</f>
        <v>8.5470085470085479E-3</v>
      </c>
      <c r="Q124">
        <f>('Data Saham'!Q124-'Data Saham'!Q123)/'Data Saham'!Q123</f>
        <v>0</v>
      </c>
      <c r="R124">
        <f>('Data Saham'!R124-'Data Saham'!R123)/'Data Saham'!R123</f>
        <v>-4.2372881355932203E-3</v>
      </c>
      <c r="S124">
        <f>('Data Saham'!S124-'Data Saham'!S123)/'Data Saham'!S123</f>
        <v>1.0638297872340425E-2</v>
      </c>
      <c r="T124">
        <f>('Data Saham'!T124-'Data Saham'!T123)/'Data Saham'!T123</f>
        <v>-2.0671834625322998E-2</v>
      </c>
      <c r="U124">
        <f>('Data Saham'!U124-'Data Saham'!U123)/'Data Saham'!U123</f>
        <v>6.9686411149825784E-3</v>
      </c>
      <c r="V124">
        <f>('Data Saham'!V124-'Data Saham'!V123)/'Data Saham'!V123</f>
        <v>-6.6100094428706326E-3</v>
      </c>
      <c r="W124">
        <f>('Data Saham'!W124-'Data Saham'!W123)/'Data Saham'!W123</f>
        <v>3.5398230088495575E-2</v>
      </c>
      <c r="X124">
        <f>('Data Saham'!X124-'Data Saham'!X123)/'Data Saham'!X123</f>
        <v>-4.1493775933609959E-3</v>
      </c>
      <c r="Y124">
        <f>('Data Saham'!Y124-'Data Saham'!Y123)/'Data Saham'!Y123</f>
        <v>-9.3023255813953487E-3</v>
      </c>
      <c r="Z124">
        <f>('Data Saham'!Z124-'Data Saham'!Z123)/'Data Saham'!Z123</f>
        <v>1.3824884792626729E-2</v>
      </c>
      <c r="AA124">
        <f>('Data Saham'!AA124-'Data Saham'!AA123)/'Data Saham'!AA123</f>
        <v>1.6949152542372881E-2</v>
      </c>
      <c r="AB124">
        <f>('Data Saham'!AB124-'Data Saham'!AB123)/'Data Saham'!AB123</f>
        <v>0</v>
      </c>
      <c r="AC124">
        <f>('Data Saham'!AC124-'Data Saham'!AC123)/'Data Saham'!AC123</f>
        <v>-6.41025641025641E-3</v>
      </c>
      <c r="AD124">
        <f>('Data Saham'!AD124-'Data Saham'!AD123)/'Data Saham'!AD123</f>
        <v>2.6548672566371681E-2</v>
      </c>
      <c r="AE124">
        <f>('Data Saham'!AE124-'Data Saham'!AE123)/'Data Saham'!AE123</f>
        <v>2.185792349726776E-2</v>
      </c>
      <c r="AF124">
        <f>('Data Saham'!AF124-'Data Saham'!AF123)/'Data Saham'!AF123</f>
        <v>3.7037037037037035E-2</v>
      </c>
    </row>
    <row r="125" spans="1:32" x14ac:dyDescent="0.3">
      <c r="A125" s="4" t="s">
        <v>73</v>
      </c>
      <c r="B125">
        <f>('Data Saham'!B125-'Data Saham'!B124)/'Data Saham'!B124</f>
        <v>2.5928800370915305E-3</v>
      </c>
      <c r="C125">
        <f>('Data Saham'!C125-'Data Saham'!C124)/'Data Saham'!C124</f>
        <v>-1.2461059190031152E-2</v>
      </c>
      <c r="D125">
        <f>('Data Saham'!D125-'Data Saham'!D124)/'Data Saham'!D124</f>
        <v>-2.4154589371980675E-3</v>
      </c>
      <c r="E125">
        <f>('Data Saham'!E125-'Data Saham'!E124)/'Data Saham'!E124</f>
        <v>-1.1037527593818985E-2</v>
      </c>
      <c r="F125">
        <f>('Data Saham'!F125-'Data Saham'!F124)/'Data Saham'!F124</f>
        <v>-9.0702947845804991E-3</v>
      </c>
      <c r="G125">
        <f>('Data Saham'!G125-'Data Saham'!G124)/'Data Saham'!G124</f>
        <v>1.2269938650306749E-2</v>
      </c>
      <c r="H125">
        <f>('Data Saham'!H125-'Data Saham'!H124)/'Data Saham'!H124</f>
        <v>4.4444444444444444E-3</v>
      </c>
      <c r="I125">
        <f>('Data Saham'!I125-'Data Saham'!I124)/'Data Saham'!I124</f>
        <v>8.130081300813009E-3</v>
      </c>
      <c r="J125">
        <f>('Data Saham'!J125-'Data Saham'!J124)/'Data Saham'!J124</f>
        <v>0</v>
      </c>
      <c r="K125">
        <f>('Data Saham'!K125-'Data Saham'!K124)/'Data Saham'!K124</f>
        <v>-1.7857142857142856E-2</v>
      </c>
      <c r="L125">
        <f>('Data Saham'!L125-'Data Saham'!L124)/'Data Saham'!L124</f>
        <v>-4.4543429844097994E-3</v>
      </c>
      <c r="M125">
        <f>('Data Saham'!M125-'Data Saham'!M124)/'Data Saham'!M124</f>
        <v>3.151862464183381E-2</v>
      </c>
      <c r="N125">
        <f>('Data Saham'!N125-'Data Saham'!N124)/'Data Saham'!N124</f>
        <v>7.9365079365079361E-3</v>
      </c>
      <c r="O125">
        <f>('Data Saham'!O125-'Data Saham'!O124)/'Data Saham'!O124</f>
        <v>-1.4124293785310734E-2</v>
      </c>
      <c r="P125">
        <f>('Data Saham'!P125-'Data Saham'!P124)/'Data Saham'!P124</f>
        <v>1.6949152542372881E-2</v>
      </c>
      <c r="Q125">
        <f>('Data Saham'!Q125-'Data Saham'!Q124)/'Data Saham'!Q124</f>
        <v>2.3166023166023165E-2</v>
      </c>
      <c r="R125">
        <f>('Data Saham'!R125-'Data Saham'!R124)/'Data Saham'!R124</f>
        <v>1.276595744680851E-2</v>
      </c>
      <c r="S125">
        <f>('Data Saham'!S125-'Data Saham'!S124)/'Data Saham'!S124</f>
        <v>1.2631578947368421E-2</v>
      </c>
      <c r="T125">
        <f>('Data Saham'!T125-'Data Saham'!T124)/'Data Saham'!T124</f>
        <v>2.9023746701846966E-2</v>
      </c>
      <c r="U125">
        <f>('Data Saham'!U125-'Data Saham'!U124)/'Data Saham'!U124</f>
        <v>1.384083044982699E-2</v>
      </c>
      <c r="V125">
        <f>('Data Saham'!V125-'Data Saham'!V124)/'Data Saham'!V124</f>
        <v>1.5209125475285171E-2</v>
      </c>
      <c r="W125">
        <f>('Data Saham'!W125-'Data Saham'!W124)/'Data Saham'!W124</f>
        <v>-8.5470085470085479E-3</v>
      </c>
      <c r="X125">
        <f>('Data Saham'!X125-'Data Saham'!X124)/'Data Saham'!X124</f>
        <v>3.3333333333333333E-2</v>
      </c>
      <c r="Y125">
        <f>('Data Saham'!Y125-'Data Saham'!Y124)/'Data Saham'!Y124</f>
        <v>-9.3896713615023476E-3</v>
      </c>
      <c r="Z125">
        <f>('Data Saham'!Z125-'Data Saham'!Z124)/'Data Saham'!Z124</f>
        <v>-9.0909090909090905E-3</v>
      </c>
      <c r="AA125">
        <f>('Data Saham'!AA125-'Data Saham'!AA124)/'Data Saham'!AA124</f>
        <v>2.5000000000000001E-2</v>
      </c>
      <c r="AB125">
        <f>('Data Saham'!AB125-'Data Saham'!AB124)/'Data Saham'!AB124</f>
        <v>0</v>
      </c>
      <c r="AC125">
        <f>('Data Saham'!AC125-'Data Saham'!AC124)/'Data Saham'!AC124</f>
        <v>-2.5806451612903226E-2</v>
      </c>
      <c r="AD125">
        <f>('Data Saham'!AD125-'Data Saham'!AD124)/'Data Saham'!AD124</f>
        <v>-1.2931034482758621E-2</v>
      </c>
      <c r="AE125">
        <f>('Data Saham'!AE125-'Data Saham'!AE124)/'Data Saham'!AE124</f>
        <v>5.3475935828877002E-3</v>
      </c>
      <c r="AF125">
        <f>('Data Saham'!AF125-'Data Saham'!AF124)/'Data Saham'!AF124</f>
        <v>-5.1020408163265302E-3</v>
      </c>
    </row>
    <row r="126" spans="1:32" x14ac:dyDescent="0.3">
      <c r="A126" s="3" t="s">
        <v>74</v>
      </c>
      <c r="B126">
        <f>('Data Saham'!B126-'Data Saham'!B125)/'Data Saham'!B125</f>
        <v>8.4798371388718433E-3</v>
      </c>
      <c r="C126">
        <f>('Data Saham'!C126-'Data Saham'!C125)/'Data Saham'!C125</f>
        <v>-9.4637223974763408E-3</v>
      </c>
      <c r="D126">
        <f>('Data Saham'!D126-'Data Saham'!D125)/'Data Saham'!D125</f>
        <v>2.1791767554479417E-2</v>
      </c>
      <c r="E126">
        <f>('Data Saham'!E126-'Data Saham'!E125)/'Data Saham'!E125</f>
        <v>6.6964285714285711E-3</v>
      </c>
      <c r="F126">
        <f>('Data Saham'!F126-'Data Saham'!F125)/'Data Saham'!F125</f>
        <v>1.8306636155606407E-2</v>
      </c>
      <c r="G126">
        <f>('Data Saham'!G126-'Data Saham'!G125)/'Data Saham'!G125</f>
        <v>1.2121212121212121E-2</v>
      </c>
      <c r="H126">
        <f>('Data Saham'!H126-'Data Saham'!H125)/'Data Saham'!H125</f>
        <v>8.8495575221238937E-3</v>
      </c>
      <c r="I126">
        <f>('Data Saham'!I126-'Data Saham'!I125)/'Data Saham'!I125</f>
        <v>2.1505376344086023E-2</v>
      </c>
      <c r="J126">
        <f>('Data Saham'!J126-'Data Saham'!J125)/'Data Saham'!J125</f>
        <v>1.6339869281045753E-2</v>
      </c>
      <c r="K126">
        <f>('Data Saham'!K126-'Data Saham'!K125)/'Data Saham'!K125</f>
        <v>1.5151515151515152E-2</v>
      </c>
      <c r="L126">
        <f>('Data Saham'!L126-'Data Saham'!L125)/'Data Saham'!L125</f>
        <v>1.0067114093959731E-2</v>
      </c>
      <c r="M126">
        <f>('Data Saham'!M126-'Data Saham'!M125)/'Data Saham'!M125</f>
        <v>-3.888888888888889E-2</v>
      </c>
      <c r="N126">
        <f>('Data Saham'!N126-'Data Saham'!N125)/'Data Saham'!N125</f>
        <v>-1.968503937007874E-2</v>
      </c>
      <c r="O126">
        <f>('Data Saham'!O126-'Data Saham'!O125)/'Data Saham'!O125</f>
        <v>8.5959885386819486E-3</v>
      </c>
      <c r="P126">
        <f>('Data Saham'!P126-'Data Saham'!P125)/'Data Saham'!P125</f>
        <v>1.6666666666666666E-2</v>
      </c>
      <c r="Q126">
        <f>('Data Saham'!Q126-'Data Saham'!Q125)/'Data Saham'!Q125</f>
        <v>4.1509433962264149E-2</v>
      </c>
      <c r="R126">
        <f>('Data Saham'!R126-'Data Saham'!R125)/'Data Saham'!R125</f>
        <v>0</v>
      </c>
      <c r="S126">
        <f>('Data Saham'!S126-'Data Saham'!S125)/'Data Saham'!S125</f>
        <v>1.0395010395010396E-2</v>
      </c>
      <c r="T126">
        <f>('Data Saham'!T126-'Data Saham'!T125)/'Data Saham'!T125</f>
        <v>2.0512820512820513E-2</v>
      </c>
      <c r="U126">
        <f>('Data Saham'!U126-'Data Saham'!U125)/'Data Saham'!U125</f>
        <v>3.4129692832764505E-3</v>
      </c>
      <c r="V126">
        <f>('Data Saham'!V126-'Data Saham'!V125)/'Data Saham'!V125</f>
        <v>1.1235955056179775E-2</v>
      </c>
      <c r="W126">
        <f>('Data Saham'!W126-'Data Saham'!W125)/'Data Saham'!W125</f>
        <v>6.8965517241379309E-2</v>
      </c>
      <c r="X126">
        <f>('Data Saham'!X126-'Data Saham'!X125)/'Data Saham'!X125</f>
        <v>4.0322580645161289E-3</v>
      </c>
      <c r="Y126">
        <f>('Data Saham'!Y126-'Data Saham'!Y125)/'Data Saham'!Y125</f>
        <v>2.3696682464454975E-2</v>
      </c>
      <c r="Z126">
        <f>('Data Saham'!Z126-'Data Saham'!Z125)/'Data Saham'!Z125</f>
        <v>2.2935779816513763E-2</v>
      </c>
      <c r="AA126">
        <f>('Data Saham'!AA126-'Data Saham'!AA125)/'Data Saham'!AA125</f>
        <v>3.2520325203252036E-2</v>
      </c>
      <c r="AB126">
        <f>('Data Saham'!AB126-'Data Saham'!AB125)/'Data Saham'!AB125</f>
        <v>0</v>
      </c>
      <c r="AC126">
        <f>('Data Saham'!AC126-'Data Saham'!AC125)/'Data Saham'!AC125</f>
        <v>2.6490066225165563E-2</v>
      </c>
      <c r="AD126">
        <f>('Data Saham'!AD126-'Data Saham'!AD125)/'Data Saham'!AD125</f>
        <v>1.3100436681222707E-2</v>
      </c>
      <c r="AE126">
        <f>('Data Saham'!AE126-'Data Saham'!AE125)/'Data Saham'!AE125</f>
        <v>4.2553191489361701E-2</v>
      </c>
      <c r="AF126">
        <f>('Data Saham'!AF126-'Data Saham'!AF125)/'Data Saham'!AF125</f>
        <v>1.0256410256410256E-2</v>
      </c>
    </row>
    <row r="127" spans="1:32" x14ac:dyDescent="0.3">
      <c r="A127" s="4" t="s">
        <v>75</v>
      </c>
      <c r="B127">
        <f>('Data Saham'!B127-'Data Saham'!B126)/'Data Saham'!B126</f>
        <v>-2.0871805990644444E-3</v>
      </c>
      <c r="C127">
        <f>('Data Saham'!C127-'Data Saham'!C126)/'Data Saham'!C126</f>
        <v>-1.9108280254777069E-2</v>
      </c>
      <c r="D127">
        <f>('Data Saham'!D127-'Data Saham'!D126)/'Data Saham'!D126</f>
        <v>7.1090047393364926E-3</v>
      </c>
      <c r="E127">
        <f>('Data Saham'!E127-'Data Saham'!E126)/'Data Saham'!E126</f>
        <v>-1.9955654101995565E-2</v>
      </c>
      <c r="F127">
        <f>('Data Saham'!F127-'Data Saham'!F126)/'Data Saham'!F126</f>
        <v>-2.4719101123595506E-2</v>
      </c>
      <c r="G127">
        <f>('Data Saham'!G127-'Data Saham'!G126)/'Data Saham'!G126</f>
        <v>-2.6946107784431138E-2</v>
      </c>
      <c r="H127">
        <f>('Data Saham'!H127-'Data Saham'!H126)/'Data Saham'!H126</f>
        <v>-2.1929824561403508E-2</v>
      </c>
      <c r="I127">
        <f>('Data Saham'!I127-'Data Saham'!I126)/'Data Saham'!I126</f>
        <v>-7.8947368421052634E-3</v>
      </c>
      <c r="J127">
        <f>('Data Saham'!J127-'Data Saham'!J126)/'Data Saham'!J126</f>
        <v>-1.607717041800643E-2</v>
      </c>
      <c r="K127">
        <f>('Data Saham'!K127-'Data Saham'!K126)/'Data Saham'!K126</f>
        <v>-2.0895522388059702E-2</v>
      </c>
      <c r="L127">
        <f>('Data Saham'!L127-'Data Saham'!L126)/'Data Saham'!L126</f>
        <v>4.4296788482834993E-3</v>
      </c>
      <c r="M127">
        <f>('Data Saham'!M127-'Data Saham'!M126)/'Data Saham'!M126</f>
        <v>-1.1560693641618497E-2</v>
      </c>
      <c r="N127">
        <f>('Data Saham'!N127-'Data Saham'!N126)/'Data Saham'!N126</f>
        <v>-4.8192771084337352E-2</v>
      </c>
      <c r="O127">
        <f>('Data Saham'!O127-'Data Saham'!O126)/'Data Saham'!O126</f>
        <v>2.840909090909091E-3</v>
      </c>
      <c r="P127">
        <f>('Data Saham'!P127-'Data Saham'!P126)/'Data Saham'!P126</f>
        <v>-3.2786885245901641E-2</v>
      </c>
      <c r="Q127">
        <f>('Data Saham'!Q127-'Data Saham'!Q126)/'Data Saham'!Q126</f>
        <v>1.8115942028985508E-2</v>
      </c>
      <c r="R127">
        <f>('Data Saham'!R127-'Data Saham'!R126)/'Data Saham'!R126</f>
        <v>-2.5210084033613446E-2</v>
      </c>
      <c r="S127">
        <f>('Data Saham'!S127-'Data Saham'!S126)/'Data Saham'!S126</f>
        <v>1.646090534979424E-2</v>
      </c>
      <c r="T127">
        <f>('Data Saham'!T127-'Data Saham'!T126)/'Data Saham'!T126</f>
        <v>5.5276381909547742E-2</v>
      </c>
      <c r="U127">
        <f>('Data Saham'!U127-'Data Saham'!U126)/'Data Saham'!U126</f>
        <v>-1.7006802721088437E-2</v>
      </c>
      <c r="V127">
        <f>('Data Saham'!V127-'Data Saham'!V126)/'Data Saham'!V126</f>
        <v>-2.2222222222222223E-2</v>
      </c>
      <c r="W127">
        <f>('Data Saham'!W127-'Data Saham'!W126)/'Data Saham'!W126</f>
        <v>0.16935483870967741</v>
      </c>
      <c r="X127">
        <f>('Data Saham'!X127-'Data Saham'!X126)/'Data Saham'!X126</f>
        <v>-4.0160642570281121E-3</v>
      </c>
      <c r="Y127">
        <f>('Data Saham'!Y127-'Data Saham'!Y126)/'Data Saham'!Y126</f>
        <v>-5.5555555555555552E-2</v>
      </c>
      <c r="Z127">
        <f>('Data Saham'!Z127-'Data Saham'!Z126)/'Data Saham'!Z126</f>
        <v>-2.2421524663677129E-2</v>
      </c>
      <c r="AA127">
        <f>('Data Saham'!AA127-'Data Saham'!AA126)/'Data Saham'!AA126</f>
        <v>-3.937007874015748E-2</v>
      </c>
      <c r="AB127">
        <f>('Data Saham'!AB127-'Data Saham'!AB126)/'Data Saham'!AB126</f>
        <v>-1.7543859649122806E-2</v>
      </c>
      <c r="AC127">
        <f>('Data Saham'!AC127-'Data Saham'!AC126)/'Data Saham'!AC126</f>
        <v>5.1612903225806452E-2</v>
      </c>
      <c r="AD127">
        <f>('Data Saham'!AD127-'Data Saham'!AD126)/'Data Saham'!AD126</f>
        <v>-4.3103448275862072E-2</v>
      </c>
      <c r="AE127">
        <f>('Data Saham'!AE127-'Data Saham'!AE126)/'Data Saham'!AE126</f>
        <v>-5.1020408163265302E-3</v>
      </c>
      <c r="AF127">
        <f>('Data Saham'!AF127-'Data Saham'!AF126)/'Data Saham'!AF126</f>
        <v>-2.5380710659898477E-2</v>
      </c>
    </row>
    <row r="128" spans="1:32" x14ac:dyDescent="0.3">
      <c r="A128" s="3" t="s">
        <v>76</v>
      </c>
      <c r="B128">
        <f>('Data Saham'!B128-'Data Saham'!B127)/'Data Saham'!B127</f>
        <v>5.3306328456388576E-3</v>
      </c>
      <c r="C128">
        <f>('Data Saham'!C128-'Data Saham'!C127)/'Data Saham'!C127</f>
        <v>1.2987012987012988E-2</v>
      </c>
      <c r="D128">
        <f>('Data Saham'!D128-'Data Saham'!D127)/'Data Saham'!D127</f>
        <v>0</v>
      </c>
      <c r="E128">
        <f>('Data Saham'!E128-'Data Saham'!E127)/'Data Saham'!E127</f>
        <v>-9.0497737556561094E-3</v>
      </c>
      <c r="F128">
        <f>('Data Saham'!F128-'Data Saham'!F127)/'Data Saham'!F127</f>
        <v>-1.6129032258064516E-2</v>
      </c>
      <c r="G128">
        <f>('Data Saham'!G128-'Data Saham'!G127)/'Data Saham'!G127</f>
        <v>-6.1538461538461538E-3</v>
      </c>
      <c r="H128">
        <f>('Data Saham'!H128-'Data Saham'!H127)/'Data Saham'!H127</f>
        <v>2.6905829596412557E-2</v>
      </c>
      <c r="I128">
        <f>('Data Saham'!I128-'Data Saham'!I127)/'Data Saham'!I127</f>
        <v>2.9177718832891247E-2</v>
      </c>
      <c r="J128">
        <f>('Data Saham'!J128-'Data Saham'!J127)/'Data Saham'!J127</f>
        <v>2.2875816993464051E-2</v>
      </c>
      <c r="K128">
        <f>('Data Saham'!K128-'Data Saham'!K127)/'Data Saham'!K127</f>
        <v>1.524390243902439E-2</v>
      </c>
      <c r="L128">
        <f>('Data Saham'!L128-'Data Saham'!L127)/'Data Saham'!L127</f>
        <v>1.8743109151047408E-2</v>
      </c>
      <c r="M128">
        <f>('Data Saham'!M128-'Data Saham'!M127)/'Data Saham'!M127</f>
        <v>8.771929824561403E-3</v>
      </c>
      <c r="N128">
        <f>('Data Saham'!N128-'Data Saham'!N127)/'Data Saham'!N127</f>
        <v>4.2194092827004216E-3</v>
      </c>
      <c r="O128">
        <f>('Data Saham'!O128-'Data Saham'!O127)/'Data Saham'!O127</f>
        <v>-1.1331444759206799E-2</v>
      </c>
      <c r="P128">
        <f>('Data Saham'!P128-'Data Saham'!P127)/'Data Saham'!P127</f>
        <v>3.3898305084745763E-2</v>
      </c>
      <c r="Q128">
        <f>('Data Saham'!Q128-'Data Saham'!Q127)/'Data Saham'!Q127</f>
        <v>-3.5587188612099642E-3</v>
      </c>
      <c r="R128">
        <f>('Data Saham'!R128-'Data Saham'!R127)/'Data Saham'!R127</f>
        <v>1.7241379310344827E-2</v>
      </c>
      <c r="S128">
        <f>('Data Saham'!S128-'Data Saham'!S127)/'Data Saham'!S127</f>
        <v>2.7327935222672066E-2</v>
      </c>
      <c r="T128">
        <f>('Data Saham'!T128-'Data Saham'!T127)/'Data Saham'!T127</f>
        <v>-2.3809523809523808E-2</v>
      </c>
      <c r="U128">
        <f>('Data Saham'!U128-'Data Saham'!U127)/'Data Saham'!U127</f>
        <v>-6.920415224913495E-3</v>
      </c>
      <c r="V128">
        <f>('Data Saham'!V128-'Data Saham'!V127)/'Data Saham'!V127</f>
        <v>1.3257575757575758E-2</v>
      </c>
      <c r="W128">
        <f>('Data Saham'!W128-'Data Saham'!W127)/'Data Saham'!W127</f>
        <v>3.4482758620689655E-2</v>
      </c>
      <c r="X128">
        <f>('Data Saham'!X128-'Data Saham'!X127)/'Data Saham'!X127</f>
        <v>-1.2096774193548387E-2</v>
      </c>
      <c r="Y128">
        <f>('Data Saham'!Y128-'Data Saham'!Y127)/'Data Saham'!Y127</f>
        <v>-1.9607843137254902E-2</v>
      </c>
      <c r="Z128">
        <f>('Data Saham'!Z128-'Data Saham'!Z127)/'Data Saham'!Z127</f>
        <v>-9.1743119266055051E-3</v>
      </c>
      <c r="AA128">
        <f>('Data Saham'!AA128-'Data Saham'!AA127)/'Data Saham'!AA127</f>
        <v>-1.2295081967213115E-2</v>
      </c>
      <c r="AB128">
        <f>('Data Saham'!AB128-'Data Saham'!AB127)/'Data Saham'!AB127</f>
        <v>-1.7857142857142856E-2</v>
      </c>
      <c r="AC128">
        <f>('Data Saham'!AC128-'Data Saham'!AC127)/'Data Saham'!AC127</f>
        <v>7.3619631901840496E-2</v>
      </c>
      <c r="AD128">
        <f>('Data Saham'!AD128-'Data Saham'!AD127)/'Data Saham'!AD127</f>
        <v>-1.8018018018018018E-2</v>
      </c>
      <c r="AE128">
        <f>('Data Saham'!AE128-'Data Saham'!AE127)/'Data Saham'!AE127</f>
        <v>-2.564102564102564E-2</v>
      </c>
      <c r="AF128">
        <f>('Data Saham'!AF128-'Data Saham'!AF127)/'Data Saham'!AF127</f>
        <v>-2.6041666666666668E-2</v>
      </c>
    </row>
    <row r="129" spans="1:32" x14ac:dyDescent="0.3">
      <c r="A129" s="4" t="s">
        <v>77</v>
      </c>
      <c r="B129">
        <f>('Data Saham'!B129-'Data Saham'!B128)/'Data Saham'!B128</f>
        <v>-1.3762060433827751E-3</v>
      </c>
      <c r="C129">
        <f>('Data Saham'!C129-'Data Saham'!C128)/'Data Saham'!C128</f>
        <v>-9.6153846153846159E-3</v>
      </c>
      <c r="D129">
        <f>('Data Saham'!D129-'Data Saham'!D128)/'Data Saham'!D128</f>
        <v>-2.1176470588235293E-2</v>
      </c>
      <c r="E129">
        <f>('Data Saham'!E129-'Data Saham'!E128)/'Data Saham'!E128</f>
        <v>9.1324200913242004E-3</v>
      </c>
      <c r="F129">
        <f>('Data Saham'!F129-'Data Saham'!F128)/'Data Saham'!F128</f>
        <v>-1.405152224824356E-2</v>
      </c>
      <c r="G129">
        <f>('Data Saham'!G129-'Data Saham'!G128)/'Data Saham'!G128</f>
        <v>-3.0959752321981426E-3</v>
      </c>
      <c r="H129">
        <f>('Data Saham'!H129-'Data Saham'!H128)/'Data Saham'!H128</f>
        <v>-4.3668122270742356E-3</v>
      </c>
      <c r="I129">
        <f>('Data Saham'!I129-'Data Saham'!I128)/'Data Saham'!I128</f>
        <v>-7.7319587628865982E-3</v>
      </c>
      <c r="J129">
        <f>('Data Saham'!J129-'Data Saham'!J128)/'Data Saham'!J128</f>
        <v>3.1948881789137379E-3</v>
      </c>
      <c r="K129">
        <f>('Data Saham'!K129-'Data Saham'!K128)/'Data Saham'!K128</f>
        <v>-3.003003003003003E-3</v>
      </c>
      <c r="L129">
        <f>('Data Saham'!L129-'Data Saham'!L128)/'Data Saham'!L128</f>
        <v>0</v>
      </c>
      <c r="M129">
        <f>('Data Saham'!M129-'Data Saham'!M128)/'Data Saham'!M128</f>
        <v>3.7681159420289857E-2</v>
      </c>
      <c r="N129">
        <f>('Data Saham'!N129-'Data Saham'!N128)/'Data Saham'!N128</f>
        <v>5.8823529411764705E-2</v>
      </c>
      <c r="O129">
        <f>('Data Saham'!O129-'Data Saham'!O128)/'Data Saham'!O128</f>
        <v>-1.1461318051575931E-2</v>
      </c>
      <c r="P129">
        <f>('Data Saham'!P129-'Data Saham'!P128)/'Data Saham'!P128</f>
        <v>0</v>
      </c>
      <c r="Q129">
        <f>('Data Saham'!Q129-'Data Saham'!Q128)/'Data Saham'!Q128</f>
        <v>-2.5000000000000001E-2</v>
      </c>
      <c r="R129">
        <f>('Data Saham'!R129-'Data Saham'!R128)/'Data Saham'!R128</f>
        <v>0</v>
      </c>
      <c r="S129">
        <f>('Data Saham'!S129-'Data Saham'!S128)/'Data Saham'!S128</f>
        <v>-6.4039408866995079E-2</v>
      </c>
      <c r="T129">
        <f>('Data Saham'!T129-'Data Saham'!T128)/'Data Saham'!T128</f>
        <v>-4.1463414634146344E-2</v>
      </c>
      <c r="U129">
        <f>('Data Saham'!U129-'Data Saham'!U128)/'Data Saham'!U128</f>
        <v>1.3937282229965157E-2</v>
      </c>
      <c r="V129">
        <f>('Data Saham'!V129-'Data Saham'!V128)/'Data Saham'!V128</f>
        <v>0</v>
      </c>
      <c r="W129">
        <f>('Data Saham'!W129-'Data Saham'!W128)/'Data Saham'!W128</f>
        <v>7.3333333333333334E-2</v>
      </c>
      <c r="X129">
        <f>('Data Saham'!X129-'Data Saham'!X128)/'Data Saham'!X128</f>
        <v>-2.0408163265306121E-2</v>
      </c>
      <c r="Y129">
        <f>('Data Saham'!Y129-'Data Saham'!Y128)/'Data Saham'!Y128</f>
        <v>-4.7500000000000001E-2</v>
      </c>
      <c r="Z129">
        <f>('Data Saham'!Z129-'Data Saham'!Z128)/'Data Saham'!Z128</f>
        <v>-1.3888888888888888E-2</v>
      </c>
      <c r="AA129">
        <f>('Data Saham'!AA129-'Data Saham'!AA128)/'Data Saham'!AA128</f>
        <v>-2.4896265560165973E-2</v>
      </c>
      <c r="AB129">
        <f>('Data Saham'!AB129-'Data Saham'!AB128)/'Data Saham'!AB128</f>
        <v>-1.8181818181818181E-2</v>
      </c>
      <c r="AC129">
        <f>('Data Saham'!AC129-'Data Saham'!AC128)/'Data Saham'!AC128</f>
        <v>2.8571428571428571E-2</v>
      </c>
      <c r="AD129">
        <f>('Data Saham'!AD129-'Data Saham'!AD128)/'Data Saham'!AD128</f>
        <v>-9.1743119266055051E-3</v>
      </c>
      <c r="AE129">
        <f>('Data Saham'!AE129-'Data Saham'!AE128)/'Data Saham'!AE128</f>
        <v>1.5789473684210527E-2</v>
      </c>
      <c r="AF129">
        <f>('Data Saham'!AF129-'Data Saham'!AF128)/'Data Saham'!AF128</f>
        <v>-1.6042780748663103E-2</v>
      </c>
    </row>
    <row r="130" spans="1:32" x14ac:dyDescent="0.3">
      <c r="A130" s="3" t="s">
        <v>78</v>
      </c>
      <c r="B130">
        <f>('Data Saham'!B130-'Data Saham'!B129)/'Data Saham'!B129</f>
        <v>1.0591987104541751E-2</v>
      </c>
      <c r="C130">
        <f>('Data Saham'!C130-'Data Saham'!C129)/'Data Saham'!C129</f>
        <v>1.9417475728155338E-2</v>
      </c>
      <c r="D130">
        <f>('Data Saham'!D130-'Data Saham'!D129)/'Data Saham'!D129</f>
        <v>-4.807692307692308E-3</v>
      </c>
      <c r="E130">
        <f>('Data Saham'!E130-'Data Saham'!E129)/'Data Saham'!E129</f>
        <v>-2.2624434389140274E-3</v>
      </c>
      <c r="F130">
        <f>('Data Saham'!F130-'Data Saham'!F129)/'Data Saham'!F129</f>
        <v>-2.3752969121140144E-3</v>
      </c>
      <c r="G130">
        <f>('Data Saham'!G130-'Data Saham'!G129)/'Data Saham'!G129</f>
        <v>-9.316770186335404E-3</v>
      </c>
      <c r="H130">
        <f>('Data Saham'!H130-'Data Saham'!H129)/'Data Saham'!H129</f>
        <v>3.5087719298245612E-2</v>
      </c>
      <c r="I130">
        <f>('Data Saham'!I130-'Data Saham'!I129)/'Data Saham'!I129</f>
        <v>7.7922077922077922E-3</v>
      </c>
      <c r="J130">
        <f>('Data Saham'!J130-'Data Saham'!J129)/'Data Saham'!J129</f>
        <v>-9.5541401273885346E-3</v>
      </c>
      <c r="K130">
        <f>('Data Saham'!K130-'Data Saham'!K129)/'Data Saham'!K129</f>
        <v>6.0240963855421686E-2</v>
      </c>
      <c r="L130">
        <f>('Data Saham'!L130-'Data Saham'!L129)/'Data Saham'!L129</f>
        <v>-5.411255411255411E-3</v>
      </c>
      <c r="M130">
        <f>('Data Saham'!M130-'Data Saham'!M129)/'Data Saham'!M129</f>
        <v>2.5139664804469275E-2</v>
      </c>
      <c r="N130">
        <f>('Data Saham'!N130-'Data Saham'!N129)/'Data Saham'!N129</f>
        <v>-2.7777777777777776E-2</v>
      </c>
      <c r="O130">
        <f>('Data Saham'!O130-'Data Saham'!O129)/'Data Saham'!O129</f>
        <v>0</v>
      </c>
      <c r="P130">
        <f>('Data Saham'!P130-'Data Saham'!P129)/'Data Saham'!P129</f>
        <v>8.1967213114754103E-3</v>
      </c>
      <c r="Q130">
        <f>('Data Saham'!Q130-'Data Saham'!Q129)/'Data Saham'!Q129</f>
        <v>-1.098901098901099E-2</v>
      </c>
      <c r="R130">
        <f>('Data Saham'!R130-'Data Saham'!R129)/'Data Saham'!R129</f>
        <v>8.4745762711864406E-3</v>
      </c>
      <c r="S130">
        <f>('Data Saham'!S130-'Data Saham'!S129)/'Data Saham'!S129</f>
        <v>8.4210526315789472E-3</v>
      </c>
      <c r="T130">
        <f>('Data Saham'!T130-'Data Saham'!T129)/'Data Saham'!T129</f>
        <v>-2.5445292620865142E-3</v>
      </c>
      <c r="U130">
        <f>('Data Saham'!U130-'Data Saham'!U129)/'Data Saham'!U129</f>
        <v>0</v>
      </c>
      <c r="V130">
        <f>('Data Saham'!V130-'Data Saham'!V129)/'Data Saham'!V129</f>
        <v>1.6822429906542057E-2</v>
      </c>
      <c r="W130">
        <f>('Data Saham'!W130-'Data Saham'!W129)/'Data Saham'!W129</f>
        <v>4.6583850931677016E-2</v>
      </c>
      <c r="X130">
        <f>('Data Saham'!X130-'Data Saham'!X129)/'Data Saham'!X129</f>
        <v>8.3333333333333332E-3</v>
      </c>
      <c r="Y130">
        <f>('Data Saham'!Y130-'Data Saham'!Y129)/'Data Saham'!Y129</f>
        <v>1.0498687664041995E-2</v>
      </c>
      <c r="Z130">
        <f>('Data Saham'!Z130-'Data Saham'!Z129)/'Data Saham'!Z129</f>
        <v>4.6948356807511738E-3</v>
      </c>
      <c r="AA130">
        <f>('Data Saham'!AA130-'Data Saham'!AA129)/'Data Saham'!AA129</f>
        <v>-8.5106382978723406E-3</v>
      </c>
      <c r="AB130">
        <f>('Data Saham'!AB130-'Data Saham'!AB129)/'Data Saham'!AB129</f>
        <v>0</v>
      </c>
      <c r="AC130">
        <f>('Data Saham'!AC130-'Data Saham'!AC129)/'Data Saham'!AC129</f>
        <v>-2.7777777777777776E-2</v>
      </c>
      <c r="AD130">
        <f>('Data Saham'!AD130-'Data Saham'!AD129)/'Data Saham'!AD129</f>
        <v>3.7037037037037035E-2</v>
      </c>
      <c r="AE130">
        <f>('Data Saham'!AE130-'Data Saham'!AE129)/'Data Saham'!AE129</f>
        <v>1.0362694300518135E-2</v>
      </c>
      <c r="AF130">
        <f>('Data Saham'!AF130-'Data Saham'!AF129)/'Data Saham'!AF129</f>
        <v>3.2608695652173912E-2</v>
      </c>
    </row>
    <row r="131" spans="1:32" x14ac:dyDescent="0.3">
      <c r="A131" s="4" t="s">
        <v>79</v>
      </c>
      <c r="B131">
        <f>('Data Saham'!B131-'Data Saham'!B130)/'Data Saham'!B130</f>
        <v>1.6738049524941934E-4</v>
      </c>
      <c r="C131">
        <f>('Data Saham'!C131-'Data Saham'!C130)/'Data Saham'!C130</f>
        <v>-1.2698412698412698E-2</v>
      </c>
      <c r="D131">
        <f>('Data Saham'!D131-'Data Saham'!D130)/'Data Saham'!D130</f>
        <v>7.246376811594203E-3</v>
      </c>
      <c r="E131">
        <f>('Data Saham'!E131-'Data Saham'!E130)/'Data Saham'!E130</f>
        <v>-4.5351473922902496E-3</v>
      </c>
      <c r="F131">
        <f>('Data Saham'!F131-'Data Saham'!F130)/'Data Saham'!F130</f>
        <v>-2.3809523809523812E-3</v>
      </c>
      <c r="G131">
        <f>('Data Saham'!G131-'Data Saham'!G130)/'Data Saham'!G130</f>
        <v>-9.4043887147335428E-3</v>
      </c>
      <c r="H131">
        <f>('Data Saham'!H131-'Data Saham'!H130)/'Data Saham'!H130</f>
        <v>0</v>
      </c>
      <c r="I131">
        <f>('Data Saham'!I131-'Data Saham'!I130)/'Data Saham'!I130</f>
        <v>-1.5463917525773196E-2</v>
      </c>
      <c r="J131">
        <f>('Data Saham'!J131-'Data Saham'!J130)/'Data Saham'!J130</f>
        <v>1.2861736334405145E-2</v>
      </c>
      <c r="K131">
        <f>('Data Saham'!K131-'Data Saham'!K130)/'Data Saham'!K130</f>
        <v>-1.7045454545454544E-2</v>
      </c>
      <c r="L131">
        <f>('Data Saham'!L131-'Data Saham'!L130)/'Data Saham'!L130</f>
        <v>-6.5288356909684441E-3</v>
      </c>
      <c r="M131">
        <f>('Data Saham'!M131-'Data Saham'!M130)/'Data Saham'!M130</f>
        <v>-5.4495912806539509E-2</v>
      </c>
      <c r="N131">
        <f>('Data Saham'!N131-'Data Saham'!N130)/'Data Saham'!N130</f>
        <v>-6.9387755102040816E-2</v>
      </c>
      <c r="O131">
        <f>('Data Saham'!O131-'Data Saham'!O130)/'Data Saham'!O130</f>
        <v>-2.8985507246376812E-3</v>
      </c>
      <c r="P131">
        <f>('Data Saham'!P131-'Data Saham'!P130)/'Data Saham'!P130</f>
        <v>-2.4390243902439025E-2</v>
      </c>
      <c r="Q131">
        <f>('Data Saham'!Q131-'Data Saham'!Q130)/'Data Saham'!Q130</f>
        <v>1.1111111111111112E-2</v>
      </c>
      <c r="R131">
        <f>('Data Saham'!R131-'Data Saham'!R130)/'Data Saham'!R130</f>
        <v>-2.100840336134454E-2</v>
      </c>
      <c r="S131">
        <f>('Data Saham'!S131-'Data Saham'!S130)/'Data Saham'!S130</f>
        <v>-2.2964509394572025E-2</v>
      </c>
      <c r="T131">
        <f>('Data Saham'!T131-'Data Saham'!T130)/'Data Saham'!T130</f>
        <v>-2.2959183673469389E-2</v>
      </c>
      <c r="U131">
        <f>('Data Saham'!U131-'Data Saham'!U130)/'Data Saham'!U130</f>
        <v>-6.8728522336769758E-3</v>
      </c>
      <c r="V131">
        <f>('Data Saham'!V131-'Data Saham'!V130)/'Data Saham'!V130</f>
        <v>-2.0220588235294119E-2</v>
      </c>
      <c r="W131">
        <f>('Data Saham'!W131-'Data Saham'!W130)/'Data Saham'!W130</f>
        <v>0.11869436201780416</v>
      </c>
      <c r="X131">
        <f>('Data Saham'!X131-'Data Saham'!X130)/'Data Saham'!X130</f>
        <v>0</v>
      </c>
      <c r="Y131">
        <f>('Data Saham'!Y131-'Data Saham'!Y130)/'Data Saham'!Y130</f>
        <v>-1.038961038961039E-2</v>
      </c>
      <c r="Z131">
        <f>('Data Saham'!Z131-'Data Saham'!Z130)/'Data Saham'!Z130</f>
        <v>-9.3457943925233638E-3</v>
      </c>
      <c r="AA131">
        <f>('Data Saham'!AA131-'Data Saham'!AA130)/'Data Saham'!AA130</f>
        <v>-3.0042918454935622E-2</v>
      </c>
      <c r="AB131">
        <f>('Data Saham'!AB131-'Data Saham'!AB130)/'Data Saham'!AB130</f>
        <v>-1.8518518518518517E-2</v>
      </c>
      <c r="AC131">
        <f>('Data Saham'!AC131-'Data Saham'!AC130)/'Data Saham'!AC130</f>
        <v>0</v>
      </c>
      <c r="AD131">
        <f>('Data Saham'!AD131-'Data Saham'!AD130)/'Data Saham'!AD130</f>
        <v>-2.6785714285714284E-2</v>
      </c>
      <c r="AE131">
        <f>('Data Saham'!AE131-'Data Saham'!AE130)/'Data Saham'!AE130</f>
        <v>-5.1282051282051282E-3</v>
      </c>
      <c r="AF131">
        <f>('Data Saham'!AF131-'Data Saham'!AF130)/'Data Saham'!AF130</f>
        <v>-1.5789473684210527E-2</v>
      </c>
    </row>
    <row r="132" spans="1:32" x14ac:dyDescent="0.3">
      <c r="A132" s="3" t="s">
        <v>80</v>
      </c>
      <c r="B132">
        <f>('Data Saham'!B132-'Data Saham'!B131)/'Data Saham'!B131</f>
        <v>-1.0569047665925105E-2</v>
      </c>
      <c r="C132">
        <f>('Data Saham'!C132-'Data Saham'!C131)/'Data Saham'!C131</f>
        <v>-9.6463022508038593E-3</v>
      </c>
      <c r="D132">
        <f>('Data Saham'!D132-'Data Saham'!D131)/'Data Saham'!D131</f>
        <v>-2.3980815347721823E-2</v>
      </c>
      <c r="E132">
        <f>('Data Saham'!E132-'Data Saham'!E131)/'Data Saham'!E131</f>
        <v>-6.8337129840546698E-3</v>
      </c>
      <c r="F132">
        <f>('Data Saham'!F132-'Data Saham'!F131)/'Data Saham'!F131</f>
        <v>0</v>
      </c>
      <c r="G132">
        <f>('Data Saham'!G132-'Data Saham'!G131)/'Data Saham'!G131</f>
        <v>-1.2658227848101266E-2</v>
      </c>
      <c r="H132">
        <f>('Data Saham'!H132-'Data Saham'!H131)/'Data Saham'!H131</f>
        <v>-2.1186440677966101E-2</v>
      </c>
      <c r="I132">
        <f>('Data Saham'!I132-'Data Saham'!I131)/'Data Saham'!I131</f>
        <v>2.6178010471204188E-2</v>
      </c>
      <c r="J132">
        <f>('Data Saham'!J132-'Data Saham'!J131)/'Data Saham'!J131</f>
        <v>-1.5873015873015872E-2</v>
      </c>
      <c r="K132">
        <f>('Data Saham'!K132-'Data Saham'!K131)/'Data Saham'!K131</f>
        <v>-2.8901734104046241E-3</v>
      </c>
      <c r="L132">
        <f>('Data Saham'!L132-'Data Saham'!L131)/'Data Saham'!L131</f>
        <v>-6.5717415115005475E-3</v>
      </c>
      <c r="M132">
        <f>('Data Saham'!M132-'Data Saham'!M131)/'Data Saham'!M131</f>
        <v>-8.645533141210375E-2</v>
      </c>
      <c r="N132">
        <f>('Data Saham'!N132-'Data Saham'!N131)/'Data Saham'!N131</f>
        <v>-9.2105263157894732E-2</v>
      </c>
      <c r="O132">
        <f>('Data Saham'!O132-'Data Saham'!O131)/'Data Saham'!O131</f>
        <v>-2.9069767441860465E-3</v>
      </c>
      <c r="P132">
        <f>('Data Saham'!P132-'Data Saham'!P131)/'Data Saham'!P131</f>
        <v>-2.5000000000000001E-2</v>
      </c>
      <c r="Q132">
        <f>('Data Saham'!Q132-'Data Saham'!Q131)/'Data Saham'!Q131</f>
        <v>-1.098901098901099E-2</v>
      </c>
      <c r="R132">
        <f>('Data Saham'!R132-'Data Saham'!R131)/'Data Saham'!R131</f>
        <v>-1.7167381974248927E-2</v>
      </c>
      <c r="S132">
        <f>('Data Saham'!S132-'Data Saham'!S131)/'Data Saham'!S131</f>
        <v>2.9914529914529916E-2</v>
      </c>
      <c r="T132">
        <f>('Data Saham'!T132-'Data Saham'!T131)/'Data Saham'!T131</f>
        <v>4.960835509138381E-2</v>
      </c>
      <c r="U132">
        <f>('Data Saham'!U132-'Data Saham'!U131)/'Data Saham'!U131</f>
        <v>-1.0380622837370242E-2</v>
      </c>
      <c r="V132">
        <f>('Data Saham'!V132-'Data Saham'!V131)/'Data Saham'!V131</f>
        <v>9.3808630393996248E-4</v>
      </c>
      <c r="W132">
        <f>('Data Saham'!W132-'Data Saham'!W131)/'Data Saham'!W131</f>
        <v>-6.8965517241379309E-2</v>
      </c>
      <c r="X132">
        <f>('Data Saham'!X132-'Data Saham'!X131)/'Data Saham'!X131</f>
        <v>8.2644628099173556E-3</v>
      </c>
      <c r="Y132">
        <f>('Data Saham'!Y132-'Data Saham'!Y131)/'Data Saham'!Y131</f>
        <v>-2.3622047244094488E-2</v>
      </c>
      <c r="Z132">
        <f>('Data Saham'!Z132-'Data Saham'!Z131)/'Data Saham'!Z131</f>
        <v>-4.7169811320754715E-3</v>
      </c>
      <c r="AA132">
        <f>('Data Saham'!AA132-'Data Saham'!AA131)/'Data Saham'!AA131</f>
        <v>4.4247787610619468E-3</v>
      </c>
      <c r="AB132">
        <f>('Data Saham'!AB132-'Data Saham'!AB131)/'Data Saham'!AB131</f>
        <v>3.7735849056603772E-2</v>
      </c>
      <c r="AC132">
        <f>('Data Saham'!AC132-'Data Saham'!AC131)/'Data Saham'!AC131</f>
        <v>1.7142857142857144E-2</v>
      </c>
      <c r="AD132">
        <f>('Data Saham'!AD132-'Data Saham'!AD131)/'Data Saham'!AD131</f>
        <v>0</v>
      </c>
      <c r="AE132">
        <f>('Data Saham'!AE132-'Data Saham'!AE131)/'Data Saham'!AE131</f>
        <v>0</v>
      </c>
      <c r="AF132">
        <f>('Data Saham'!AF132-'Data Saham'!AF131)/'Data Saham'!AF131</f>
        <v>1.06951871657754E-2</v>
      </c>
    </row>
    <row r="133" spans="1:32" x14ac:dyDescent="0.3">
      <c r="A133" s="4" t="s">
        <v>81</v>
      </c>
      <c r="B133">
        <f>('Data Saham'!B133-'Data Saham'!B132)/'Data Saham'!B132</f>
        <v>7.2954119495017029E-3</v>
      </c>
      <c r="C133">
        <f>('Data Saham'!C133-'Data Saham'!C132)/'Data Saham'!C132</f>
        <v>-9.74025974025974E-3</v>
      </c>
      <c r="D133">
        <f>('Data Saham'!D133-'Data Saham'!D132)/'Data Saham'!D132</f>
        <v>-7.3710073710073713E-3</v>
      </c>
      <c r="E133">
        <f>('Data Saham'!E133-'Data Saham'!E132)/'Data Saham'!E132</f>
        <v>1.3761467889908258E-2</v>
      </c>
      <c r="F133">
        <f>('Data Saham'!F133-'Data Saham'!F132)/'Data Saham'!F132</f>
        <v>-2.3866348448687352E-3</v>
      </c>
      <c r="G133">
        <f>('Data Saham'!G133-'Data Saham'!G132)/'Data Saham'!G132</f>
        <v>-3.205128205128205E-3</v>
      </c>
      <c r="H133">
        <f>('Data Saham'!H133-'Data Saham'!H132)/'Data Saham'!H132</f>
        <v>1.7316017316017316E-2</v>
      </c>
      <c r="I133">
        <f>('Data Saham'!I133-'Data Saham'!I132)/'Data Saham'!I132</f>
        <v>2.0408163265306121E-2</v>
      </c>
      <c r="J133">
        <f>('Data Saham'!J133-'Data Saham'!J132)/'Data Saham'!J132</f>
        <v>-1.2903225806451613E-2</v>
      </c>
      <c r="K133">
        <f>('Data Saham'!K133-'Data Saham'!K132)/'Data Saham'!K132</f>
        <v>-1.4492753623188406E-2</v>
      </c>
      <c r="L133">
        <f>('Data Saham'!L133-'Data Saham'!L132)/'Data Saham'!L132</f>
        <v>3.3076074972436605E-3</v>
      </c>
      <c r="M133">
        <f>('Data Saham'!M133-'Data Saham'!M132)/'Data Saham'!M132</f>
        <v>1.2618296529968454E-2</v>
      </c>
      <c r="N133">
        <f>('Data Saham'!N133-'Data Saham'!N132)/'Data Saham'!N132</f>
        <v>7.2463768115942032E-2</v>
      </c>
      <c r="O133">
        <f>('Data Saham'!O133-'Data Saham'!O132)/'Data Saham'!O132</f>
        <v>-2.9154518950437317E-3</v>
      </c>
      <c r="P133">
        <f>('Data Saham'!P133-'Data Saham'!P132)/'Data Saham'!P132</f>
        <v>8.5470085470085479E-3</v>
      </c>
      <c r="Q133">
        <f>('Data Saham'!Q133-'Data Saham'!Q132)/'Data Saham'!Q132</f>
        <v>7.4074074074074077E-3</v>
      </c>
      <c r="R133">
        <f>('Data Saham'!R133-'Data Saham'!R132)/'Data Saham'!R132</f>
        <v>1.7467248908296942E-2</v>
      </c>
      <c r="S133">
        <f>('Data Saham'!S133-'Data Saham'!S132)/'Data Saham'!S132</f>
        <v>4.1493775933609959E-3</v>
      </c>
      <c r="T133">
        <f>('Data Saham'!T133-'Data Saham'!T132)/'Data Saham'!T132</f>
        <v>1.9900497512437811E-2</v>
      </c>
      <c r="U133">
        <f>('Data Saham'!U133-'Data Saham'!U132)/'Data Saham'!U132</f>
        <v>-6.993006993006993E-3</v>
      </c>
      <c r="V133">
        <f>('Data Saham'!V133-'Data Saham'!V132)/'Data Saham'!V132</f>
        <v>-1.2183692596063731E-2</v>
      </c>
      <c r="W133">
        <f>('Data Saham'!W133-'Data Saham'!W132)/'Data Saham'!W132</f>
        <v>5.128205128205128E-2</v>
      </c>
      <c r="X133">
        <f>('Data Saham'!X133-'Data Saham'!X132)/'Data Saham'!X132</f>
        <v>1.2295081967213115E-2</v>
      </c>
      <c r="Y133">
        <f>('Data Saham'!Y133-'Data Saham'!Y132)/'Data Saham'!Y132</f>
        <v>8.0645161290322578E-3</v>
      </c>
      <c r="Z133">
        <f>('Data Saham'!Z133-'Data Saham'!Z132)/'Data Saham'!Z132</f>
        <v>1.8957345971563982E-2</v>
      </c>
      <c r="AA133">
        <f>('Data Saham'!AA133-'Data Saham'!AA132)/'Data Saham'!AA132</f>
        <v>0</v>
      </c>
      <c r="AB133">
        <f>('Data Saham'!AB133-'Data Saham'!AB132)/'Data Saham'!AB132</f>
        <v>3.6363636363636362E-2</v>
      </c>
      <c r="AC133">
        <f>('Data Saham'!AC133-'Data Saham'!AC132)/'Data Saham'!AC132</f>
        <v>-5.0561797752808987E-2</v>
      </c>
      <c r="AD133">
        <f>('Data Saham'!AD133-'Data Saham'!AD132)/'Data Saham'!AD132</f>
        <v>-4.5871559633027525E-3</v>
      </c>
      <c r="AE133">
        <f>('Data Saham'!AE133-'Data Saham'!AE132)/'Data Saham'!AE132</f>
        <v>-2.0618556701030927E-2</v>
      </c>
      <c r="AF133">
        <f>('Data Saham'!AF133-'Data Saham'!AF132)/'Data Saham'!AF132</f>
        <v>-1.0582010582010581E-2</v>
      </c>
    </row>
    <row r="134" spans="1:32" x14ac:dyDescent="0.3">
      <c r="A134" s="3" t="s">
        <v>82</v>
      </c>
      <c r="B134">
        <f>('Data Saham'!B134-'Data Saham'!B133)/'Data Saham'!B133</f>
        <v>2.953330707601749E-3</v>
      </c>
      <c r="C134">
        <f>('Data Saham'!C134-'Data Saham'!C133)/'Data Saham'!C133</f>
        <v>1.9672131147540985E-2</v>
      </c>
      <c r="D134">
        <f>('Data Saham'!D134-'Data Saham'!D133)/'Data Saham'!D133</f>
        <v>-1.4851485148514851E-2</v>
      </c>
      <c r="E134">
        <f>('Data Saham'!E134-'Data Saham'!E133)/'Data Saham'!E133</f>
        <v>-4.5248868778280547E-3</v>
      </c>
      <c r="F134">
        <f>('Data Saham'!F134-'Data Saham'!F133)/'Data Saham'!F133</f>
        <v>-2.3923444976076554E-3</v>
      </c>
      <c r="G134">
        <f>('Data Saham'!G134-'Data Saham'!G133)/'Data Saham'!G133</f>
        <v>-9.6463022508038593E-3</v>
      </c>
      <c r="H134">
        <f>('Data Saham'!H134-'Data Saham'!H133)/'Data Saham'!H133</f>
        <v>-1.7021276595744681E-2</v>
      </c>
      <c r="I134">
        <f>('Data Saham'!I134-'Data Saham'!I133)/'Data Saham'!I133</f>
        <v>-3.5000000000000003E-2</v>
      </c>
      <c r="J134">
        <f>('Data Saham'!J134-'Data Saham'!J133)/'Data Saham'!J133</f>
        <v>-9.8039215686274508E-3</v>
      </c>
      <c r="K134">
        <f>('Data Saham'!K134-'Data Saham'!K133)/'Data Saham'!K133</f>
        <v>1.4705882352941176E-2</v>
      </c>
      <c r="L134">
        <f>('Data Saham'!L134-'Data Saham'!L133)/'Data Saham'!L133</f>
        <v>3.2967032967032967E-3</v>
      </c>
      <c r="M134">
        <f>('Data Saham'!M134-'Data Saham'!M133)/'Data Saham'!M133</f>
        <v>2.8037383177570093E-2</v>
      </c>
      <c r="N134">
        <f>('Data Saham'!N134-'Data Saham'!N133)/'Data Saham'!N133</f>
        <v>-9.0090090090090089E-3</v>
      </c>
      <c r="O134">
        <f>('Data Saham'!O134-'Data Saham'!O133)/'Data Saham'!O133</f>
        <v>-8.771929824561403E-3</v>
      </c>
      <c r="P134">
        <f>('Data Saham'!P134-'Data Saham'!P133)/'Data Saham'!P133</f>
        <v>0</v>
      </c>
      <c r="Q134">
        <f>('Data Saham'!Q134-'Data Saham'!Q133)/'Data Saham'!Q133</f>
        <v>-3.6764705882352941E-3</v>
      </c>
      <c r="R134">
        <f>('Data Saham'!R134-'Data Saham'!R133)/'Data Saham'!R133</f>
        <v>-3.8626609442060089E-2</v>
      </c>
      <c r="S134">
        <f>('Data Saham'!S134-'Data Saham'!S133)/'Data Saham'!S133</f>
        <v>-8.2644628099173556E-3</v>
      </c>
      <c r="T134">
        <f>('Data Saham'!T134-'Data Saham'!T133)/'Data Saham'!T133</f>
        <v>-4.6341463414634146E-2</v>
      </c>
      <c r="U134">
        <f>('Data Saham'!U134-'Data Saham'!U133)/'Data Saham'!U133</f>
        <v>1.4084507042253521E-2</v>
      </c>
      <c r="V134">
        <f>('Data Saham'!V134-'Data Saham'!V133)/'Data Saham'!V133</f>
        <v>2.1821631878557873E-2</v>
      </c>
      <c r="W134">
        <f>('Data Saham'!W134-'Data Saham'!W133)/'Data Saham'!W133</f>
        <v>1.8970189701897018E-2</v>
      </c>
      <c r="X134">
        <f>('Data Saham'!X134-'Data Saham'!X133)/'Data Saham'!X133</f>
        <v>-1.6194331983805668E-2</v>
      </c>
      <c r="Y134">
        <f>('Data Saham'!Y134-'Data Saham'!Y133)/'Data Saham'!Y133</f>
        <v>2.6666666666666666E-3</v>
      </c>
      <c r="Z134">
        <f>('Data Saham'!Z134-'Data Saham'!Z133)/'Data Saham'!Z133</f>
        <v>9.3023255813953487E-3</v>
      </c>
      <c r="AA134">
        <f>('Data Saham'!AA134-'Data Saham'!AA133)/'Data Saham'!AA133</f>
        <v>4.4052863436123352E-3</v>
      </c>
      <c r="AB134">
        <f>('Data Saham'!AB134-'Data Saham'!AB133)/'Data Saham'!AB133</f>
        <v>-1.7543859649122806E-2</v>
      </c>
      <c r="AC134">
        <f>('Data Saham'!AC134-'Data Saham'!AC133)/'Data Saham'!AC133</f>
        <v>1.1834319526627219E-2</v>
      </c>
      <c r="AD134">
        <f>('Data Saham'!AD134-'Data Saham'!AD133)/'Data Saham'!AD133</f>
        <v>-4.608294930875576E-3</v>
      </c>
      <c r="AE134">
        <f>('Data Saham'!AE134-'Data Saham'!AE133)/'Data Saham'!AE133</f>
        <v>0</v>
      </c>
      <c r="AF134">
        <f>('Data Saham'!AF134-'Data Saham'!AF133)/'Data Saham'!AF133</f>
        <v>-5.3475935828877002E-3</v>
      </c>
    </row>
    <row r="135" spans="1:32" x14ac:dyDescent="0.3">
      <c r="A135" s="4" t="s">
        <v>83</v>
      </c>
      <c r="B135">
        <f>('Data Saham'!B135-'Data Saham'!B134)/'Data Saham'!B134</f>
        <v>-7.6558027882928136E-3</v>
      </c>
      <c r="C135">
        <f>('Data Saham'!C135-'Data Saham'!C134)/'Data Saham'!C134</f>
        <v>-1.9292604501607719E-2</v>
      </c>
      <c r="D135">
        <f>('Data Saham'!D135-'Data Saham'!D134)/'Data Saham'!D134</f>
        <v>-2.0100502512562814E-2</v>
      </c>
      <c r="E135">
        <f>('Data Saham'!E135-'Data Saham'!E134)/'Data Saham'!E134</f>
        <v>0</v>
      </c>
      <c r="F135">
        <f>('Data Saham'!F135-'Data Saham'!F134)/'Data Saham'!F134</f>
        <v>-1.6786570743405275E-2</v>
      </c>
      <c r="G135">
        <f>('Data Saham'!G135-'Data Saham'!G134)/'Data Saham'!G134</f>
        <v>-6.4935064935064939E-3</v>
      </c>
      <c r="H135">
        <f>('Data Saham'!H135-'Data Saham'!H134)/'Data Saham'!H134</f>
        <v>0</v>
      </c>
      <c r="I135">
        <f>('Data Saham'!I135-'Data Saham'!I134)/'Data Saham'!I134</f>
        <v>-1.8134715025906734E-2</v>
      </c>
      <c r="J135">
        <f>('Data Saham'!J135-'Data Saham'!J134)/'Data Saham'!J134</f>
        <v>-4.6204620462046202E-2</v>
      </c>
      <c r="K135">
        <f>('Data Saham'!K135-'Data Saham'!K134)/'Data Saham'!K134</f>
        <v>-2.0289855072463767E-2</v>
      </c>
      <c r="L135">
        <f>('Data Saham'!L135-'Data Saham'!L134)/'Data Saham'!L134</f>
        <v>2.1905805038335158E-3</v>
      </c>
      <c r="M135">
        <f>('Data Saham'!M135-'Data Saham'!M134)/'Data Saham'!M134</f>
        <v>-4.2424242424242427E-2</v>
      </c>
      <c r="N135">
        <f>('Data Saham'!N135-'Data Saham'!N134)/'Data Saham'!N134</f>
        <v>-4.0909090909090909E-2</v>
      </c>
      <c r="O135">
        <f>('Data Saham'!O135-'Data Saham'!O134)/'Data Saham'!O134</f>
        <v>-2.9498525073746312E-3</v>
      </c>
      <c r="P135">
        <f>('Data Saham'!P135-'Data Saham'!P134)/'Data Saham'!P134</f>
        <v>-8.4745762711864406E-3</v>
      </c>
      <c r="Q135">
        <f>('Data Saham'!Q135-'Data Saham'!Q134)/'Data Saham'!Q134</f>
        <v>-1.8450184501845018E-2</v>
      </c>
      <c r="R135">
        <f>('Data Saham'!R135-'Data Saham'!R134)/'Data Saham'!R134</f>
        <v>8.9285714285714281E-3</v>
      </c>
      <c r="S135">
        <f>('Data Saham'!S135-'Data Saham'!S134)/'Data Saham'!S134</f>
        <v>-2.9166666666666667E-2</v>
      </c>
      <c r="T135">
        <f>('Data Saham'!T135-'Data Saham'!T134)/'Data Saham'!T134</f>
        <v>2.5575447570332483E-3</v>
      </c>
      <c r="U135">
        <f>('Data Saham'!U135-'Data Saham'!U134)/'Data Saham'!U134</f>
        <v>-1.3888888888888888E-2</v>
      </c>
      <c r="V135">
        <f>('Data Saham'!V135-'Data Saham'!V134)/'Data Saham'!V134</f>
        <v>-5.5710306406685237E-3</v>
      </c>
      <c r="W135">
        <f>('Data Saham'!W135-'Data Saham'!W134)/'Data Saham'!W134</f>
        <v>-2.6595744680851063E-3</v>
      </c>
      <c r="X135">
        <f>('Data Saham'!X135-'Data Saham'!X134)/'Data Saham'!X134</f>
        <v>-4.11522633744856E-3</v>
      </c>
      <c r="Y135">
        <f>('Data Saham'!Y135-'Data Saham'!Y134)/'Data Saham'!Y134</f>
        <v>2.6595744680851064E-2</v>
      </c>
      <c r="Z135">
        <f>('Data Saham'!Z135-'Data Saham'!Z134)/'Data Saham'!Z134</f>
        <v>-9.2165898617511521E-3</v>
      </c>
      <c r="AA135">
        <f>('Data Saham'!AA135-'Data Saham'!AA134)/'Data Saham'!AA134</f>
        <v>-1.3157894736842105E-2</v>
      </c>
      <c r="AB135">
        <f>('Data Saham'!AB135-'Data Saham'!AB134)/'Data Saham'!AB134</f>
        <v>-3.5714285714285712E-2</v>
      </c>
      <c r="AC135">
        <f>('Data Saham'!AC135-'Data Saham'!AC134)/'Data Saham'!AC134</f>
        <v>-5.8479532163742687E-3</v>
      </c>
      <c r="AD135">
        <f>('Data Saham'!AD135-'Data Saham'!AD134)/'Data Saham'!AD134</f>
        <v>-1.3888888888888888E-2</v>
      </c>
      <c r="AE135">
        <f>('Data Saham'!AE135-'Data Saham'!AE134)/'Data Saham'!AE134</f>
        <v>-1.0526315789473684E-2</v>
      </c>
      <c r="AF135">
        <f>('Data Saham'!AF135-'Data Saham'!AF134)/'Data Saham'!AF134</f>
        <v>0</v>
      </c>
    </row>
    <row r="136" spans="1:32" x14ac:dyDescent="0.3">
      <c r="A136" s="1">
        <v>45667</v>
      </c>
      <c r="B136">
        <f>('Data Saham'!B136-'Data Saham'!B135)/'Data Saham'!B135</f>
        <v>-2.1386765512228776E-3</v>
      </c>
      <c r="C136">
        <f>('Data Saham'!C136-'Data Saham'!C135)/'Data Saham'!C135</f>
        <v>-1.6393442622950821E-2</v>
      </c>
      <c r="D136">
        <f>('Data Saham'!D136-'Data Saham'!D135)/'Data Saham'!D135</f>
        <v>-2.3076923076923078E-2</v>
      </c>
      <c r="E136">
        <f>('Data Saham'!E136-'Data Saham'!E135)/'Data Saham'!E135</f>
        <v>-4.5454545454545452E-3</v>
      </c>
      <c r="F136">
        <f>('Data Saham'!F136-'Data Saham'!F135)/'Data Saham'!F135</f>
        <v>-1.2195121951219513E-2</v>
      </c>
      <c r="G136">
        <f>('Data Saham'!G136-'Data Saham'!G135)/'Data Saham'!G135</f>
        <v>0</v>
      </c>
      <c r="H136">
        <f>('Data Saham'!H136-'Data Saham'!H135)/'Data Saham'!H135</f>
        <v>-1.7316017316017316E-2</v>
      </c>
      <c r="I136">
        <f>('Data Saham'!I136-'Data Saham'!I135)/'Data Saham'!I135</f>
        <v>-1.5831134564643801E-2</v>
      </c>
      <c r="J136">
        <f>('Data Saham'!J136-'Data Saham'!J135)/'Data Saham'!J135</f>
        <v>-1.7301038062283738E-2</v>
      </c>
      <c r="K136">
        <f>('Data Saham'!K136-'Data Saham'!K135)/'Data Saham'!K135</f>
        <v>-1.1834319526627219E-2</v>
      </c>
      <c r="L136">
        <f>('Data Saham'!L136-'Data Saham'!L135)/'Data Saham'!L135</f>
        <v>-1.5300546448087432E-2</v>
      </c>
      <c r="M136">
        <f>('Data Saham'!M136-'Data Saham'!M135)/'Data Saham'!M135</f>
        <v>1.5822784810126583E-2</v>
      </c>
      <c r="N136">
        <f>('Data Saham'!N136-'Data Saham'!N135)/'Data Saham'!N135</f>
        <v>-2.3696682464454975E-2</v>
      </c>
      <c r="O136">
        <f>('Data Saham'!O136-'Data Saham'!O135)/'Data Saham'!O135</f>
        <v>-1.1834319526627219E-2</v>
      </c>
      <c r="P136">
        <f>('Data Saham'!P136-'Data Saham'!P135)/'Data Saham'!P135</f>
        <v>-1.7094017094017096E-2</v>
      </c>
      <c r="Q136">
        <f>('Data Saham'!Q136-'Data Saham'!Q135)/'Data Saham'!Q135</f>
        <v>-1.8796992481203006E-2</v>
      </c>
      <c r="R136">
        <f>('Data Saham'!R136-'Data Saham'!R135)/'Data Saham'!R135</f>
        <v>-2.6548672566371681E-2</v>
      </c>
      <c r="S136">
        <f>('Data Saham'!S136-'Data Saham'!S135)/'Data Saham'!S135</f>
        <v>4.2918454935622317E-3</v>
      </c>
      <c r="T136">
        <f>('Data Saham'!T136-'Data Saham'!T135)/'Data Saham'!T135</f>
        <v>4.5918367346938778E-2</v>
      </c>
      <c r="U136">
        <f>('Data Saham'!U136-'Data Saham'!U135)/'Data Saham'!U135</f>
        <v>-7.0422535211267607E-3</v>
      </c>
      <c r="V136">
        <f>('Data Saham'!V136-'Data Saham'!V135)/'Data Saham'!V135</f>
        <v>-2.7077497665732961E-2</v>
      </c>
      <c r="W136">
        <f>('Data Saham'!W136-'Data Saham'!W135)/'Data Saham'!W135</f>
        <v>1.0666666666666666E-2</v>
      </c>
      <c r="X136">
        <f>('Data Saham'!X136-'Data Saham'!X135)/'Data Saham'!X135</f>
        <v>-6.1983471074380167E-2</v>
      </c>
      <c r="Y136">
        <f>('Data Saham'!Y136-'Data Saham'!Y135)/'Data Saham'!Y135</f>
        <v>-4.145077720207254E-2</v>
      </c>
      <c r="Z136">
        <f>('Data Saham'!Z136-'Data Saham'!Z135)/'Data Saham'!Z135</f>
        <v>-1.8604651162790697E-2</v>
      </c>
      <c r="AA136">
        <f>('Data Saham'!AA136-'Data Saham'!AA135)/'Data Saham'!AA135</f>
        <v>1.3333333333333334E-2</v>
      </c>
      <c r="AB136">
        <f>('Data Saham'!AB136-'Data Saham'!AB135)/'Data Saham'!AB135</f>
        <v>1.8518518518518517E-2</v>
      </c>
      <c r="AC136">
        <f>('Data Saham'!AC136-'Data Saham'!AC135)/'Data Saham'!AC135</f>
        <v>5.8823529411764705E-2</v>
      </c>
      <c r="AD136">
        <f>('Data Saham'!AD136-'Data Saham'!AD135)/'Data Saham'!AD135</f>
        <v>-9.3896713615023476E-3</v>
      </c>
      <c r="AE136">
        <f>('Data Saham'!AE136-'Data Saham'!AE135)/'Data Saham'!AE135</f>
        <v>-2.6595744680851064E-2</v>
      </c>
      <c r="AF136">
        <f>('Data Saham'!AF136-'Data Saham'!AF135)/'Data Saham'!AF135</f>
        <v>-2.6881720430107527E-2</v>
      </c>
    </row>
    <row r="137" spans="1:32" x14ac:dyDescent="0.3">
      <c r="A137" s="2">
        <v>45698</v>
      </c>
      <c r="B137">
        <f>('Data Saham'!B137-'Data Saham'!B136)/'Data Saham'!B136</f>
        <v>3.3889370970509309E-3</v>
      </c>
      <c r="C137">
        <f>('Data Saham'!C137-'Data Saham'!C136)/'Data Saham'!C136</f>
        <v>0</v>
      </c>
      <c r="D137">
        <f>('Data Saham'!D137-'Data Saham'!D136)/'Data Saham'!D136</f>
        <v>-2.6246719160104987E-2</v>
      </c>
      <c r="E137">
        <f>('Data Saham'!E137-'Data Saham'!E136)/'Data Saham'!E136</f>
        <v>-4.5662100456621002E-3</v>
      </c>
      <c r="F137">
        <f>('Data Saham'!F137-'Data Saham'!F136)/'Data Saham'!F136</f>
        <v>-2.4691358024691358E-3</v>
      </c>
      <c r="G137">
        <f>('Data Saham'!G137-'Data Saham'!G136)/'Data Saham'!G136</f>
        <v>2.2875816993464051E-2</v>
      </c>
      <c r="H137">
        <f>('Data Saham'!H137-'Data Saham'!H136)/'Data Saham'!H136</f>
        <v>4.4052863436123352E-3</v>
      </c>
      <c r="I137">
        <f>('Data Saham'!I137-'Data Saham'!I136)/'Data Saham'!I136</f>
        <v>1.876675603217158E-2</v>
      </c>
      <c r="J137">
        <f>('Data Saham'!J137-'Data Saham'!J136)/'Data Saham'!J136</f>
        <v>-1.0563380281690141E-2</v>
      </c>
      <c r="K137">
        <f>('Data Saham'!K137-'Data Saham'!K136)/'Data Saham'!K136</f>
        <v>0</v>
      </c>
      <c r="L137">
        <f>('Data Saham'!L137-'Data Saham'!L136)/'Data Saham'!L136</f>
        <v>3.3296337402885681E-3</v>
      </c>
      <c r="M137">
        <f>('Data Saham'!M137-'Data Saham'!M136)/'Data Saham'!M136</f>
        <v>-3.1152647975077882E-2</v>
      </c>
      <c r="N137">
        <f>('Data Saham'!N137-'Data Saham'!N136)/'Data Saham'!N136</f>
        <v>2.9126213592233011E-2</v>
      </c>
      <c r="O137">
        <f>('Data Saham'!O137-'Data Saham'!O136)/'Data Saham'!O136</f>
        <v>-2.0958083832335328E-2</v>
      </c>
      <c r="P137">
        <f>('Data Saham'!P137-'Data Saham'!P136)/'Data Saham'!P136</f>
        <v>-1.7391304347826087E-2</v>
      </c>
      <c r="Q137">
        <f>('Data Saham'!Q137-'Data Saham'!Q136)/'Data Saham'!Q136</f>
        <v>-3.8314176245210725E-2</v>
      </c>
      <c r="R137">
        <f>('Data Saham'!R137-'Data Saham'!R136)/'Data Saham'!R136</f>
        <v>0</v>
      </c>
      <c r="S137">
        <f>('Data Saham'!S137-'Data Saham'!S136)/'Data Saham'!S136</f>
        <v>0</v>
      </c>
      <c r="T137">
        <f>('Data Saham'!T137-'Data Saham'!T136)/'Data Saham'!T136</f>
        <v>2.4390243902439025E-2</v>
      </c>
      <c r="U137">
        <f>('Data Saham'!U137-'Data Saham'!U136)/'Data Saham'!U136</f>
        <v>-3.1914893617021274E-2</v>
      </c>
      <c r="V137">
        <f>('Data Saham'!V137-'Data Saham'!V136)/'Data Saham'!V136</f>
        <v>3.838771593090211E-3</v>
      </c>
      <c r="W137">
        <f>('Data Saham'!W137-'Data Saham'!W136)/'Data Saham'!W136</f>
        <v>1.5831134564643801E-2</v>
      </c>
      <c r="X137">
        <f>('Data Saham'!X137-'Data Saham'!X136)/'Data Saham'!X136</f>
        <v>-1.7621145374449341E-2</v>
      </c>
      <c r="Y137">
        <f>('Data Saham'!Y137-'Data Saham'!Y136)/'Data Saham'!Y136</f>
        <v>4.8648648648648651E-2</v>
      </c>
      <c r="Z137">
        <f>('Data Saham'!Z137-'Data Saham'!Z136)/'Data Saham'!Z136</f>
        <v>0</v>
      </c>
      <c r="AA137">
        <f>('Data Saham'!AA137-'Data Saham'!AA136)/'Data Saham'!AA136</f>
        <v>1.7543859649122806E-2</v>
      </c>
      <c r="AB137">
        <f>('Data Saham'!AB137-'Data Saham'!AB136)/'Data Saham'!AB136</f>
        <v>-1.8181818181818181E-2</v>
      </c>
      <c r="AC137">
        <f>('Data Saham'!AC137-'Data Saham'!AC136)/'Data Saham'!AC136</f>
        <v>-3.3333333333333333E-2</v>
      </c>
      <c r="AD137">
        <f>('Data Saham'!AD137-'Data Saham'!AD136)/'Data Saham'!AD136</f>
        <v>0</v>
      </c>
      <c r="AE137">
        <f>('Data Saham'!AE137-'Data Saham'!AE136)/'Data Saham'!AE136</f>
        <v>1.6393442622950821E-2</v>
      </c>
      <c r="AF137">
        <f>('Data Saham'!AF137-'Data Saham'!AF136)/'Data Saham'!AF136</f>
        <v>-1.6574585635359115E-2</v>
      </c>
    </row>
    <row r="138" spans="1:32" x14ac:dyDescent="0.3">
      <c r="A138" s="1">
        <v>45726</v>
      </c>
      <c r="B138">
        <f>('Data Saham'!B138-'Data Saham'!B137)/'Data Saham'!B137</f>
        <v>5.8505181462704193E-3</v>
      </c>
      <c r="C138">
        <f>('Data Saham'!C138-'Data Saham'!C137)/'Data Saham'!C137</f>
        <v>3.3333333333333335E-3</v>
      </c>
      <c r="D138">
        <f>('Data Saham'!D138-'Data Saham'!D137)/'Data Saham'!D137</f>
        <v>-5.3908355795148251E-3</v>
      </c>
      <c r="E138">
        <f>('Data Saham'!E138-'Data Saham'!E137)/'Data Saham'!E137</f>
        <v>-1.1467889908256881E-2</v>
      </c>
      <c r="F138">
        <f>('Data Saham'!F138-'Data Saham'!F137)/'Data Saham'!F137</f>
        <v>0</v>
      </c>
      <c r="G138">
        <f>('Data Saham'!G138-'Data Saham'!G137)/'Data Saham'!G137</f>
        <v>-1.9169329073482427E-2</v>
      </c>
      <c r="H138">
        <f>('Data Saham'!H138-'Data Saham'!H137)/'Data Saham'!H137</f>
        <v>2.1929824561403508E-2</v>
      </c>
      <c r="I138">
        <f>('Data Saham'!I138-'Data Saham'!I137)/'Data Saham'!I137</f>
        <v>5.263157894736842E-3</v>
      </c>
      <c r="J138">
        <f>('Data Saham'!J138-'Data Saham'!J137)/'Data Saham'!J137</f>
        <v>1.7793594306049824E-2</v>
      </c>
      <c r="K138">
        <f>('Data Saham'!K138-'Data Saham'!K137)/'Data Saham'!K137</f>
        <v>-5.9880239520958087E-3</v>
      </c>
      <c r="L138">
        <f>('Data Saham'!L138-'Data Saham'!L137)/'Data Saham'!L137</f>
        <v>4.4247787610619468E-3</v>
      </c>
      <c r="M138">
        <f>('Data Saham'!M138-'Data Saham'!M137)/'Data Saham'!M137</f>
        <v>2.8938906752411574E-2</v>
      </c>
      <c r="N138">
        <f>('Data Saham'!N138-'Data Saham'!N137)/'Data Saham'!N137</f>
        <v>0</v>
      </c>
      <c r="O138">
        <f>('Data Saham'!O138-'Data Saham'!O137)/'Data Saham'!O137</f>
        <v>-1.834862385321101E-2</v>
      </c>
      <c r="P138">
        <f>('Data Saham'!P138-'Data Saham'!P137)/'Data Saham'!P137</f>
        <v>-7.0796460176991149E-2</v>
      </c>
      <c r="Q138">
        <f>('Data Saham'!Q138-'Data Saham'!Q137)/'Data Saham'!Q137</f>
        <v>4.7808764940239043E-2</v>
      </c>
      <c r="R138">
        <f>('Data Saham'!R138-'Data Saham'!R137)/'Data Saham'!R137</f>
        <v>-1.8181818181818181E-2</v>
      </c>
      <c r="S138">
        <f>('Data Saham'!S138-'Data Saham'!S137)/'Data Saham'!S137</f>
        <v>3.4188034188034191E-2</v>
      </c>
      <c r="T138">
        <f>('Data Saham'!T138-'Data Saham'!T137)/'Data Saham'!T137</f>
        <v>0</v>
      </c>
      <c r="U138">
        <f>('Data Saham'!U138-'Data Saham'!U137)/'Data Saham'!U137</f>
        <v>-7.326007326007326E-3</v>
      </c>
      <c r="V138">
        <f>('Data Saham'!V138-'Data Saham'!V137)/'Data Saham'!V137</f>
        <v>1.338432122370937E-2</v>
      </c>
      <c r="W138">
        <f>('Data Saham'!W138-'Data Saham'!W137)/'Data Saham'!W137</f>
        <v>0</v>
      </c>
      <c r="X138">
        <f>('Data Saham'!X138-'Data Saham'!X137)/'Data Saham'!X137</f>
        <v>1.7937219730941704E-2</v>
      </c>
      <c r="Y138">
        <f>('Data Saham'!Y138-'Data Saham'!Y137)/'Data Saham'!Y137</f>
        <v>7.7319587628865982E-3</v>
      </c>
      <c r="Z138">
        <f>('Data Saham'!Z138-'Data Saham'!Z137)/'Data Saham'!Z137</f>
        <v>1.8957345971563982E-2</v>
      </c>
      <c r="AA138">
        <f>('Data Saham'!AA138-'Data Saham'!AA137)/'Data Saham'!AA137</f>
        <v>-4.3103448275862068E-3</v>
      </c>
      <c r="AB138">
        <f>('Data Saham'!AB138-'Data Saham'!AB137)/'Data Saham'!AB137</f>
        <v>5.5555555555555552E-2</v>
      </c>
      <c r="AC138">
        <f>('Data Saham'!AC138-'Data Saham'!AC137)/'Data Saham'!AC137</f>
        <v>1.7241379310344827E-2</v>
      </c>
      <c r="AD138">
        <f>('Data Saham'!AD138-'Data Saham'!AD137)/'Data Saham'!AD137</f>
        <v>0</v>
      </c>
      <c r="AE138">
        <f>('Data Saham'!AE138-'Data Saham'!AE137)/'Data Saham'!AE137</f>
        <v>-1.0752688172043012E-2</v>
      </c>
      <c r="AF138">
        <f>('Data Saham'!AF138-'Data Saham'!AF137)/'Data Saham'!AF137</f>
        <v>-5.6179775280898875E-3</v>
      </c>
    </row>
    <row r="139" spans="1:32" x14ac:dyDescent="0.3">
      <c r="A139" s="2">
        <v>45818</v>
      </c>
      <c r="B139">
        <f>('Data Saham'!B139-'Data Saham'!B138)/'Data Saham'!B138</f>
        <v>2.6594237709865543E-3</v>
      </c>
      <c r="C139">
        <f>('Data Saham'!C139-'Data Saham'!C138)/'Data Saham'!C138</f>
        <v>-3.3222591362126247E-3</v>
      </c>
      <c r="D139">
        <f>('Data Saham'!D139-'Data Saham'!D138)/'Data Saham'!D138</f>
        <v>-8.130081300813009E-3</v>
      </c>
      <c r="E139">
        <f>('Data Saham'!E139-'Data Saham'!E138)/'Data Saham'!E138</f>
        <v>-1.1600928074245939E-2</v>
      </c>
      <c r="F139">
        <f>('Data Saham'!F139-'Data Saham'!F138)/'Data Saham'!F138</f>
        <v>-9.9009900990099011E-3</v>
      </c>
      <c r="G139">
        <f>('Data Saham'!G139-'Data Saham'!G138)/'Data Saham'!G138</f>
        <v>-1.9543973941368076E-2</v>
      </c>
      <c r="H139">
        <f>('Data Saham'!H139-'Data Saham'!H138)/'Data Saham'!H138</f>
        <v>0</v>
      </c>
      <c r="I139">
        <f>('Data Saham'!I139-'Data Saham'!I138)/'Data Saham'!I138</f>
        <v>-5.235602094240838E-3</v>
      </c>
      <c r="J139">
        <f>('Data Saham'!J139-'Data Saham'!J138)/'Data Saham'!J138</f>
        <v>-6.993006993006993E-3</v>
      </c>
      <c r="K139">
        <f>('Data Saham'!K139-'Data Saham'!K138)/'Data Saham'!K138</f>
        <v>-3.0120481927710845E-3</v>
      </c>
      <c r="L139">
        <f>('Data Saham'!L139-'Data Saham'!L138)/'Data Saham'!L138</f>
        <v>-8.8105726872246704E-3</v>
      </c>
      <c r="M139">
        <f>('Data Saham'!M139-'Data Saham'!M138)/'Data Saham'!M138</f>
        <v>-3.1250000000000002E-3</v>
      </c>
      <c r="N139">
        <f>('Data Saham'!N139-'Data Saham'!N138)/'Data Saham'!N138</f>
        <v>4.7169811320754715E-3</v>
      </c>
      <c r="O139">
        <f>('Data Saham'!O139-'Data Saham'!O138)/'Data Saham'!O138</f>
        <v>1.8691588785046728E-2</v>
      </c>
      <c r="P139">
        <f>('Data Saham'!P139-'Data Saham'!P138)/'Data Saham'!P138</f>
        <v>-1.9047619047619049E-2</v>
      </c>
      <c r="Q139">
        <f>('Data Saham'!Q139-'Data Saham'!Q138)/'Data Saham'!Q138</f>
        <v>0</v>
      </c>
      <c r="R139">
        <f>('Data Saham'!R139-'Data Saham'!R138)/'Data Saham'!R138</f>
        <v>-9.2592592592592587E-3</v>
      </c>
      <c r="S139">
        <f>('Data Saham'!S139-'Data Saham'!S138)/'Data Saham'!S138</f>
        <v>-1.6528925619834711E-2</v>
      </c>
      <c r="T139">
        <f>('Data Saham'!T139-'Data Saham'!T138)/'Data Saham'!T138</f>
        <v>-9.5238095238095247E-3</v>
      </c>
      <c r="U139">
        <f>('Data Saham'!U139-'Data Saham'!U138)/'Data Saham'!U138</f>
        <v>0</v>
      </c>
      <c r="V139">
        <f>('Data Saham'!V139-'Data Saham'!V138)/'Data Saham'!V138</f>
        <v>-3.7735849056603774E-3</v>
      </c>
      <c r="W139">
        <f>('Data Saham'!W139-'Data Saham'!W138)/'Data Saham'!W138</f>
        <v>3.896103896103896E-2</v>
      </c>
      <c r="X139">
        <f>('Data Saham'!X139-'Data Saham'!X138)/'Data Saham'!X138</f>
        <v>-1.7621145374449341E-2</v>
      </c>
      <c r="Y139">
        <f>('Data Saham'!Y139-'Data Saham'!Y138)/'Data Saham'!Y138</f>
        <v>2.5575447570332483E-3</v>
      </c>
      <c r="Z139">
        <f>('Data Saham'!Z139-'Data Saham'!Z138)/'Data Saham'!Z138</f>
        <v>-4.6511627906976744E-3</v>
      </c>
      <c r="AA139">
        <f>('Data Saham'!AA139-'Data Saham'!AA138)/'Data Saham'!AA138</f>
        <v>1.7316017316017316E-2</v>
      </c>
      <c r="AB139">
        <f>('Data Saham'!AB139-'Data Saham'!AB138)/'Data Saham'!AB138</f>
        <v>0</v>
      </c>
      <c r="AC139">
        <f>('Data Saham'!AC139-'Data Saham'!AC138)/'Data Saham'!AC138</f>
        <v>0.10169491525423729</v>
      </c>
      <c r="AD139">
        <f>('Data Saham'!AD139-'Data Saham'!AD138)/'Data Saham'!AD138</f>
        <v>-2.843601895734597E-2</v>
      </c>
      <c r="AE139">
        <f>('Data Saham'!AE139-'Data Saham'!AE138)/'Data Saham'!AE138</f>
        <v>-2.1739130434782608E-2</v>
      </c>
      <c r="AF139">
        <f>('Data Saham'!AF139-'Data Saham'!AF138)/'Data Saham'!AF138</f>
        <v>2.2598870056497175E-2</v>
      </c>
    </row>
    <row r="140" spans="1:32" x14ac:dyDescent="0.3">
      <c r="A140" s="1">
        <v>45848</v>
      </c>
      <c r="B140">
        <f>('Data Saham'!B140-'Data Saham'!B139)/'Data Saham'!B139</f>
        <v>3.6106139026448043E-3</v>
      </c>
      <c r="C140">
        <f>('Data Saham'!C140-'Data Saham'!C139)/'Data Saham'!C139</f>
        <v>0.01</v>
      </c>
      <c r="D140">
        <f>('Data Saham'!D140-'Data Saham'!D139)/'Data Saham'!D139</f>
        <v>1.3661202185792349E-2</v>
      </c>
      <c r="E140">
        <f>('Data Saham'!E140-'Data Saham'!E139)/'Data Saham'!E139</f>
        <v>7.0422535211267607E-3</v>
      </c>
      <c r="F140">
        <f>('Data Saham'!F140-'Data Saham'!F139)/'Data Saham'!F139</f>
        <v>-2.5000000000000001E-3</v>
      </c>
      <c r="G140">
        <f>('Data Saham'!G140-'Data Saham'!G139)/'Data Saham'!G139</f>
        <v>0</v>
      </c>
      <c r="H140">
        <f>('Data Saham'!H140-'Data Saham'!H139)/'Data Saham'!H139</f>
        <v>-1.2875536480686695E-2</v>
      </c>
      <c r="I140">
        <f>('Data Saham'!I140-'Data Saham'!I139)/'Data Saham'!I139</f>
        <v>-3.1578947368421054E-2</v>
      </c>
      <c r="J140">
        <f>('Data Saham'!J140-'Data Saham'!J139)/'Data Saham'!J139</f>
        <v>1.7605633802816902E-2</v>
      </c>
      <c r="K140">
        <f>('Data Saham'!K140-'Data Saham'!K139)/'Data Saham'!K139</f>
        <v>-3.0211480362537764E-3</v>
      </c>
      <c r="L140">
        <f>('Data Saham'!L140-'Data Saham'!L139)/'Data Saham'!L139</f>
        <v>-3.3333333333333335E-3</v>
      </c>
      <c r="M140">
        <f>('Data Saham'!M140-'Data Saham'!M139)/'Data Saham'!M139</f>
        <v>-1.5673981191222569E-2</v>
      </c>
      <c r="N140">
        <f>('Data Saham'!N140-'Data Saham'!N139)/'Data Saham'!N139</f>
        <v>5.1643192488262914E-2</v>
      </c>
      <c r="O140">
        <f>('Data Saham'!O140-'Data Saham'!O139)/'Data Saham'!O139</f>
        <v>-6.1162079510703364E-3</v>
      </c>
      <c r="P140">
        <f>('Data Saham'!P140-'Data Saham'!P139)/'Data Saham'!P139</f>
        <v>0</v>
      </c>
      <c r="Q140">
        <f>('Data Saham'!Q140-'Data Saham'!Q139)/'Data Saham'!Q139</f>
        <v>-3.8022813688212928E-3</v>
      </c>
      <c r="R140">
        <f>('Data Saham'!R140-'Data Saham'!R139)/'Data Saham'!R139</f>
        <v>-9.3457943925233638E-3</v>
      </c>
      <c r="S140">
        <f>('Data Saham'!S140-'Data Saham'!S139)/'Data Saham'!S139</f>
        <v>-2.1008403361344537E-3</v>
      </c>
      <c r="T140">
        <f>('Data Saham'!T140-'Data Saham'!T139)/'Data Saham'!T139</f>
        <v>1.4423076923076924E-2</v>
      </c>
      <c r="U140">
        <f>('Data Saham'!U140-'Data Saham'!U139)/'Data Saham'!U139</f>
        <v>-3.6900369003690037E-2</v>
      </c>
      <c r="V140">
        <f>('Data Saham'!V140-'Data Saham'!V139)/'Data Saham'!V139</f>
        <v>-3.0303030303030304E-2</v>
      </c>
      <c r="W140">
        <f>('Data Saham'!W140-'Data Saham'!W139)/'Data Saham'!W139</f>
        <v>3.5000000000000003E-2</v>
      </c>
      <c r="X140">
        <f>('Data Saham'!X140-'Data Saham'!X139)/'Data Saham'!X139</f>
        <v>1.3452914798206279E-2</v>
      </c>
      <c r="Y140">
        <f>('Data Saham'!Y140-'Data Saham'!Y139)/'Data Saham'!Y139</f>
        <v>-3.0612244897959183E-2</v>
      </c>
      <c r="Z140">
        <f>('Data Saham'!Z140-'Data Saham'!Z139)/'Data Saham'!Z139</f>
        <v>-9.3457943925233638E-3</v>
      </c>
      <c r="AA140">
        <f>('Data Saham'!AA140-'Data Saham'!AA139)/'Data Saham'!AA139</f>
        <v>0</v>
      </c>
      <c r="AB140">
        <f>('Data Saham'!AB140-'Data Saham'!AB139)/'Data Saham'!AB139</f>
        <v>-1.7543859649122806E-2</v>
      </c>
      <c r="AC140">
        <f>('Data Saham'!AC140-'Data Saham'!AC139)/'Data Saham'!AC139</f>
        <v>-7.6923076923076927E-2</v>
      </c>
      <c r="AD140">
        <f>('Data Saham'!AD140-'Data Saham'!AD139)/'Data Saham'!AD139</f>
        <v>-4.8780487804878049E-3</v>
      </c>
      <c r="AE140">
        <f>('Data Saham'!AE140-'Data Saham'!AE139)/'Data Saham'!AE139</f>
        <v>1.1111111111111112E-2</v>
      </c>
      <c r="AF140">
        <f>('Data Saham'!AF140-'Data Saham'!AF139)/'Data Saham'!AF139</f>
        <v>0</v>
      </c>
    </row>
    <row r="141" spans="1:32" x14ac:dyDescent="0.3">
      <c r="A141" s="2">
        <v>45879</v>
      </c>
      <c r="B141">
        <f>('Data Saham'!B141-'Data Saham'!B140)/'Data Saham'!B140</f>
        <v>-3.9783187747267814E-4</v>
      </c>
      <c r="C141">
        <f>('Data Saham'!C141-'Data Saham'!C140)/'Data Saham'!C140</f>
        <v>-2.6402640264026403E-2</v>
      </c>
      <c r="D141">
        <f>('Data Saham'!D141-'Data Saham'!D140)/'Data Saham'!D140</f>
        <v>2.6954177897574125E-3</v>
      </c>
      <c r="E141">
        <f>('Data Saham'!E141-'Data Saham'!E140)/'Data Saham'!E140</f>
        <v>-9.324009324009324E-3</v>
      </c>
      <c r="F141">
        <f>('Data Saham'!F141-'Data Saham'!F140)/'Data Saham'!F140</f>
        <v>-1.2531328320802004E-2</v>
      </c>
      <c r="G141">
        <f>('Data Saham'!G141-'Data Saham'!G140)/'Data Saham'!G140</f>
        <v>-6.6445182724252493E-3</v>
      </c>
      <c r="H141">
        <f>('Data Saham'!H141-'Data Saham'!H140)/'Data Saham'!H140</f>
        <v>-4.3478260869565218E-3</v>
      </c>
      <c r="I141">
        <f>('Data Saham'!I141-'Data Saham'!I140)/'Data Saham'!I140</f>
        <v>0</v>
      </c>
      <c r="J141">
        <f>('Data Saham'!J141-'Data Saham'!J140)/'Data Saham'!J140</f>
        <v>3.4602076124567475E-3</v>
      </c>
      <c r="K141">
        <f>('Data Saham'!K141-'Data Saham'!K140)/'Data Saham'!K140</f>
        <v>0.12121212121212122</v>
      </c>
      <c r="L141">
        <f>('Data Saham'!L141-'Data Saham'!L140)/'Data Saham'!L140</f>
        <v>-1.2263099219620958E-2</v>
      </c>
      <c r="M141">
        <f>('Data Saham'!M141-'Data Saham'!M140)/'Data Saham'!M140</f>
        <v>6.0509554140127389E-2</v>
      </c>
      <c r="N141">
        <f>('Data Saham'!N141-'Data Saham'!N140)/'Data Saham'!N140</f>
        <v>1.7857142857142856E-2</v>
      </c>
      <c r="O141">
        <f>('Data Saham'!O141-'Data Saham'!O140)/'Data Saham'!O140</f>
        <v>3.0769230769230771E-2</v>
      </c>
      <c r="P141">
        <f>('Data Saham'!P141-'Data Saham'!P140)/'Data Saham'!P140</f>
        <v>-9.7087378640776691E-3</v>
      </c>
      <c r="Q141">
        <f>('Data Saham'!Q141-'Data Saham'!Q140)/'Data Saham'!Q140</f>
        <v>1.1450381679389313E-2</v>
      </c>
      <c r="R141">
        <f>('Data Saham'!R141-'Data Saham'!R140)/'Data Saham'!R140</f>
        <v>0</v>
      </c>
      <c r="S141">
        <f>('Data Saham'!S141-'Data Saham'!S140)/'Data Saham'!S140</f>
        <v>-4.2105263157894736E-3</v>
      </c>
      <c r="T141">
        <f>('Data Saham'!T141-'Data Saham'!T140)/'Data Saham'!T140</f>
        <v>9.4786729857819912E-3</v>
      </c>
      <c r="U141">
        <f>('Data Saham'!U141-'Data Saham'!U140)/'Data Saham'!U140</f>
        <v>-1.532567049808429E-2</v>
      </c>
      <c r="V141">
        <f>('Data Saham'!V141-'Data Saham'!V140)/'Data Saham'!V140</f>
        <v>-1.66015625E-2</v>
      </c>
      <c r="W141">
        <f>('Data Saham'!W141-'Data Saham'!W140)/'Data Saham'!W140</f>
        <v>-7.246376811594203E-3</v>
      </c>
      <c r="X141">
        <f>('Data Saham'!X141-'Data Saham'!X140)/'Data Saham'!X140</f>
        <v>-4.4247787610619468E-3</v>
      </c>
      <c r="Y141">
        <f>('Data Saham'!Y141-'Data Saham'!Y140)/'Data Saham'!Y140</f>
        <v>1.5789473684210527E-2</v>
      </c>
      <c r="Z141">
        <f>('Data Saham'!Z141-'Data Saham'!Z140)/'Data Saham'!Z140</f>
        <v>-4.7169811320754715E-3</v>
      </c>
      <c r="AA141">
        <f>('Data Saham'!AA141-'Data Saham'!AA140)/'Data Saham'!AA140</f>
        <v>-8.5106382978723406E-3</v>
      </c>
      <c r="AB141">
        <f>('Data Saham'!AB141-'Data Saham'!AB140)/'Data Saham'!AB140</f>
        <v>0</v>
      </c>
      <c r="AC141">
        <f>('Data Saham'!AC141-'Data Saham'!AC140)/'Data Saham'!AC140</f>
        <v>-4.4444444444444446E-2</v>
      </c>
      <c r="AD141">
        <f>('Data Saham'!AD141-'Data Saham'!AD140)/'Data Saham'!AD140</f>
        <v>-9.8039215686274508E-3</v>
      </c>
      <c r="AE141">
        <f>('Data Saham'!AE141-'Data Saham'!AE140)/'Data Saham'!AE140</f>
        <v>5.4945054945054949E-3</v>
      </c>
      <c r="AF141">
        <f>('Data Saham'!AF141-'Data Saham'!AF140)/'Data Saham'!AF140</f>
        <v>5.5248618784530384E-3</v>
      </c>
    </row>
    <row r="142" spans="1:32" x14ac:dyDescent="0.3">
      <c r="A142" s="1">
        <v>45910</v>
      </c>
      <c r="B142">
        <f>('Data Saham'!B142-'Data Saham'!B141)/'Data Saham'!B141</f>
        <v>1.0397953473107589E-2</v>
      </c>
      <c r="C142">
        <f>('Data Saham'!C142-'Data Saham'!C141)/'Data Saham'!C141</f>
        <v>2.3728813559322035E-2</v>
      </c>
      <c r="D142">
        <f>('Data Saham'!D142-'Data Saham'!D141)/'Data Saham'!D141</f>
        <v>3.7634408602150539E-2</v>
      </c>
      <c r="E142">
        <f>('Data Saham'!E142-'Data Saham'!E141)/'Data Saham'!E141</f>
        <v>3.2941176470588238E-2</v>
      </c>
      <c r="F142">
        <f>('Data Saham'!F142-'Data Saham'!F141)/'Data Saham'!F141</f>
        <v>4.060913705583756E-2</v>
      </c>
      <c r="G142">
        <f>('Data Saham'!G142-'Data Saham'!G141)/'Data Saham'!G141</f>
        <v>6.688963210702341E-3</v>
      </c>
      <c r="H142">
        <f>('Data Saham'!H142-'Data Saham'!H141)/'Data Saham'!H141</f>
        <v>3.4934497816593885E-2</v>
      </c>
      <c r="I142">
        <f>('Data Saham'!I142-'Data Saham'!I141)/'Data Saham'!I141</f>
        <v>-1.0869565217391304E-2</v>
      </c>
      <c r="J142">
        <f>('Data Saham'!J142-'Data Saham'!J141)/'Data Saham'!J141</f>
        <v>-1.3793103448275862E-2</v>
      </c>
      <c r="K142">
        <f>('Data Saham'!K142-'Data Saham'!K141)/'Data Saham'!K141</f>
        <v>-6.4864864864864868E-2</v>
      </c>
      <c r="L142">
        <f>('Data Saham'!L142-'Data Saham'!L141)/'Data Saham'!L141</f>
        <v>1.3544018058690745E-2</v>
      </c>
      <c r="M142">
        <f>('Data Saham'!M142-'Data Saham'!M141)/'Data Saham'!M141</f>
        <v>-3.3033033033033031E-2</v>
      </c>
      <c r="N142">
        <f>('Data Saham'!N142-'Data Saham'!N141)/'Data Saham'!N141</f>
        <v>8.771929824561403E-3</v>
      </c>
      <c r="O142">
        <f>('Data Saham'!O142-'Data Saham'!O141)/'Data Saham'!O141</f>
        <v>1.7910447761194031E-2</v>
      </c>
      <c r="P142">
        <f>('Data Saham'!P142-'Data Saham'!P141)/'Data Saham'!P141</f>
        <v>3.9215686274509803E-2</v>
      </c>
      <c r="Q142">
        <f>('Data Saham'!Q142-'Data Saham'!Q141)/'Data Saham'!Q141</f>
        <v>-2.6415094339622643E-2</v>
      </c>
      <c r="R142">
        <f>('Data Saham'!R142-'Data Saham'!R141)/'Data Saham'!R141</f>
        <v>2.358490566037736E-2</v>
      </c>
      <c r="S142">
        <f>('Data Saham'!S142-'Data Saham'!S141)/'Data Saham'!S141</f>
        <v>2.748414376321353E-2</v>
      </c>
      <c r="T142">
        <f>('Data Saham'!T142-'Data Saham'!T141)/'Data Saham'!T141</f>
        <v>1.4084507042253521E-2</v>
      </c>
      <c r="U142">
        <f>('Data Saham'!U142-'Data Saham'!U141)/'Data Saham'!U141</f>
        <v>3.8910505836575876E-3</v>
      </c>
      <c r="V142">
        <f>('Data Saham'!V142-'Data Saham'!V141)/'Data Saham'!V141</f>
        <v>2.6812313803376366E-2</v>
      </c>
      <c r="W142">
        <f>('Data Saham'!W142-'Data Saham'!W141)/'Data Saham'!W141</f>
        <v>2.4330900243309003E-3</v>
      </c>
      <c r="X142">
        <f>('Data Saham'!X142-'Data Saham'!X141)/'Data Saham'!X141</f>
        <v>4.4444444444444444E-3</v>
      </c>
      <c r="Y142">
        <f>('Data Saham'!Y142-'Data Saham'!Y141)/'Data Saham'!Y141</f>
        <v>-5.1813471502590676E-3</v>
      </c>
      <c r="Z142">
        <f>('Data Saham'!Z142-'Data Saham'!Z141)/'Data Saham'!Z141</f>
        <v>1.4218009478672985E-2</v>
      </c>
      <c r="AA142">
        <f>('Data Saham'!AA142-'Data Saham'!AA141)/'Data Saham'!AA141</f>
        <v>1.2875536480686695E-2</v>
      </c>
      <c r="AB142">
        <f>('Data Saham'!AB142-'Data Saham'!AB141)/'Data Saham'!AB141</f>
        <v>-1.7857142857142856E-2</v>
      </c>
      <c r="AC142">
        <f>('Data Saham'!AC142-'Data Saham'!AC141)/'Data Saham'!AC141</f>
        <v>-1.1627906976744186E-2</v>
      </c>
      <c r="AD142">
        <f>('Data Saham'!AD142-'Data Saham'!AD141)/'Data Saham'!AD141</f>
        <v>9.9009900990099011E-3</v>
      </c>
      <c r="AE142">
        <f>('Data Saham'!AE142-'Data Saham'!AE141)/'Data Saham'!AE141</f>
        <v>1.092896174863388E-2</v>
      </c>
      <c r="AF142">
        <f>('Data Saham'!AF142-'Data Saham'!AF141)/'Data Saham'!AF141</f>
        <v>1.098901098901099E-2</v>
      </c>
    </row>
    <row r="143" spans="1:32" x14ac:dyDescent="0.3">
      <c r="A143" s="2">
        <v>45940</v>
      </c>
      <c r="B143">
        <f>('Data Saham'!B143-'Data Saham'!B142)/'Data Saham'!B142</f>
        <v>8.3869231869339398E-4</v>
      </c>
      <c r="C143">
        <f>('Data Saham'!C143-'Data Saham'!C142)/'Data Saham'!C142</f>
        <v>-1.9867549668874173E-2</v>
      </c>
      <c r="D143">
        <f>('Data Saham'!D143-'Data Saham'!D142)/'Data Saham'!D142</f>
        <v>-3.367875647668394E-2</v>
      </c>
      <c r="E143">
        <f>('Data Saham'!E143-'Data Saham'!E142)/'Data Saham'!E142</f>
        <v>-3.1890660592255128E-2</v>
      </c>
      <c r="F143">
        <f>('Data Saham'!F143-'Data Saham'!F142)/'Data Saham'!F142</f>
        <v>-3.1707317073170732E-2</v>
      </c>
      <c r="G143">
        <f>('Data Saham'!G143-'Data Saham'!G142)/'Data Saham'!G142</f>
        <v>9.9667774086378731E-3</v>
      </c>
      <c r="H143">
        <f>('Data Saham'!H143-'Data Saham'!H142)/'Data Saham'!H142</f>
        <v>-4.2194092827004216E-3</v>
      </c>
      <c r="I143">
        <f>('Data Saham'!I143-'Data Saham'!I142)/'Data Saham'!I142</f>
        <v>-2.7472527472527472E-2</v>
      </c>
      <c r="J143">
        <f>('Data Saham'!J143-'Data Saham'!J142)/'Data Saham'!J142</f>
        <v>6.993006993006993E-3</v>
      </c>
      <c r="K143">
        <f>('Data Saham'!K143-'Data Saham'!K142)/'Data Saham'!K142</f>
        <v>1.1560693641618497E-2</v>
      </c>
      <c r="L143">
        <f>('Data Saham'!L143-'Data Saham'!L142)/'Data Saham'!L142</f>
        <v>1.4476614699331848E-2</v>
      </c>
      <c r="M143">
        <f>('Data Saham'!M143-'Data Saham'!M142)/'Data Saham'!M142</f>
        <v>2.7950310559006212E-2</v>
      </c>
      <c r="N143">
        <f>('Data Saham'!N143-'Data Saham'!N142)/'Data Saham'!N142</f>
        <v>3.0434782608695653E-2</v>
      </c>
      <c r="O143">
        <f>('Data Saham'!O143-'Data Saham'!O142)/'Data Saham'!O142</f>
        <v>0</v>
      </c>
      <c r="P143">
        <f>('Data Saham'!P143-'Data Saham'!P142)/'Data Saham'!P142</f>
        <v>-9.433962264150943E-3</v>
      </c>
      <c r="Q143">
        <f>('Data Saham'!Q143-'Data Saham'!Q142)/'Data Saham'!Q142</f>
        <v>4.6511627906976744E-2</v>
      </c>
      <c r="R143">
        <f>('Data Saham'!R143-'Data Saham'!R142)/'Data Saham'!R142</f>
        <v>0</v>
      </c>
      <c r="S143">
        <f>('Data Saham'!S143-'Data Saham'!S142)/'Data Saham'!S142</f>
        <v>-2.6748971193415638E-2</v>
      </c>
      <c r="T143">
        <f>('Data Saham'!T143-'Data Saham'!T142)/'Data Saham'!T142</f>
        <v>-2.7777777777777776E-2</v>
      </c>
      <c r="U143">
        <f>('Data Saham'!U143-'Data Saham'!U142)/'Data Saham'!U142</f>
        <v>3.875968992248062E-3</v>
      </c>
      <c r="V143">
        <f>('Data Saham'!V143-'Data Saham'!V142)/'Data Saham'!V142</f>
        <v>-9.6711798839458421E-3</v>
      </c>
      <c r="W143">
        <f>('Data Saham'!W143-'Data Saham'!W142)/'Data Saham'!W142</f>
        <v>3.8834951456310676E-2</v>
      </c>
      <c r="X143">
        <f>('Data Saham'!X143-'Data Saham'!X142)/'Data Saham'!X142</f>
        <v>-2.2123893805309734E-2</v>
      </c>
      <c r="Y143">
        <f>('Data Saham'!Y143-'Data Saham'!Y142)/'Data Saham'!Y142</f>
        <v>1.0416666666666666E-2</v>
      </c>
      <c r="Z143">
        <f>('Data Saham'!Z143-'Data Saham'!Z142)/'Data Saham'!Z142</f>
        <v>-4.6728971962616819E-3</v>
      </c>
      <c r="AA143">
        <f>('Data Saham'!AA143-'Data Saham'!AA142)/'Data Saham'!AA142</f>
        <v>1.2711864406779662E-2</v>
      </c>
      <c r="AB143">
        <f>('Data Saham'!AB143-'Data Saham'!AB142)/'Data Saham'!AB142</f>
        <v>-1.8181818181818181E-2</v>
      </c>
      <c r="AC143">
        <f>('Data Saham'!AC143-'Data Saham'!AC142)/'Data Saham'!AC142</f>
        <v>-1.1764705882352941E-2</v>
      </c>
      <c r="AD143">
        <f>('Data Saham'!AD143-'Data Saham'!AD142)/'Data Saham'!AD142</f>
        <v>-1.4705882352941176E-2</v>
      </c>
      <c r="AE143">
        <f>('Data Saham'!AE143-'Data Saham'!AE142)/'Data Saham'!AE142</f>
        <v>-1.6216216216216217E-2</v>
      </c>
      <c r="AF143">
        <f>('Data Saham'!AF143-'Data Saham'!AF142)/'Data Saham'!AF142</f>
        <v>-2.717391304347826E-2</v>
      </c>
    </row>
    <row r="144" spans="1:32" x14ac:dyDescent="0.3">
      <c r="A144" s="3" t="s">
        <v>84</v>
      </c>
      <c r="B144">
        <f>('Data Saham'!B144-'Data Saham'!B143)/'Data Saham'!B143</f>
        <v>-3.7128263254644486E-3</v>
      </c>
      <c r="C144">
        <f>('Data Saham'!C144-'Data Saham'!C143)/'Data Saham'!C143</f>
        <v>-1.0135135135135136E-2</v>
      </c>
      <c r="D144">
        <f>('Data Saham'!D144-'Data Saham'!D143)/'Data Saham'!D143</f>
        <v>-1.876675603217158E-2</v>
      </c>
      <c r="E144">
        <f>('Data Saham'!E144-'Data Saham'!E143)/'Data Saham'!E143</f>
        <v>-4.7058823529411761E-3</v>
      </c>
      <c r="F144">
        <f>('Data Saham'!F144-'Data Saham'!F143)/'Data Saham'!F143</f>
        <v>-1.7632241813602016E-2</v>
      </c>
      <c r="G144">
        <f>('Data Saham'!G144-'Data Saham'!G143)/'Data Saham'!G143</f>
        <v>-6.5789473684210523E-3</v>
      </c>
      <c r="H144">
        <f>('Data Saham'!H144-'Data Saham'!H143)/'Data Saham'!H143</f>
        <v>-1.6949152542372881E-2</v>
      </c>
      <c r="I144">
        <f>('Data Saham'!I144-'Data Saham'!I143)/'Data Saham'!I143</f>
        <v>-5.6497175141242938E-3</v>
      </c>
      <c r="J144">
        <f>('Data Saham'!J144-'Data Saham'!J143)/'Data Saham'!J143</f>
        <v>0</v>
      </c>
      <c r="K144">
        <f>('Data Saham'!K144-'Data Saham'!K143)/'Data Saham'!K143</f>
        <v>-1.4285714285714285E-2</v>
      </c>
      <c r="L144">
        <f>('Data Saham'!L144-'Data Saham'!L143)/'Data Saham'!L143</f>
        <v>-7.6838638858397366E-3</v>
      </c>
      <c r="M144">
        <f>('Data Saham'!M144-'Data Saham'!M143)/'Data Saham'!M143</f>
        <v>1.812688821752266E-2</v>
      </c>
      <c r="N144">
        <f>('Data Saham'!N144-'Data Saham'!N143)/'Data Saham'!N143</f>
        <v>0</v>
      </c>
      <c r="O144">
        <f>('Data Saham'!O144-'Data Saham'!O143)/'Data Saham'!O143</f>
        <v>-2.0527859237536656E-2</v>
      </c>
      <c r="P144">
        <f>('Data Saham'!P144-'Data Saham'!P143)/'Data Saham'!P143</f>
        <v>0</v>
      </c>
      <c r="Q144">
        <f>('Data Saham'!Q144-'Data Saham'!Q143)/'Data Saham'!Q143</f>
        <v>-3.7037037037037035E-2</v>
      </c>
      <c r="R144">
        <f>('Data Saham'!R144-'Data Saham'!R143)/'Data Saham'!R143</f>
        <v>0</v>
      </c>
      <c r="S144">
        <f>('Data Saham'!S144-'Data Saham'!S143)/'Data Saham'!S143</f>
        <v>-6.3424947145877377E-3</v>
      </c>
      <c r="T144">
        <f>('Data Saham'!T144-'Data Saham'!T143)/'Data Saham'!T143</f>
        <v>2.8571428571428571E-2</v>
      </c>
      <c r="U144">
        <f>('Data Saham'!U144-'Data Saham'!U143)/'Data Saham'!U143</f>
        <v>-1.9305019305019305E-2</v>
      </c>
      <c r="V144">
        <f>('Data Saham'!V144-'Data Saham'!V143)/'Data Saham'!V143</f>
        <v>1.5625E-2</v>
      </c>
      <c r="W144">
        <f>('Data Saham'!W144-'Data Saham'!W143)/'Data Saham'!W143</f>
        <v>-1.6355140186915886E-2</v>
      </c>
      <c r="X144">
        <f>('Data Saham'!X144-'Data Saham'!X143)/'Data Saham'!X143</f>
        <v>-1.3574660633484163E-2</v>
      </c>
      <c r="Y144">
        <f>('Data Saham'!Y144-'Data Saham'!Y143)/'Data Saham'!Y143</f>
        <v>7.7319587628865982E-2</v>
      </c>
      <c r="Z144">
        <f>('Data Saham'!Z144-'Data Saham'!Z143)/'Data Saham'!Z143</f>
        <v>-9.3896713615023476E-3</v>
      </c>
      <c r="AA144">
        <f>('Data Saham'!AA144-'Data Saham'!AA143)/'Data Saham'!AA143</f>
        <v>-1.2552301255230125E-2</v>
      </c>
      <c r="AB144">
        <f>('Data Saham'!AB144-'Data Saham'!AB143)/'Data Saham'!AB143</f>
        <v>1.8518518518518517E-2</v>
      </c>
      <c r="AC144">
        <f>('Data Saham'!AC144-'Data Saham'!AC143)/'Data Saham'!AC143</f>
        <v>0</v>
      </c>
      <c r="AD144">
        <f>('Data Saham'!AD144-'Data Saham'!AD143)/'Data Saham'!AD143</f>
        <v>-1.4925373134328358E-2</v>
      </c>
      <c r="AE144">
        <f>('Data Saham'!AE144-'Data Saham'!AE143)/'Data Saham'!AE143</f>
        <v>5.4945054945054949E-3</v>
      </c>
      <c r="AF144">
        <f>('Data Saham'!AF144-'Data Saham'!AF143)/'Data Saham'!AF143</f>
        <v>1.11731843575419E-2</v>
      </c>
    </row>
    <row r="145" spans="1:32" x14ac:dyDescent="0.3">
      <c r="A145" s="4" t="s">
        <v>85</v>
      </c>
      <c r="B145">
        <f>('Data Saham'!B145-'Data Saham'!B144)/'Data Saham'!B144</f>
        <v>-1.9530338389731654E-2</v>
      </c>
      <c r="C145">
        <f>('Data Saham'!C145-'Data Saham'!C144)/'Data Saham'!C144</f>
        <v>-1.0238907849829351E-2</v>
      </c>
      <c r="D145">
        <f>('Data Saham'!D145-'Data Saham'!D144)/'Data Saham'!D144</f>
        <v>-3.0054644808743168E-2</v>
      </c>
      <c r="E145">
        <f>('Data Saham'!E145-'Data Saham'!E144)/'Data Saham'!E144</f>
        <v>-3.309692671394799E-2</v>
      </c>
      <c r="F145">
        <f>('Data Saham'!F145-'Data Saham'!F144)/'Data Saham'!F144</f>
        <v>-2.564102564102564E-2</v>
      </c>
      <c r="G145">
        <f>('Data Saham'!G145-'Data Saham'!G144)/'Data Saham'!G144</f>
        <v>-1.9867549668874173E-2</v>
      </c>
      <c r="H145">
        <f>('Data Saham'!H145-'Data Saham'!H144)/'Data Saham'!H144</f>
        <v>4.3103448275862068E-3</v>
      </c>
      <c r="I145">
        <f>('Data Saham'!I145-'Data Saham'!I144)/'Data Saham'!I144</f>
        <v>-3.6931818181818184E-2</v>
      </c>
      <c r="J145">
        <f>('Data Saham'!J145-'Data Saham'!J144)/'Data Saham'!J144</f>
        <v>-2.0833333333333332E-2</v>
      </c>
      <c r="K145">
        <f>('Data Saham'!K145-'Data Saham'!K144)/'Data Saham'!K144</f>
        <v>-1.1594202898550725E-2</v>
      </c>
      <c r="L145">
        <f>('Data Saham'!L145-'Data Saham'!L144)/'Data Saham'!L144</f>
        <v>-1.3274336283185841E-2</v>
      </c>
      <c r="M145">
        <f>('Data Saham'!M145-'Data Saham'!M144)/'Data Saham'!M144</f>
        <v>-5.9347181008902079E-3</v>
      </c>
      <c r="N145">
        <f>('Data Saham'!N145-'Data Saham'!N144)/'Data Saham'!N144</f>
        <v>-8.4388185654008432E-3</v>
      </c>
      <c r="O145">
        <f>('Data Saham'!O145-'Data Saham'!O144)/'Data Saham'!O144</f>
        <v>-5.9880239520958087E-3</v>
      </c>
      <c r="P145">
        <f>('Data Saham'!P145-'Data Saham'!P144)/'Data Saham'!P144</f>
        <v>2.8571428571428571E-2</v>
      </c>
      <c r="Q145">
        <f>('Data Saham'!Q145-'Data Saham'!Q144)/'Data Saham'!Q144</f>
        <v>-2.3076923076923078E-2</v>
      </c>
      <c r="R145">
        <f>('Data Saham'!R145-'Data Saham'!R144)/'Data Saham'!R144</f>
        <v>-2.7649769585253458E-2</v>
      </c>
      <c r="S145">
        <f>('Data Saham'!S145-'Data Saham'!S144)/'Data Saham'!S144</f>
        <v>-8.5106382978723406E-3</v>
      </c>
      <c r="T145">
        <f>('Data Saham'!T145-'Data Saham'!T144)/'Data Saham'!T144</f>
        <v>3.2407407407407406E-2</v>
      </c>
      <c r="U145">
        <f>('Data Saham'!U145-'Data Saham'!U144)/'Data Saham'!U144</f>
        <v>-2.7559055118110236E-2</v>
      </c>
      <c r="V145">
        <f>('Data Saham'!V145-'Data Saham'!V144)/'Data Saham'!V144</f>
        <v>-1.826923076923077E-2</v>
      </c>
      <c r="W145">
        <f>('Data Saham'!W145-'Data Saham'!W144)/'Data Saham'!W144</f>
        <v>-6.413301662707839E-2</v>
      </c>
      <c r="X145">
        <f>('Data Saham'!X145-'Data Saham'!X144)/'Data Saham'!X144</f>
        <v>-1.3761467889908258E-2</v>
      </c>
      <c r="Y145">
        <f>('Data Saham'!Y145-'Data Saham'!Y144)/'Data Saham'!Y144</f>
        <v>2.3923444976076555E-2</v>
      </c>
      <c r="Z145">
        <f>('Data Saham'!Z145-'Data Saham'!Z144)/'Data Saham'!Z144</f>
        <v>-9.4786729857819912E-3</v>
      </c>
      <c r="AA145">
        <f>('Data Saham'!AA145-'Data Saham'!AA144)/'Data Saham'!AA144</f>
        <v>-1.6949152542372881E-2</v>
      </c>
      <c r="AB145">
        <f>('Data Saham'!AB145-'Data Saham'!AB144)/'Data Saham'!AB144</f>
        <v>0</v>
      </c>
      <c r="AC145">
        <f>('Data Saham'!AC145-'Data Saham'!AC144)/'Data Saham'!AC144</f>
        <v>-3.5714285714285712E-2</v>
      </c>
      <c r="AD145">
        <f>('Data Saham'!AD145-'Data Saham'!AD144)/'Data Saham'!AD144</f>
        <v>-2.0202020202020204E-2</v>
      </c>
      <c r="AE145">
        <f>('Data Saham'!AE145-'Data Saham'!AE144)/'Data Saham'!AE144</f>
        <v>-1.6393442622950821E-2</v>
      </c>
      <c r="AF145">
        <f>('Data Saham'!AF145-'Data Saham'!AF144)/'Data Saham'!AF144</f>
        <v>0</v>
      </c>
    </row>
    <row r="146" spans="1:32" x14ac:dyDescent="0.3">
      <c r="A146" s="3" t="s">
        <v>86</v>
      </c>
      <c r="B146">
        <f>('Data Saham'!B146-'Data Saham'!B145)/'Data Saham'!B145</f>
        <v>-1.9029271606591644E-3</v>
      </c>
      <c r="C146">
        <f>('Data Saham'!C146-'Data Saham'!C145)/'Data Saham'!C145</f>
        <v>0</v>
      </c>
      <c r="D146">
        <f>('Data Saham'!D146-'Data Saham'!D145)/'Data Saham'!D145</f>
        <v>-1.4084507042253521E-2</v>
      </c>
      <c r="E146">
        <f>('Data Saham'!E146-'Data Saham'!E145)/'Data Saham'!E145</f>
        <v>-9.7799511002444987E-3</v>
      </c>
      <c r="F146">
        <f>('Data Saham'!F146-'Data Saham'!F145)/'Data Saham'!F145</f>
        <v>-7.8947368421052634E-3</v>
      </c>
      <c r="G146">
        <f>('Data Saham'!G146-'Data Saham'!G145)/'Data Saham'!G145</f>
        <v>4.0540540540540543E-2</v>
      </c>
      <c r="H146">
        <f>('Data Saham'!H146-'Data Saham'!H145)/'Data Saham'!H145</f>
        <v>-8.5836909871244635E-3</v>
      </c>
      <c r="I146">
        <f>('Data Saham'!I146-'Data Saham'!I145)/'Data Saham'!I145</f>
        <v>2.359882005899705E-2</v>
      </c>
      <c r="J146">
        <f>('Data Saham'!J146-'Data Saham'!J145)/'Data Saham'!J145</f>
        <v>-2.1276595744680851E-2</v>
      </c>
      <c r="K146">
        <f>('Data Saham'!K146-'Data Saham'!K145)/'Data Saham'!K145</f>
        <v>-1.466275659824047E-2</v>
      </c>
      <c r="L146">
        <f>('Data Saham'!L146-'Data Saham'!L145)/'Data Saham'!L145</f>
        <v>-1.3452914798206279E-2</v>
      </c>
      <c r="M146">
        <f>('Data Saham'!M146-'Data Saham'!M145)/'Data Saham'!M145</f>
        <v>1.4925373134328358E-2</v>
      </c>
      <c r="N146">
        <f>('Data Saham'!N146-'Data Saham'!N145)/'Data Saham'!N145</f>
        <v>0</v>
      </c>
      <c r="O146">
        <f>('Data Saham'!O146-'Data Saham'!O145)/'Data Saham'!O145</f>
        <v>-2.710843373493976E-2</v>
      </c>
      <c r="P146">
        <f>('Data Saham'!P146-'Data Saham'!P145)/'Data Saham'!P145</f>
        <v>2.7777777777777776E-2</v>
      </c>
      <c r="Q146">
        <f>('Data Saham'!Q146-'Data Saham'!Q145)/'Data Saham'!Q145</f>
        <v>-2.7559055118110236E-2</v>
      </c>
      <c r="R146">
        <f>('Data Saham'!R146-'Data Saham'!R145)/'Data Saham'!R145</f>
        <v>2.843601895734597E-2</v>
      </c>
      <c r="S146">
        <f>('Data Saham'!S146-'Data Saham'!S145)/'Data Saham'!S145</f>
        <v>-4.2918454935622317E-3</v>
      </c>
      <c r="T146">
        <f>('Data Saham'!T146-'Data Saham'!T145)/'Data Saham'!T145</f>
        <v>6.726457399103139E-2</v>
      </c>
      <c r="U146">
        <f>('Data Saham'!U146-'Data Saham'!U145)/'Data Saham'!U145</f>
        <v>3.643724696356275E-2</v>
      </c>
      <c r="V146">
        <f>('Data Saham'!V146-'Data Saham'!V145)/'Data Saham'!V145</f>
        <v>1.6650342801175319E-2</v>
      </c>
      <c r="W146">
        <f>('Data Saham'!W146-'Data Saham'!W145)/'Data Saham'!W145</f>
        <v>-1.2690355329949238E-2</v>
      </c>
      <c r="X146">
        <f>('Data Saham'!X146-'Data Saham'!X145)/'Data Saham'!X145</f>
        <v>-9.3023255813953487E-3</v>
      </c>
      <c r="Y146">
        <f>('Data Saham'!Y146-'Data Saham'!Y145)/'Data Saham'!Y145</f>
        <v>3.7383177570093455E-2</v>
      </c>
      <c r="Z146">
        <f>('Data Saham'!Z146-'Data Saham'!Z145)/'Data Saham'!Z145</f>
        <v>5.2631578947368418E-2</v>
      </c>
      <c r="AA146">
        <f>('Data Saham'!AA146-'Data Saham'!AA145)/'Data Saham'!AA145</f>
        <v>-8.6206896551724137E-3</v>
      </c>
      <c r="AB146">
        <f>('Data Saham'!AB146-'Data Saham'!AB145)/'Data Saham'!AB145</f>
        <v>-1.8181818181818181E-2</v>
      </c>
      <c r="AC146">
        <f>('Data Saham'!AC146-'Data Saham'!AC145)/'Data Saham'!AC145</f>
        <v>-6.1728395061728392E-3</v>
      </c>
      <c r="AD146">
        <f>('Data Saham'!AD146-'Data Saham'!AD145)/'Data Saham'!AD145</f>
        <v>-2.5773195876288658E-2</v>
      </c>
      <c r="AE146">
        <f>('Data Saham'!AE146-'Data Saham'!AE145)/'Data Saham'!AE145</f>
        <v>-2.7777777777777776E-2</v>
      </c>
      <c r="AF146">
        <f>('Data Saham'!AF146-'Data Saham'!AF145)/'Data Saham'!AF145</f>
        <v>0</v>
      </c>
    </row>
    <row r="147" spans="1:32" x14ac:dyDescent="0.3">
      <c r="A147" s="4" t="s">
        <v>87</v>
      </c>
      <c r="B147">
        <f>('Data Saham'!B147-'Data Saham'!B146)/'Data Saham'!B146</f>
        <v>9.1402864428400035E-3</v>
      </c>
      <c r="C147">
        <f>('Data Saham'!C147-'Data Saham'!C146)/'Data Saham'!C146</f>
        <v>6.8965517241379309E-3</v>
      </c>
      <c r="D147">
        <f>('Data Saham'!D147-'Data Saham'!D146)/'Data Saham'!D146</f>
        <v>8.5714285714285719E-3</v>
      </c>
      <c r="E147">
        <f>('Data Saham'!E147-'Data Saham'!E146)/'Data Saham'!E146</f>
        <v>9.876543209876543E-3</v>
      </c>
      <c r="F147">
        <f>('Data Saham'!F147-'Data Saham'!F146)/'Data Saham'!F146</f>
        <v>2.1220159151193633E-2</v>
      </c>
      <c r="G147">
        <f>('Data Saham'!G147-'Data Saham'!G146)/'Data Saham'!G146</f>
        <v>-4.2207792207792208E-2</v>
      </c>
      <c r="H147">
        <f>('Data Saham'!H147-'Data Saham'!H146)/'Data Saham'!H146</f>
        <v>-4.329004329004329E-3</v>
      </c>
      <c r="I147">
        <f>('Data Saham'!I147-'Data Saham'!I146)/'Data Saham'!I146</f>
        <v>6.6282420749279536E-2</v>
      </c>
      <c r="J147">
        <f>('Data Saham'!J147-'Data Saham'!J146)/'Data Saham'!J146</f>
        <v>2.5362318840579712E-2</v>
      </c>
      <c r="K147">
        <f>('Data Saham'!K147-'Data Saham'!K146)/'Data Saham'!K146</f>
        <v>-2.976190476190476E-3</v>
      </c>
      <c r="L147">
        <f>('Data Saham'!L147-'Data Saham'!L146)/'Data Saham'!L146</f>
        <v>1.7045454545454544E-2</v>
      </c>
      <c r="M147">
        <f>('Data Saham'!M147-'Data Saham'!M146)/'Data Saham'!M146</f>
        <v>8.8235294117647058E-3</v>
      </c>
      <c r="N147">
        <f>('Data Saham'!N147-'Data Saham'!N146)/'Data Saham'!N146</f>
        <v>2.1276595744680851E-2</v>
      </c>
      <c r="O147">
        <f>('Data Saham'!O147-'Data Saham'!O146)/'Data Saham'!O146</f>
        <v>6.1919504643962852E-3</v>
      </c>
      <c r="P147">
        <f>('Data Saham'!P147-'Data Saham'!P146)/'Data Saham'!P146</f>
        <v>0</v>
      </c>
      <c r="Q147">
        <f>('Data Saham'!Q147-'Data Saham'!Q146)/'Data Saham'!Q146</f>
        <v>1.6194331983805668E-2</v>
      </c>
      <c r="R147">
        <f>('Data Saham'!R147-'Data Saham'!R146)/'Data Saham'!R146</f>
        <v>9.6774193548387094E-2</v>
      </c>
      <c r="S147">
        <f>('Data Saham'!S147-'Data Saham'!S146)/'Data Saham'!S146</f>
        <v>4.7413793103448273E-2</v>
      </c>
      <c r="T147">
        <f>('Data Saham'!T147-'Data Saham'!T146)/'Data Saham'!T146</f>
        <v>-8.4033613445378148E-3</v>
      </c>
      <c r="U147">
        <f>('Data Saham'!U147-'Data Saham'!U146)/'Data Saham'!U146</f>
        <v>-5.46875E-2</v>
      </c>
      <c r="V147">
        <f>('Data Saham'!V147-'Data Saham'!V146)/'Data Saham'!V146</f>
        <v>9.6339113680154141E-4</v>
      </c>
      <c r="W147">
        <f>('Data Saham'!W147-'Data Saham'!W146)/'Data Saham'!W146</f>
        <v>1.0282776349614395E-2</v>
      </c>
      <c r="X147">
        <f>('Data Saham'!X147-'Data Saham'!X146)/'Data Saham'!X146</f>
        <v>1.8779342723004695E-2</v>
      </c>
      <c r="Y147">
        <f>('Data Saham'!Y147-'Data Saham'!Y146)/'Data Saham'!Y146</f>
        <v>0</v>
      </c>
      <c r="Z147">
        <f>('Data Saham'!Z147-'Data Saham'!Z146)/'Data Saham'!Z146</f>
        <v>-4.5454545454545456E-2</v>
      </c>
      <c r="AA147">
        <f>('Data Saham'!AA147-'Data Saham'!AA146)/'Data Saham'!AA146</f>
        <v>8.6956521739130432E-2</v>
      </c>
      <c r="AB147">
        <f>('Data Saham'!AB147-'Data Saham'!AB146)/'Data Saham'!AB146</f>
        <v>1.8518518518518517E-2</v>
      </c>
      <c r="AC147">
        <f>('Data Saham'!AC147-'Data Saham'!AC146)/'Data Saham'!AC146</f>
        <v>4.3478260869565216E-2</v>
      </c>
      <c r="AD147">
        <f>('Data Saham'!AD147-'Data Saham'!AD146)/'Data Saham'!AD146</f>
        <v>2.1164021164021163E-2</v>
      </c>
      <c r="AE147">
        <f>('Data Saham'!AE147-'Data Saham'!AE146)/'Data Saham'!AE146</f>
        <v>1.1428571428571429E-2</v>
      </c>
      <c r="AF147">
        <f>('Data Saham'!AF147-'Data Saham'!AF146)/'Data Saham'!AF146</f>
        <v>-1.1049723756906077E-2</v>
      </c>
    </row>
    <row r="148" spans="1:32" x14ac:dyDescent="0.3">
      <c r="A148" s="3" t="s">
        <v>88</v>
      </c>
      <c r="B148">
        <f>('Data Saham'!B148-'Data Saham'!B147)/'Data Saham'!B147</f>
        <v>-2.5736144821508617E-2</v>
      </c>
      <c r="C148">
        <f>('Data Saham'!C148-'Data Saham'!C147)/'Data Saham'!C147</f>
        <v>2.7397260273972601E-2</v>
      </c>
      <c r="D148">
        <f>('Data Saham'!D148-'Data Saham'!D147)/'Data Saham'!D147</f>
        <v>-8.4985835694051E-3</v>
      </c>
      <c r="E148">
        <f>('Data Saham'!E148-'Data Saham'!E147)/'Data Saham'!E147</f>
        <v>-9.7799511002444987E-3</v>
      </c>
      <c r="F148">
        <f>('Data Saham'!F148-'Data Saham'!F147)/'Data Saham'!F147</f>
        <v>-1.2987012987012988E-2</v>
      </c>
      <c r="G148">
        <f>('Data Saham'!G148-'Data Saham'!G147)/'Data Saham'!G147</f>
        <v>-2.3728813559322035E-2</v>
      </c>
      <c r="H148">
        <f>('Data Saham'!H148-'Data Saham'!H147)/'Data Saham'!H147</f>
        <v>-2.1739130434782608E-2</v>
      </c>
      <c r="I148">
        <f>('Data Saham'!I148-'Data Saham'!I147)/'Data Saham'!I147</f>
        <v>1.6216216216216217E-2</v>
      </c>
      <c r="J148">
        <f>('Data Saham'!J148-'Data Saham'!J147)/'Data Saham'!J147</f>
        <v>7.0671378091872791E-3</v>
      </c>
      <c r="K148">
        <f>('Data Saham'!K148-'Data Saham'!K147)/'Data Saham'!K147</f>
        <v>-1.4925373134328358E-2</v>
      </c>
      <c r="L148">
        <f>('Data Saham'!L148-'Data Saham'!L147)/'Data Saham'!L147</f>
        <v>-6.7039106145251395E-3</v>
      </c>
      <c r="M148">
        <f>('Data Saham'!M148-'Data Saham'!M147)/'Data Saham'!M147</f>
        <v>5.8309037900874635E-3</v>
      </c>
      <c r="N148">
        <f>('Data Saham'!N148-'Data Saham'!N147)/'Data Saham'!N147</f>
        <v>-2.5000000000000001E-2</v>
      </c>
      <c r="O148">
        <f>('Data Saham'!O148-'Data Saham'!O147)/'Data Saham'!O147</f>
        <v>-3.0769230769230769E-3</v>
      </c>
      <c r="P148">
        <f>('Data Saham'!P148-'Data Saham'!P147)/'Data Saham'!P147</f>
        <v>-1.8018018018018018E-2</v>
      </c>
      <c r="Q148">
        <f>('Data Saham'!Q148-'Data Saham'!Q147)/'Data Saham'!Q147</f>
        <v>-3.5856573705179286E-2</v>
      </c>
      <c r="R148">
        <f>('Data Saham'!R148-'Data Saham'!R147)/'Data Saham'!R147</f>
        <v>0</v>
      </c>
      <c r="S148">
        <f>('Data Saham'!S148-'Data Saham'!S147)/'Data Saham'!S147</f>
        <v>2.2633744855967079E-2</v>
      </c>
      <c r="T148">
        <f>('Data Saham'!T148-'Data Saham'!T147)/'Data Saham'!T147</f>
        <v>4.2372881355932203E-3</v>
      </c>
      <c r="U148">
        <f>('Data Saham'!U148-'Data Saham'!U147)/'Data Saham'!U147</f>
        <v>-1.2396694214876033E-2</v>
      </c>
      <c r="V148">
        <f>('Data Saham'!V148-'Data Saham'!V147)/'Data Saham'!V147</f>
        <v>3.7536092396535131E-2</v>
      </c>
      <c r="W148">
        <f>('Data Saham'!W148-'Data Saham'!W147)/'Data Saham'!W147</f>
        <v>-7.124681933842239E-2</v>
      </c>
      <c r="X148">
        <f>('Data Saham'!X148-'Data Saham'!X147)/'Data Saham'!X147</f>
        <v>-1.3824884792626729E-2</v>
      </c>
      <c r="Y148">
        <f>('Data Saham'!Y148-'Data Saham'!Y147)/'Data Saham'!Y147</f>
        <v>-4.0540540540540543E-2</v>
      </c>
      <c r="Z148">
        <f>('Data Saham'!Z148-'Data Saham'!Z147)/'Data Saham'!Z147</f>
        <v>-9.5238095238095247E-3</v>
      </c>
      <c r="AA148">
        <f>('Data Saham'!AA148-'Data Saham'!AA147)/'Data Saham'!AA147</f>
        <v>1.2E-2</v>
      </c>
      <c r="AB148">
        <f>('Data Saham'!AB148-'Data Saham'!AB147)/'Data Saham'!AB147</f>
        <v>0</v>
      </c>
      <c r="AC148">
        <f>('Data Saham'!AC148-'Data Saham'!AC147)/'Data Saham'!AC147</f>
        <v>0</v>
      </c>
      <c r="AD148">
        <f>('Data Saham'!AD148-'Data Saham'!AD147)/'Data Saham'!AD147</f>
        <v>-1.5544041450777202E-2</v>
      </c>
      <c r="AE148">
        <f>('Data Saham'!AE148-'Data Saham'!AE147)/'Data Saham'!AE147</f>
        <v>-1.1299435028248588E-2</v>
      </c>
      <c r="AF148">
        <f>('Data Saham'!AF148-'Data Saham'!AF147)/'Data Saham'!AF147</f>
        <v>-1.11731843575419E-2</v>
      </c>
    </row>
    <row r="149" spans="1:32" x14ac:dyDescent="0.3">
      <c r="A149" s="4" t="s">
        <v>89</v>
      </c>
      <c r="B149">
        <f>('Data Saham'!B149-'Data Saham'!B148)/'Data Saham'!B148</f>
        <v>2.1895836860097544E-2</v>
      </c>
      <c r="C149">
        <f>('Data Saham'!C149-'Data Saham'!C148)/'Data Saham'!C148</f>
        <v>0.05</v>
      </c>
      <c r="D149">
        <f>('Data Saham'!D149-'Data Saham'!D148)/'Data Saham'!D148</f>
        <v>5.1428571428571428E-2</v>
      </c>
      <c r="E149">
        <f>('Data Saham'!E149-'Data Saham'!E148)/'Data Saham'!E148</f>
        <v>6.1728395061728392E-2</v>
      </c>
      <c r="F149">
        <f>('Data Saham'!F149-'Data Saham'!F148)/'Data Saham'!F148</f>
        <v>6.3157894736842107E-2</v>
      </c>
      <c r="G149">
        <f>('Data Saham'!G149-'Data Saham'!G148)/'Data Saham'!G148</f>
        <v>2.0833333333333332E-2</v>
      </c>
      <c r="H149">
        <f>('Data Saham'!H149-'Data Saham'!H148)/'Data Saham'!H148</f>
        <v>5.3333333333333337E-2</v>
      </c>
      <c r="I149">
        <f>('Data Saham'!I149-'Data Saham'!I148)/'Data Saham'!I148</f>
        <v>-2.6595744680851063E-3</v>
      </c>
      <c r="J149">
        <f>('Data Saham'!J149-'Data Saham'!J148)/'Data Saham'!J148</f>
        <v>1.7543859649122806E-2</v>
      </c>
      <c r="K149">
        <f>('Data Saham'!K149-'Data Saham'!K148)/'Data Saham'!K148</f>
        <v>2.7272727272727271E-2</v>
      </c>
      <c r="L149">
        <f>('Data Saham'!L149-'Data Saham'!L148)/'Data Saham'!L148</f>
        <v>1.0123734533183352E-2</v>
      </c>
      <c r="M149">
        <f>('Data Saham'!M149-'Data Saham'!M148)/'Data Saham'!M148</f>
        <v>-5.2173913043478258E-2</v>
      </c>
      <c r="N149">
        <f>('Data Saham'!N149-'Data Saham'!N148)/'Data Saham'!N148</f>
        <v>-2.564102564102564E-2</v>
      </c>
      <c r="O149">
        <f>('Data Saham'!O149-'Data Saham'!O148)/'Data Saham'!O148</f>
        <v>4.6296296296296294E-2</v>
      </c>
      <c r="P149">
        <f>('Data Saham'!P149-'Data Saham'!P148)/'Data Saham'!P148</f>
        <v>0</v>
      </c>
      <c r="Q149">
        <f>('Data Saham'!Q149-'Data Saham'!Q148)/'Data Saham'!Q148</f>
        <v>0</v>
      </c>
      <c r="R149">
        <f>('Data Saham'!R149-'Data Saham'!R148)/'Data Saham'!R148</f>
        <v>8.4033613445378148E-3</v>
      </c>
      <c r="S149">
        <f>('Data Saham'!S149-'Data Saham'!S148)/'Data Saham'!S148</f>
        <v>-6.0362173038229373E-3</v>
      </c>
      <c r="T149">
        <f>('Data Saham'!T149-'Data Saham'!T148)/'Data Saham'!T148</f>
        <v>1.6877637130801686E-2</v>
      </c>
      <c r="U149">
        <f>('Data Saham'!U149-'Data Saham'!U148)/'Data Saham'!U148</f>
        <v>5.0209205020920501E-2</v>
      </c>
      <c r="V149">
        <f>('Data Saham'!V149-'Data Saham'!V148)/'Data Saham'!V148</f>
        <v>-1.2987012987012988E-2</v>
      </c>
      <c r="W149">
        <f>('Data Saham'!W149-'Data Saham'!W148)/'Data Saham'!W148</f>
        <v>3.287671232876712E-2</v>
      </c>
      <c r="X149">
        <f>('Data Saham'!X149-'Data Saham'!X148)/'Data Saham'!X148</f>
        <v>1.8691588785046728E-2</v>
      </c>
      <c r="Y149">
        <f>('Data Saham'!Y149-'Data Saham'!Y148)/'Data Saham'!Y148</f>
        <v>5.6338028169014086E-2</v>
      </c>
      <c r="Z149">
        <f>('Data Saham'!Z149-'Data Saham'!Z148)/'Data Saham'!Z148</f>
        <v>1.9230769230769232E-2</v>
      </c>
      <c r="AA149">
        <f>('Data Saham'!AA149-'Data Saham'!AA148)/'Data Saham'!AA148</f>
        <v>3.952569169960474E-3</v>
      </c>
      <c r="AB149">
        <f>('Data Saham'!AB149-'Data Saham'!AB148)/'Data Saham'!AB148</f>
        <v>0</v>
      </c>
      <c r="AC149">
        <f>('Data Saham'!AC149-'Data Saham'!AC148)/'Data Saham'!AC148</f>
        <v>0</v>
      </c>
      <c r="AD149">
        <f>('Data Saham'!AD149-'Data Saham'!AD148)/'Data Saham'!AD148</f>
        <v>2.1052631578947368E-2</v>
      </c>
      <c r="AE149">
        <f>('Data Saham'!AE149-'Data Saham'!AE148)/'Data Saham'!AE148</f>
        <v>0.04</v>
      </c>
      <c r="AF149">
        <f>('Data Saham'!AF149-'Data Saham'!AF148)/'Data Saham'!AF148</f>
        <v>2.2598870056497175E-2</v>
      </c>
    </row>
    <row r="150" spans="1:32" x14ac:dyDescent="0.3">
      <c r="A150" s="3" t="s">
        <v>90</v>
      </c>
      <c r="B150">
        <f>('Data Saham'!B150-'Data Saham'!B149)/'Data Saham'!B149</f>
        <v>1.8432484689046132E-2</v>
      </c>
      <c r="C150">
        <f>('Data Saham'!C150-'Data Saham'!C149)/'Data Saham'!C149</f>
        <v>7.6190476190476197E-2</v>
      </c>
      <c r="D150">
        <f>('Data Saham'!D150-'Data Saham'!D149)/'Data Saham'!D149</f>
        <v>2.1739130434782608E-2</v>
      </c>
      <c r="E150">
        <f>('Data Saham'!E150-'Data Saham'!E149)/'Data Saham'!E149</f>
        <v>1.1627906976744186E-2</v>
      </c>
      <c r="F150">
        <f>('Data Saham'!F150-'Data Saham'!F149)/'Data Saham'!F149</f>
        <v>2.4752475247524753E-3</v>
      </c>
      <c r="G150">
        <f>('Data Saham'!G150-'Data Saham'!G149)/'Data Saham'!G149</f>
        <v>0.11564625850340136</v>
      </c>
      <c r="H150">
        <f>('Data Saham'!H150-'Data Saham'!H149)/'Data Saham'!H149</f>
        <v>1.2658227848101266E-2</v>
      </c>
      <c r="I150">
        <f>('Data Saham'!I150-'Data Saham'!I149)/'Data Saham'!I149</f>
        <v>-1.0666666666666666E-2</v>
      </c>
      <c r="J150">
        <f>('Data Saham'!J150-'Data Saham'!J149)/'Data Saham'!J149</f>
        <v>3.4482758620689655E-3</v>
      </c>
      <c r="K150">
        <f>('Data Saham'!K150-'Data Saham'!K149)/'Data Saham'!K149</f>
        <v>6.4896755162241887E-2</v>
      </c>
      <c r="L150">
        <f>('Data Saham'!L150-'Data Saham'!L149)/'Data Saham'!L149</f>
        <v>4.4543429844097994E-3</v>
      </c>
      <c r="M150">
        <f>('Data Saham'!M150-'Data Saham'!M149)/'Data Saham'!M149</f>
        <v>6.1162079510703364E-3</v>
      </c>
      <c r="N150">
        <f>('Data Saham'!N150-'Data Saham'!N149)/'Data Saham'!N149</f>
        <v>3.9473684210526314E-2</v>
      </c>
      <c r="O150">
        <f>('Data Saham'!O150-'Data Saham'!O149)/'Data Saham'!O149</f>
        <v>8.8495575221238937E-3</v>
      </c>
      <c r="P150">
        <f>('Data Saham'!P150-'Data Saham'!P149)/'Data Saham'!P149</f>
        <v>0</v>
      </c>
      <c r="Q150">
        <f>('Data Saham'!Q150-'Data Saham'!Q149)/'Data Saham'!Q149</f>
        <v>3.3057851239669422E-2</v>
      </c>
      <c r="R150">
        <f>('Data Saham'!R150-'Data Saham'!R149)/'Data Saham'!R149</f>
        <v>1.6666666666666666E-2</v>
      </c>
      <c r="S150">
        <f>('Data Saham'!S150-'Data Saham'!S149)/'Data Saham'!S149</f>
        <v>-1.0121457489878543E-2</v>
      </c>
      <c r="T150">
        <f>('Data Saham'!T150-'Data Saham'!T149)/'Data Saham'!T149</f>
        <v>-8.2987551867219917E-3</v>
      </c>
      <c r="U150">
        <f>('Data Saham'!U150-'Data Saham'!U149)/'Data Saham'!U149</f>
        <v>2.3904382470119521E-2</v>
      </c>
      <c r="V150">
        <f>('Data Saham'!V150-'Data Saham'!V149)/'Data Saham'!V149</f>
        <v>1.3157894736842105E-2</v>
      </c>
      <c r="W150">
        <f>('Data Saham'!W150-'Data Saham'!W149)/'Data Saham'!W149</f>
        <v>5.3050397877984082E-3</v>
      </c>
      <c r="X150">
        <f>('Data Saham'!X150-'Data Saham'!X149)/'Data Saham'!X149</f>
        <v>3.669724770642202E-2</v>
      </c>
      <c r="Y150">
        <f>('Data Saham'!Y150-'Data Saham'!Y149)/'Data Saham'!Y149</f>
        <v>-1.7777777777777778E-2</v>
      </c>
      <c r="Z150">
        <f>('Data Saham'!Z150-'Data Saham'!Z149)/'Data Saham'!Z149</f>
        <v>9.433962264150943E-3</v>
      </c>
      <c r="AA150">
        <f>('Data Saham'!AA150-'Data Saham'!AA149)/'Data Saham'!AA149</f>
        <v>-2.3622047244094488E-2</v>
      </c>
      <c r="AB150">
        <f>('Data Saham'!AB150-'Data Saham'!AB149)/'Data Saham'!AB149</f>
        <v>1.8181818181818181E-2</v>
      </c>
      <c r="AC150">
        <f>('Data Saham'!AC150-'Data Saham'!AC149)/'Data Saham'!AC149</f>
        <v>-1.1904761904761904E-2</v>
      </c>
      <c r="AD150">
        <f>('Data Saham'!AD150-'Data Saham'!AD149)/'Data Saham'!AD149</f>
        <v>2.5773195876288658E-2</v>
      </c>
      <c r="AE150">
        <f>('Data Saham'!AE150-'Data Saham'!AE149)/'Data Saham'!AE149</f>
        <v>1.6483516483516484E-2</v>
      </c>
      <c r="AF150">
        <f>('Data Saham'!AF150-'Data Saham'!AF149)/'Data Saham'!AF149</f>
        <v>1.1049723756906077E-2</v>
      </c>
    </row>
    <row r="151" spans="1:32" x14ac:dyDescent="0.3">
      <c r="A151" s="4" t="s">
        <v>91</v>
      </c>
      <c r="B151">
        <f>('Data Saham'!B151-'Data Saham'!B150)/'Data Saham'!B150</f>
        <v>-1.0382273539465475E-2</v>
      </c>
      <c r="C151">
        <f>('Data Saham'!C151-'Data Saham'!C150)/'Data Saham'!C150</f>
        <v>-3.2448377581120944E-2</v>
      </c>
      <c r="D151">
        <f>('Data Saham'!D151-'Data Saham'!D150)/'Data Saham'!D150</f>
        <v>-1.5957446808510637E-2</v>
      </c>
      <c r="E151">
        <f>('Data Saham'!E151-'Data Saham'!E150)/'Data Saham'!E150</f>
        <v>-4.5977011494252873E-3</v>
      </c>
      <c r="F151">
        <f>('Data Saham'!F151-'Data Saham'!F150)/'Data Saham'!F150</f>
        <v>-4.9382716049382715E-3</v>
      </c>
      <c r="G151">
        <f>('Data Saham'!G151-'Data Saham'!G150)/'Data Saham'!G150</f>
        <v>-3.9634146341463415E-2</v>
      </c>
      <c r="H151">
        <f>('Data Saham'!H151-'Data Saham'!H150)/'Data Saham'!H150</f>
        <v>2.9166666666666667E-2</v>
      </c>
      <c r="I151">
        <f>('Data Saham'!I151-'Data Saham'!I150)/'Data Saham'!I150</f>
        <v>-4.0431266846361183E-2</v>
      </c>
      <c r="J151">
        <f>('Data Saham'!J151-'Data Saham'!J150)/'Data Saham'!J150</f>
        <v>-1.3745704467353952E-2</v>
      </c>
      <c r="K151">
        <f>('Data Saham'!K151-'Data Saham'!K150)/'Data Saham'!K150</f>
        <v>-1.662049861495845E-2</v>
      </c>
      <c r="L151">
        <f>('Data Saham'!L151-'Data Saham'!L150)/'Data Saham'!L150</f>
        <v>0</v>
      </c>
      <c r="M151">
        <f>('Data Saham'!M151-'Data Saham'!M150)/'Data Saham'!M150</f>
        <v>-3.64741641337386E-2</v>
      </c>
      <c r="N151">
        <f>('Data Saham'!N151-'Data Saham'!N150)/'Data Saham'!N150</f>
        <v>-4.2194092827004218E-2</v>
      </c>
      <c r="O151">
        <f>('Data Saham'!O151-'Data Saham'!O150)/'Data Saham'!O150</f>
        <v>-2.046783625730994E-2</v>
      </c>
      <c r="P151">
        <f>('Data Saham'!P151-'Data Saham'!P150)/'Data Saham'!P150</f>
        <v>-9.1743119266055051E-3</v>
      </c>
      <c r="Q151">
        <f>('Data Saham'!Q151-'Data Saham'!Q150)/'Data Saham'!Q150</f>
        <v>-3.2000000000000001E-2</v>
      </c>
      <c r="R151">
        <f>('Data Saham'!R151-'Data Saham'!R150)/'Data Saham'!R150</f>
        <v>-3.2786885245901641E-2</v>
      </c>
      <c r="S151">
        <f>('Data Saham'!S151-'Data Saham'!S150)/'Data Saham'!S150</f>
        <v>5.8282208588957052E-2</v>
      </c>
      <c r="T151">
        <f>('Data Saham'!T151-'Data Saham'!T150)/'Data Saham'!T150</f>
        <v>6.2761506276150625E-2</v>
      </c>
      <c r="U151">
        <f>('Data Saham'!U151-'Data Saham'!U150)/'Data Saham'!U150</f>
        <v>0</v>
      </c>
      <c r="V151">
        <f>('Data Saham'!V151-'Data Saham'!V150)/'Data Saham'!V150</f>
        <v>-2.7829313543599257E-3</v>
      </c>
      <c r="W151">
        <f>('Data Saham'!W151-'Data Saham'!W150)/'Data Saham'!W150</f>
        <v>-1.0554089709762533E-2</v>
      </c>
      <c r="X151">
        <f>('Data Saham'!X151-'Data Saham'!X150)/'Data Saham'!X150</f>
        <v>-3.0973451327433628E-2</v>
      </c>
      <c r="Y151">
        <f>('Data Saham'!Y151-'Data Saham'!Y150)/'Data Saham'!Y150</f>
        <v>-9.0497737556561094E-3</v>
      </c>
      <c r="Z151">
        <f>('Data Saham'!Z151-'Data Saham'!Z150)/'Data Saham'!Z150</f>
        <v>3.7383177570093455E-2</v>
      </c>
      <c r="AA151">
        <f>('Data Saham'!AA151-'Data Saham'!AA150)/'Data Saham'!AA150</f>
        <v>-2.0161290322580645E-2</v>
      </c>
      <c r="AB151">
        <f>('Data Saham'!AB151-'Data Saham'!AB150)/'Data Saham'!AB150</f>
        <v>-3.5714285714285712E-2</v>
      </c>
      <c r="AC151">
        <f>('Data Saham'!AC151-'Data Saham'!AC150)/'Data Saham'!AC150</f>
        <v>-2.4096385542168676E-2</v>
      </c>
      <c r="AD151">
        <f>('Data Saham'!AD151-'Data Saham'!AD150)/'Data Saham'!AD150</f>
        <v>-1.0050251256281407E-2</v>
      </c>
      <c r="AE151">
        <f>('Data Saham'!AE151-'Data Saham'!AE150)/'Data Saham'!AE150</f>
        <v>5.4054054054054057E-3</v>
      </c>
      <c r="AF151">
        <f>('Data Saham'!AF151-'Data Saham'!AF150)/'Data Saham'!AF150</f>
        <v>-1.092896174863388E-2</v>
      </c>
    </row>
    <row r="152" spans="1:32" x14ac:dyDescent="0.3">
      <c r="A152" s="3" t="s">
        <v>92</v>
      </c>
      <c r="B152">
        <f>('Data Saham'!B152-'Data Saham'!B151)/'Data Saham'!B151</f>
        <v>1.494011076289016E-2</v>
      </c>
      <c r="C152">
        <f>('Data Saham'!C152-'Data Saham'!C151)/'Data Saham'!C151</f>
        <v>1.524390243902439E-2</v>
      </c>
      <c r="D152">
        <f>('Data Saham'!D152-'Data Saham'!D151)/'Data Saham'!D151</f>
        <v>3.2432432432432434E-2</v>
      </c>
      <c r="E152">
        <f>('Data Saham'!E152-'Data Saham'!E151)/'Data Saham'!E151</f>
        <v>2.3094688221709007E-2</v>
      </c>
      <c r="F152">
        <f>('Data Saham'!F152-'Data Saham'!F151)/'Data Saham'!F151</f>
        <v>5.2109181141439205E-2</v>
      </c>
      <c r="G152">
        <f>('Data Saham'!G152-'Data Saham'!G151)/'Data Saham'!G151</f>
        <v>6.6666666666666666E-2</v>
      </c>
      <c r="H152">
        <f>('Data Saham'!H152-'Data Saham'!H151)/'Data Saham'!H151</f>
        <v>2.4291497975708502E-2</v>
      </c>
      <c r="I152">
        <f>('Data Saham'!I152-'Data Saham'!I151)/'Data Saham'!I151</f>
        <v>-8.4269662921348312E-3</v>
      </c>
      <c r="J152">
        <f>('Data Saham'!J152-'Data Saham'!J151)/'Data Saham'!J151</f>
        <v>2.7874564459930314E-2</v>
      </c>
      <c r="K152">
        <f>('Data Saham'!K152-'Data Saham'!K151)/'Data Saham'!K151</f>
        <v>8.4507042253521118E-3</v>
      </c>
      <c r="L152">
        <f>('Data Saham'!L152-'Data Saham'!L151)/'Data Saham'!L151</f>
        <v>5.5432372505543242E-3</v>
      </c>
      <c r="M152">
        <f>('Data Saham'!M152-'Data Saham'!M151)/'Data Saham'!M151</f>
        <v>6.3091482649842269E-3</v>
      </c>
      <c r="N152">
        <f>('Data Saham'!N152-'Data Saham'!N151)/'Data Saham'!N151</f>
        <v>-1.7621145374449341E-2</v>
      </c>
      <c r="O152">
        <f>('Data Saham'!O152-'Data Saham'!O151)/'Data Saham'!O151</f>
        <v>5.6716417910447764E-2</v>
      </c>
      <c r="P152">
        <f>('Data Saham'!P152-'Data Saham'!P151)/'Data Saham'!P151</f>
        <v>9.2592592592592587E-3</v>
      </c>
      <c r="Q152">
        <f>('Data Saham'!Q152-'Data Saham'!Q151)/'Data Saham'!Q151</f>
        <v>7.8512396694214878E-2</v>
      </c>
      <c r="R152">
        <f>('Data Saham'!R152-'Data Saham'!R151)/'Data Saham'!R151</f>
        <v>4.2372881355932203E-3</v>
      </c>
      <c r="S152">
        <f>('Data Saham'!S152-'Data Saham'!S151)/'Data Saham'!S151</f>
        <v>9.6618357487922701E-3</v>
      </c>
      <c r="T152">
        <f>('Data Saham'!T152-'Data Saham'!T151)/'Data Saham'!T151</f>
        <v>3.937007874015748E-2</v>
      </c>
      <c r="U152">
        <f>('Data Saham'!U152-'Data Saham'!U151)/'Data Saham'!U151</f>
        <v>3.5019455252918288E-2</v>
      </c>
      <c r="V152">
        <f>('Data Saham'!V152-'Data Saham'!V151)/'Data Saham'!V151</f>
        <v>1.5813953488372091E-2</v>
      </c>
      <c r="W152">
        <f>('Data Saham'!W152-'Data Saham'!W151)/'Data Saham'!W151</f>
        <v>-2.6666666666666666E-3</v>
      </c>
      <c r="X152">
        <f>('Data Saham'!X152-'Data Saham'!X151)/'Data Saham'!X151</f>
        <v>1.8264840182648401E-2</v>
      </c>
      <c r="Y152">
        <f>('Data Saham'!Y152-'Data Saham'!Y151)/'Data Saham'!Y151</f>
        <v>9.1324200913242004E-3</v>
      </c>
      <c r="Z152">
        <f>('Data Saham'!Z152-'Data Saham'!Z151)/'Data Saham'!Z151</f>
        <v>2.2522522522522521E-2</v>
      </c>
      <c r="AA152">
        <f>('Data Saham'!AA152-'Data Saham'!AA151)/'Data Saham'!AA151</f>
        <v>2.0576131687242798E-2</v>
      </c>
      <c r="AB152">
        <f>('Data Saham'!AB152-'Data Saham'!AB151)/'Data Saham'!AB151</f>
        <v>3.7037037037037035E-2</v>
      </c>
      <c r="AC152">
        <f>('Data Saham'!AC152-'Data Saham'!AC151)/'Data Saham'!AC151</f>
        <v>4.3209876543209874E-2</v>
      </c>
      <c r="AD152">
        <f>('Data Saham'!AD152-'Data Saham'!AD151)/'Data Saham'!AD151</f>
        <v>-5.076142131979695E-3</v>
      </c>
      <c r="AE152">
        <f>('Data Saham'!AE152-'Data Saham'!AE151)/'Data Saham'!AE151</f>
        <v>0</v>
      </c>
      <c r="AF152">
        <f>('Data Saham'!AF152-'Data Saham'!AF151)/'Data Saham'!AF151</f>
        <v>0</v>
      </c>
    </row>
    <row r="153" spans="1:32" x14ac:dyDescent="0.3">
      <c r="A153" s="4" t="s">
        <v>93</v>
      </c>
      <c r="B153">
        <f>('Data Saham'!B153-'Data Saham'!B152)/'Data Saham'!B152</f>
        <v>-3.1784974046312017E-4</v>
      </c>
      <c r="C153">
        <f>('Data Saham'!C153-'Data Saham'!C152)/'Data Saham'!C152</f>
        <v>-6.006006006006006E-3</v>
      </c>
      <c r="D153">
        <f>('Data Saham'!D153-'Data Saham'!D152)/'Data Saham'!D152</f>
        <v>7.8534031413612562E-3</v>
      </c>
      <c r="E153">
        <f>('Data Saham'!E153-'Data Saham'!E152)/'Data Saham'!E152</f>
        <v>2.7088036117381489E-2</v>
      </c>
      <c r="F153">
        <f>('Data Saham'!F153-'Data Saham'!F152)/'Data Saham'!F152</f>
        <v>3.0660377358490566E-2</v>
      </c>
      <c r="G153">
        <f>('Data Saham'!G153-'Data Saham'!G152)/'Data Saham'!G152</f>
        <v>-2.0833333333333332E-2</v>
      </c>
      <c r="H153">
        <f>('Data Saham'!H153-'Data Saham'!H152)/'Data Saham'!H152</f>
        <v>3.9525691699604744E-2</v>
      </c>
      <c r="I153">
        <f>('Data Saham'!I153-'Data Saham'!I152)/'Data Saham'!I152</f>
        <v>-2.8328611898016999E-3</v>
      </c>
      <c r="J153">
        <f>('Data Saham'!J153-'Data Saham'!J152)/'Data Saham'!J152</f>
        <v>-1.0169491525423728E-2</v>
      </c>
      <c r="K153">
        <f>('Data Saham'!K153-'Data Saham'!K152)/'Data Saham'!K152</f>
        <v>-1.6759776536312849E-2</v>
      </c>
      <c r="L153">
        <f>('Data Saham'!L153-'Data Saham'!L152)/'Data Saham'!L152</f>
        <v>1.1025358324145535E-3</v>
      </c>
      <c r="M153">
        <f>('Data Saham'!M153-'Data Saham'!M152)/'Data Saham'!M152</f>
        <v>-1.8808777429467086E-2</v>
      </c>
      <c r="N153">
        <f>('Data Saham'!N153-'Data Saham'!N152)/'Data Saham'!N152</f>
        <v>-4.4843049327354259E-3</v>
      </c>
      <c r="O153">
        <f>('Data Saham'!O153-'Data Saham'!O152)/'Data Saham'!O152</f>
        <v>-2.5423728813559324E-2</v>
      </c>
      <c r="P153">
        <f>('Data Saham'!P153-'Data Saham'!P152)/'Data Saham'!P152</f>
        <v>-1.834862385321101E-2</v>
      </c>
      <c r="Q153">
        <f>('Data Saham'!Q153-'Data Saham'!Q152)/'Data Saham'!Q152</f>
        <v>-7.6628352490421452E-3</v>
      </c>
      <c r="R153">
        <f>('Data Saham'!R153-'Data Saham'!R152)/'Data Saham'!R152</f>
        <v>3.3755274261603373E-2</v>
      </c>
      <c r="S153">
        <f>('Data Saham'!S153-'Data Saham'!S152)/'Data Saham'!S152</f>
        <v>-1.4354066985645933E-2</v>
      </c>
      <c r="T153">
        <f>('Data Saham'!T153-'Data Saham'!T152)/'Data Saham'!T152</f>
        <v>-1.1363636363636364E-2</v>
      </c>
      <c r="U153">
        <f>('Data Saham'!U153-'Data Saham'!U152)/'Data Saham'!U152</f>
        <v>0</v>
      </c>
      <c r="V153">
        <f>('Data Saham'!V153-'Data Saham'!V152)/'Data Saham'!V152</f>
        <v>-6.41025641025641E-3</v>
      </c>
      <c r="W153">
        <f>('Data Saham'!W153-'Data Saham'!W152)/'Data Saham'!W152</f>
        <v>-2.6737967914438502E-2</v>
      </c>
      <c r="X153">
        <f>('Data Saham'!X153-'Data Saham'!X152)/'Data Saham'!X152</f>
        <v>8.520179372197309E-2</v>
      </c>
      <c r="Y153">
        <f>('Data Saham'!Y153-'Data Saham'!Y152)/'Data Saham'!Y152</f>
        <v>-1.3574660633484163E-2</v>
      </c>
      <c r="Z153">
        <f>('Data Saham'!Z153-'Data Saham'!Z152)/'Data Saham'!Z152</f>
        <v>-2.2026431718061675E-2</v>
      </c>
      <c r="AA153">
        <f>('Data Saham'!AA153-'Data Saham'!AA152)/'Data Saham'!AA152</f>
        <v>-4.0322580645161289E-2</v>
      </c>
      <c r="AB153">
        <f>('Data Saham'!AB153-'Data Saham'!AB152)/'Data Saham'!AB152</f>
        <v>-1.7857142857142856E-2</v>
      </c>
      <c r="AC153">
        <f>('Data Saham'!AC153-'Data Saham'!AC152)/'Data Saham'!AC152</f>
        <v>-2.3668639053254437E-2</v>
      </c>
      <c r="AD153">
        <f>('Data Saham'!AD153-'Data Saham'!AD152)/'Data Saham'!AD152</f>
        <v>0</v>
      </c>
      <c r="AE153">
        <f>('Data Saham'!AE153-'Data Saham'!AE152)/'Data Saham'!AE152</f>
        <v>-1.0752688172043012E-2</v>
      </c>
      <c r="AF153">
        <f>('Data Saham'!AF153-'Data Saham'!AF152)/'Data Saham'!AF152</f>
        <v>-1.6574585635359115E-2</v>
      </c>
    </row>
    <row r="154" spans="1:32" x14ac:dyDescent="0.3">
      <c r="A154" s="3" t="s">
        <v>94</v>
      </c>
      <c r="B154">
        <f>('Data Saham'!B154-'Data Saham'!B153)/'Data Saham'!B153</f>
        <v>-1.8686560957092323E-2</v>
      </c>
      <c r="C154">
        <f>('Data Saham'!C154-'Data Saham'!C153)/'Data Saham'!C153</f>
        <v>9.0634441087613302E-3</v>
      </c>
      <c r="D154">
        <f>('Data Saham'!D154-'Data Saham'!D153)/'Data Saham'!D153</f>
        <v>2.5974025974025974E-3</v>
      </c>
      <c r="E154">
        <f>('Data Saham'!E154-'Data Saham'!E153)/'Data Saham'!E153</f>
        <v>-1.7582417582417582E-2</v>
      </c>
      <c r="F154">
        <f>('Data Saham'!F154-'Data Saham'!F153)/'Data Saham'!F153</f>
        <v>0</v>
      </c>
      <c r="G154">
        <f>('Data Saham'!G154-'Data Saham'!G153)/'Data Saham'!G153</f>
        <v>1.2158054711246201E-2</v>
      </c>
      <c r="H154">
        <f>('Data Saham'!H154-'Data Saham'!H153)/'Data Saham'!H153</f>
        <v>3.8022813688212928E-3</v>
      </c>
      <c r="I154">
        <f>('Data Saham'!I154-'Data Saham'!I153)/'Data Saham'!I153</f>
        <v>5.681818181818182E-3</v>
      </c>
      <c r="J154">
        <f>('Data Saham'!J154-'Data Saham'!J153)/'Data Saham'!J153</f>
        <v>2.0547945205479451E-2</v>
      </c>
      <c r="K154">
        <f>('Data Saham'!K154-'Data Saham'!K153)/'Data Saham'!K153</f>
        <v>1.4204545454545454E-2</v>
      </c>
      <c r="L154">
        <f>('Data Saham'!L154-'Data Saham'!L153)/'Data Saham'!L153</f>
        <v>1.1013215859030838E-3</v>
      </c>
      <c r="M154">
        <f>('Data Saham'!M154-'Data Saham'!M153)/'Data Saham'!M153</f>
        <v>6.3897763578274758E-3</v>
      </c>
      <c r="N154">
        <f>('Data Saham'!N154-'Data Saham'!N153)/'Data Saham'!N153</f>
        <v>1.3513513513513514E-2</v>
      </c>
      <c r="O154">
        <f>('Data Saham'!O154-'Data Saham'!O153)/'Data Saham'!O153</f>
        <v>-1.4492753623188406E-2</v>
      </c>
      <c r="P154">
        <f>('Data Saham'!P154-'Data Saham'!P153)/'Data Saham'!P153</f>
        <v>-1.8691588785046728E-2</v>
      </c>
      <c r="Q154">
        <f>('Data Saham'!Q154-'Data Saham'!Q153)/'Data Saham'!Q153</f>
        <v>-5.4054054054054057E-2</v>
      </c>
      <c r="R154">
        <f>('Data Saham'!R154-'Data Saham'!R153)/'Data Saham'!R153</f>
        <v>4.0816326530612242E-2</v>
      </c>
      <c r="S154">
        <f>('Data Saham'!S154-'Data Saham'!S153)/'Data Saham'!S153</f>
        <v>-4.8543689320388345E-3</v>
      </c>
      <c r="T154">
        <f>('Data Saham'!T154-'Data Saham'!T153)/'Data Saham'!T153</f>
        <v>1.532567049808429E-2</v>
      </c>
      <c r="U154">
        <f>('Data Saham'!U154-'Data Saham'!U153)/'Data Saham'!U153</f>
        <v>3.007518796992481E-2</v>
      </c>
      <c r="V154">
        <f>('Data Saham'!V154-'Data Saham'!V153)/'Data Saham'!V153</f>
        <v>2.8571428571428571E-2</v>
      </c>
      <c r="W154">
        <f>('Data Saham'!W154-'Data Saham'!W153)/'Data Saham'!W153</f>
        <v>-9.3406593406593408E-2</v>
      </c>
      <c r="X154">
        <f>('Data Saham'!X154-'Data Saham'!X153)/'Data Saham'!X153</f>
        <v>4.1322314049586778E-3</v>
      </c>
      <c r="Y154">
        <f>('Data Saham'!Y154-'Data Saham'!Y153)/'Data Saham'!Y153</f>
        <v>-2.2935779816513763E-2</v>
      </c>
      <c r="Z154">
        <f>('Data Saham'!Z154-'Data Saham'!Z153)/'Data Saham'!Z153</f>
        <v>1.3513513513513514E-2</v>
      </c>
      <c r="AA154">
        <f>('Data Saham'!AA154-'Data Saham'!AA153)/'Data Saham'!AA153</f>
        <v>-4.2016806722689074E-3</v>
      </c>
      <c r="AB154">
        <f>('Data Saham'!AB154-'Data Saham'!AB153)/'Data Saham'!AB153</f>
        <v>0</v>
      </c>
      <c r="AC154">
        <f>('Data Saham'!AC154-'Data Saham'!AC153)/'Data Saham'!AC153</f>
        <v>1.8181818181818181E-2</v>
      </c>
      <c r="AD154">
        <f>('Data Saham'!AD154-'Data Saham'!AD153)/'Data Saham'!AD153</f>
        <v>1.020408163265306E-2</v>
      </c>
      <c r="AE154">
        <f>('Data Saham'!AE154-'Data Saham'!AE153)/'Data Saham'!AE153</f>
        <v>0</v>
      </c>
      <c r="AF154">
        <f>('Data Saham'!AF154-'Data Saham'!AF153)/'Data Saham'!AF153</f>
        <v>1.1235955056179775E-2</v>
      </c>
    </row>
    <row r="155" spans="1:32" x14ac:dyDescent="0.3">
      <c r="A155" s="4" t="s">
        <v>95</v>
      </c>
      <c r="B155">
        <f>('Data Saham'!B155-'Data Saham'!B154)/'Data Saham'!B154</f>
        <v>-3.0207646772573535E-3</v>
      </c>
      <c r="C155">
        <f>('Data Saham'!C155-'Data Saham'!C154)/'Data Saham'!C154</f>
        <v>-8.9820359281437123E-3</v>
      </c>
      <c r="D155">
        <f>('Data Saham'!D155-'Data Saham'!D154)/'Data Saham'!D154</f>
        <v>-2.5906735751295338E-3</v>
      </c>
      <c r="E155">
        <f>('Data Saham'!E155-'Data Saham'!E154)/'Data Saham'!E154</f>
        <v>8.948545861297539E-3</v>
      </c>
      <c r="F155">
        <f>('Data Saham'!F155-'Data Saham'!F154)/'Data Saham'!F154</f>
        <v>0</v>
      </c>
      <c r="G155">
        <f>('Data Saham'!G155-'Data Saham'!G154)/'Data Saham'!G154</f>
        <v>2.1021021021021023E-2</v>
      </c>
      <c r="H155">
        <f>('Data Saham'!H155-'Data Saham'!H154)/'Data Saham'!H154</f>
        <v>-4.1666666666666664E-2</v>
      </c>
      <c r="I155">
        <f>('Data Saham'!I155-'Data Saham'!I154)/'Data Saham'!I154</f>
        <v>-8.4745762711864406E-3</v>
      </c>
      <c r="J155">
        <f>('Data Saham'!J155-'Data Saham'!J154)/'Data Saham'!J154</f>
        <v>6.7114093959731542E-3</v>
      </c>
      <c r="K155">
        <f>('Data Saham'!K155-'Data Saham'!K154)/'Data Saham'!K154</f>
        <v>0</v>
      </c>
      <c r="L155">
        <f>('Data Saham'!L155-'Data Saham'!L154)/'Data Saham'!L154</f>
        <v>3.3003300330033004E-3</v>
      </c>
      <c r="M155">
        <f>('Data Saham'!M155-'Data Saham'!M154)/'Data Saham'!M154</f>
        <v>-1.5873015873015872E-2</v>
      </c>
      <c r="N155">
        <f>('Data Saham'!N155-'Data Saham'!N154)/'Data Saham'!N154</f>
        <v>-3.5555555555555556E-2</v>
      </c>
      <c r="O155">
        <f>('Data Saham'!O155-'Data Saham'!O154)/'Data Saham'!O154</f>
        <v>2.9411764705882353E-3</v>
      </c>
      <c r="P155">
        <f>('Data Saham'!P155-'Data Saham'!P154)/'Data Saham'!P154</f>
        <v>0</v>
      </c>
      <c r="Q155">
        <f>('Data Saham'!Q155-'Data Saham'!Q154)/'Data Saham'!Q154</f>
        <v>-8.1632653061224497E-3</v>
      </c>
      <c r="R155">
        <f>('Data Saham'!R155-'Data Saham'!R154)/'Data Saham'!R154</f>
        <v>4.3137254901960784E-2</v>
      </c>
      <c r="S155">
        <f>('Data Saham'!S155-'Data Saham'!S154)/'Data Saham'!S154</f>
        <v>-9.7560975609756097E-3</v>
      </c>
      <c r="T155">
        <f>('Data Saham'!T155-'Data Saham'!T154)/'Data Saham'!T154</f>
        <v>1.1320754716981131E-2</v>
      </c>
      <c r="U155">
        <f>('Data Saham'!U155-'Data Saham'!U154)/'Data Saham'!U154</f>
        <v>-1.0948905109489052E-2</v>
      </c>
      <c r="V155">
        <f>('Data Saham'!V155-'Data Saham'!V154)/'Data Saham'!V154</f>
        <v>-9.8566308243727592E-3</v>
      </c>
      <c r="W155">
        <f>('Data Saham'!W155-'Data Saham'!W154)/'Data Saham'!W154</f>
        <v>3.6363636363636362E-2</v>
      </c>
      <c r="X155">
        <f>('Data Saham'!X155-'Data Saham'!X154)/'Data Saham'!X154</f>
        <v>-4.11522633744856E-3</v>
      </c>
      <c r="Y155">
        <f>('Data Saham'!Y155-'Data Saham'!Y154)/'Data Saham'!Y154</f>
        <v>-2.3474178403755867E-2</v>
      </c>
      <c r="Z155">
        <f>('Data Saham'!Z155-'Data Saham'!Z154)/'Data Saham'!Z154</f>
        <v>0</v>
      </c>
      <c r="AA155">
        <f>('Data Saham'!AA155-'Data Saham'!AA154)/'Data Saham'!AA154</f>
        <v>7.5949367088607597E-2</v>
      </c>
      <c r="AB155">
        <f>('Data Saham'!AB155-'Data Saham'!AB154)/'Data Saham'!AB154</f>
        <v>0</v>
      </c>
      <c r="AC155">
        <f>('Data Saham'!AC155-'Data Saham'!AC154)/'Data Saham'!AC154</f>
        <v>5.9523809523809521E-3</v>
      </c>
      <c r="AD155">
        <f>('Data Saham'!AD155-'Data Saham'!AD154)/'Data Saham'!AD154</f>
        <v>-5.0505050505050509E-3</v>
      </c>
      <c r="AE155">
        <f>('Data Saham'!AE155-'Data Saham'!AE154)/'Data Saham'!AE154</f>
        <v>5.434782608695652E-3</v>
      </c>
      <c r="AF155">
        <f>('Data Saham'!AF155-'Data Saham'!AF154)/'Data Saham'!AF154</f>
        <v>-5.5555555555555558E-3</v>
      </c>
    </row>
    <row r="156" spans="1:32" x14ac:dyDescent="0.3">
      <c r="A156" s="3" t="s">
        <v>96</v>
      </c>
      <c r="B156">
        <f>('Data Saham'!B156-'Data Saham'!B155)/'Data Saham'!B155</f>
        <v>9.0934591103263279E-3</v>
      </c>
      <c r="C156">
        <f>('Data Saham'!C156-'Data Saham'!C155)/'Data Saham'!C155</f>
        <v>3.9274924471299093E-2</v>
      </c>
      <c r="D156">
        <f>('Data Saham'!D156-'Data Saham'!D155)/'Data Saham'!D155</f>
        <v>1.038961038961039E-2</v>
      </c>
      <c r="E156">
        <f>('Data Saham'!E156-'Data Saham'!E155)/'Data Saham'!E155</f>
        <v>3.1042128603104215E-2</v>
      </c>
      <c r="F156">
        <f>('Data Saham'!F156-'Data Saham'!F155)/'Data Saham'!F155</f>
        <v>1.6018306636155607E-2</v>
      </c>
      <c r="G156">
        <f>('Data Saham'!G156-'Data Saham'!G155)/'Data Saham'!G155</f>
        <v>-3.2352941176470591E-2</v>
      </c>
      <c r="H156">
        <f>('Data Saham'!H156-'Data Saham'!H155)/'Data Saham'!H155</f>
        <v>2.3715415019762844E-2</v>
      </c>
      <c r="I156">
        <f>('Data Saham'!I156-'Data Saham'!I155)/'Data Saham'!I155</f>
        <v>-8.5470085470085479E-3</v>
      </c>
      <c r="J156">
        <f>('Data Saham'!J156-'Data Saham'!J155)/'Data Saham'!J155</f>
        <v>-0.01</v>
      </c>
      <c r="K156">
        <f>('Data Saham'!K156-'Data Saham'!K155)/'Data Saham'!K155</f>
        <v>8.4033613445378158E-2</v>
      </c>
      <c r="L156">
        <f>('Data Saham'!L156-'Data Saham'!L155)/'Data Saham'!L155</f>
        <v>7.6754385964912276E-3</v>
      </c>
      <c r="M156">
        <f>('Data Saham'!M156-'Data Saham'!M155)/'Data Saham'!M155</f>
        <v>3.2258064516129031E-2</v>
      </c>
      <c r="N156">
        <f>('Data Saham'!N156-'Data Saham'!N155)/'Data Saham'!N155</f>
        <v>0.13364055299539171</v>
      </c>
      <c r="O156">
        <f>('Data Saham'!O156-'Data Saham'!O155)/'Data Saham'!O155</f>
        <v>1.466275659824047E-2</v>
      </c>
      <c r="P156">
        <f>('Data Saham'!P156-'Data Saham'!P155)/'Data Saham'!P155</f>
        <v>9.5238095238095247E-3</v>
      </c>
      <c r="Q156">
        <f>('Data Saham'!Q156-'Data Saham'!Q155)/'Data Saham'!Q155</f>
        <v>4.9382716049382713E-2</v>
      </c>
      <c r="R156">
        <f>('Data Saham'!R156-'Data Saham'!R155)/'Data Saham'!R155</f>
        <v>-3.7593984962406013E-3</v>
      </c>
      <c r="S156">
        <f>('Data Saham'!S156-'Data Saham'!S155)/'Data Saham'!S155</f>
        <v>-4.9261083743842365E-3</v>
      </c>
      <c r="T156">
        <f>('Data Saham'!T156-'Data Saham'!T155)/'Data Saham'!T155</f>
        <v>1.1194029850746268E-2</v>
      </c>
      <c r="U156">
        <f>('Data Saham'!U156-'Data Saham'!U155)/'Data Saham'!U155</f>
        <v>0</v>
      </c>
      <c r="V156">
        <f>('Data Saham'!V156-'Data Saham'!V155)/'Data Saham'!V155</f>
        <v>0</v>
      </c>
      <c r="W156">
        <f>('Data Saham'!W156-'Data Saham'!W155)/'Data Saham'!W155</f>
        <v>4.0935672514619881E-2</v>
      </c>
      <c r="X156">
        <f>('Data Saham'!X156-'Data Saham'!X155)/'Data Saham'!X155</f>
        <v>8.2644628099173556E-3</v>
      </c>
      <c r="Y156">
        <f>('Data Saham'!Y156-'Data Saham'!Y155)/'Data Saham'!Y155</f>
        <v>-3.3653846153846152E-2</v>
      </c>
      <c r="Z156">
        <f>('Data Saham'!Z156-'Data Saham'!Z155)/'Data Saham'!Z155</f>
        <v>2.2222222222222223E-2</v>
      </c>
      <c r="AA156">
        <f>('Data Saham'!AA156-'Data Saham'!AA155)/'Data Saham'!AA155</f>
        <v>1.1764705882352941E-2</v>
      </c>
      <c r="AB156">
        <f>('Data Saham'!AB156-'Data Saham'!AB155)/'Data Saham'!AB155</f>
        <v>1.8181818181818181E-2</v>
      </c>
      <c r="AC156">
        <f>('Data Saham'!AC156-'Data Saham'!AC155)/'Data Saham'!AC155</f>
        <v>-5.9171597633136093E-3</v>
      </c>
      <c r="AD156">
        <f>('Data Saham'!AD156-'Data Saham'!AD155)/'Data Saham'!AD155</f>
        <v>2.030456852791878E-2</v>
      </c>
      <c r="AE156">
        <f>('Data Saham'!AE156-'Data Saham'!AE155)/'Data Saham'!AE155</f>
        <v>0</v>
      </c>
      <c r="AF156">
        <f>('Data Saham'!AF156-'Data Saham'!AF155)/'Data Saham'!AF155</f>
        <v>5.5865921787709499E-3</v>
      </c>
    </row>
    <row r="157" spans="1:32" x14ac:dyDescent="0.3">
      <c r="A157" s="4" t="s">
        <v>97</v>
      </c>
      <c r="B157">
        <f>('Data Saham'!B157-'Data Saham'!B156)/'Data Saham'!B156</f>
        <v>2.184609280670879E-3</v>
      </c>
      <c r="C157">
        <f>('Data Saham'!C157-'Data Saham'!C156)/'Data Saham'!C156</f>
        <v>-8.7209302325581394E-3</v>
      </c>
      <c r="D157">
        <f>('Data Saham'!D157-'Data Saham'!D156)/'Data Saham'!D156</f>
        <v>5.1413881748071976E-3</v>
      </c>
      <c r="E157">
        <f>('Data Saham'!E157-'Data Saham'!E156)/'Data Saham'!E156</f>
        <v>3.2258064516129031E-2</v>
      </c>
      <c r="F157">
        <f>('Data Saham'!F157-'Data Saham'!F156)/'Data Saham'!F156</f>
        <v>-6.7567567567567571E-3</v>
      </c>
      <c r="G157">
        <f>('Data Saham'!G157-'Data Saham'!G156)/'Data Saham'!G156</f>
        <v>-1.2158054711246201E-2</v>
      </c>
      <c r="H157">
        <f>('Data Saham'!H157-'Data Saham'!H156)/'Data Saham'!H156</f>
        <v>-3.0888030888030889E-2</v>
      </c>
      <c r="I157">
        <f>('Data Saham'!I157-'Data Saham'!I156)/'Data Saham'!I156</f>
        <v>1.1494252873563218E-2</v>
      </c>
      <c r="J157">
        <f>('Data Saham'!J157-'Data Saham'!J156)/'Data Saham'!J156</f>
        <v>-3.3670033670033669E-3</v>
      </c>
      <c r="K157">
        <f>('Data Saham'!K157-'Data Saham'!K156)/'Data Saham'!K156</f>
        <v>2.3255813953488372E-2</v>
      </c>
      <c r="L157">
        <f>('Data Saham'!L157-'Data Saham'!L156)/'Data Saham'!L156</f>
        <v>2.2850924918389554E-2</v>
      </c>
      <c r="M157">
        <f>('Data Saham'!M157-'Data Saham'!M156)/'Data Saham'!M156</f>
        <v>-2.5000000000000001E-2</v>
      </c>
      <c r="N157">
        <f>('Data Saham'!N157-'Data Saham'!N156)/'Data Saham'!N156</f>
        <v>1.6260162601626018E-2</v>
      </c>
      <c r="O157">
        <f>('Data Saham'!O157-'Data Saham'!O156)/'Data Saham'!O156</f>
        <v>1.4450867052023121E-2</v>
      </c>
      <c r="P157">
        <f>('Data Saham'!P157-'Data Saham'!P156)/'Data Saham'!P156</f>
        <v>3.7735849056603772E-2</v>
      </c>
      <c r="Q157">
        <f>('Data Saham'!Q157-'Data Saham'!Q156)/'Data Saham'!Q156</f>
        <v>3.1372549019607843E-2</v>
      </c>
      <c r="R157">
        <f>('Data Saham'!R157-'Data Saham'!R156)/'Data Saham'!R156</f>
        <v>-7.5471698113207548E-3</v>
      </c>
      <c r="S157">
        <f>('Data Saham'!S157-'Data Saham'!S156)/'Data Saham'!S156</f>
        <v>-5.1485148514851482E-2</v>
      </c>
      <c r="T157">
        <f>('Data Saham'!T157-'Data Saham'!T156)/'Data Saham'!T156</f>
        <v>-0.10332103321033211</v>
      </c>
      <c r="U157">
        <f>('Data Saham'!U157-'Data Saham'!U156)/'Data Saham'!U156</f>
        <v>3.6900369003690036E-3</v>
      </c>
      <c r="V157">
        <f>('Data Saham'!V157-'Data Saham'!V156)/'Data Saham'!V156</f>
        <v>1.2669683257918552E-2</v>
      </c>
      <c r="W157">
        <f>('Data Saham'!W157-'Data Saham'!W156)/'Data Saham'!W156</f>
        <v>-5.6179775280898875E-3</v>
      </c>
      <c r="X157">
        <f>('Data Saham'!X157-'Data Saham'!X156)/'Data Saham'!X156</f>
        <v>-1.2295081967213115E-2</v>
      </c>
      <c r="Y157">
        <f>('Data Saham'!Y157-'Data Saham'!Y156)/'Data Saham'!Y156</f>
        <v>1.4925373134328358E-2</v>
      </c>
      <c r="Z157">
        <f>('Data Saham'!Z157-'Data Saham'!Z156)/'Data Saham'!Z156</f>
        <v>-8.6956521739130436E-3</v>
      </c>
      <c r="AA157">
        <f>('Data Saham'!AA157-'Data Saham'!AA156)/'Data Saham'!AA156</f>
        <v>2.3255813953488372E-2</v>
      </c>
      <c r="AB157">
        <f>('Data Saham'!AB157-'Data Saham'!AB156)/'Data Saham'!AB156</f>
        <v>7.1428571428571425E-2</v>
      </c>
      <c r="AC157">
        <f>('Data Saham'!AC157-'Data Saham'!AC156)/'Data Saham'!AC156</f>
        <v>0</v>
      </c>
      <c r="AD157">
        <f>('Data Saham'!AD157-'Data Saham'!AD156)/'Data Saham'!AD156</f>
        <v>-1.9900497512437811E-2</v>
      </c>
      <c r="AE157">
        <f>('Data Saham'!AE157-'Data Saham'!AE156)/'Data Saham'!AE156</f>
        <v>5.4054054054054057E-3</v>
      </c>
      <c r="AF157">
        <f>('Data Saham'!AF157-'Data Saham'!AF156)/'Data Saham'!AF156</f>
        <v>1.1111111111111112E-2</v>
      </c>
    </row>
    <row r="158" spans="1:32" x14ac:dyDescent="0.3">
      <c r="A158" s="3" t="s">
        <v>98</v>
      </c>
      <c r="B158">
        <f>('Data Saham'!B158-'Data Saham'!B157)/'Data Saham'!B157</f>
        <v>-2.4657688237867625E-3</v>
      </c>
      <c r="C158">
        <f>('Data Saham'!C158-'Data Saham'!C157)/'Data Saham'!C157</f>
        <v>0</v>
      </c>
      <c r="D158">
        <f>('Data Saham'!D158-'Data Saham'!D157)/'Data Saham'!D157</f>
        <v>1.7902813299232736E-2</v>
      </c>
      <c r="E158">
        <f>('Data Saham'!E158-'Data Saham'!E157)/'Data Saham'!E157</f>
        <v>-1.6666666666666666E-2</v>
      </c>
      <c r="F158">
        <f>('Data Saham'!F158-'Data Saham'!F157)/'Data Saham'!F157</f>
        <v>-6.8027210884353739E-3</v>
      </c>
      <c r="G158">
        <f>('Data Saham'!G158-'Data Saham'!G157)/'Data Saham'!G157</f>
        <v>-1.2307692307692308E-2</v>
      </c>
      <c r="H158">
        <f>('Data Saham'!H158-'Data Saham'!H157)/'Data Saham'!H157</f>
        <v>-1.9920318725099601E-2</v>
      </c>
      <c r="I158">
        <f>('Data Saham'!I158-'Data Saham'!I157)/'Data Saham'!I157</f>
        <v>-1.1363636363636364E-2</v>
      </c>
      <c r="J158">
        <f>('Data Saham'!J158-'Data Saham'!J157)/'Data Saham'!J157</f>
        <v>0</v>
      </c>
      <c r="K158">
        <f>('Data Saham'!K158-'Data Saham'!K157)/'Data Saham'!K157</f>
        <v>-4.7979797979797977E-2</v>
      </c>
      <c r="L158">
        <f>('Data Saham'!L158-'Data Saham'!L157)/'Data Saham'!L157</f>
        <v>0</v>
      </c>
      <c r="M158">
        <f>('Data Saham'!M158-'Data Saham'!M157)/'Data Saham'!M157</f>
        <v>-6.41025641025641E-3</v>
      </c>
      <c r="N158">
        <f>('Data Saham'!N158-'Data Saham'!N157)/'Data Saham'!N157</f>
        <v>-2.4E-2</v>
      </c>
      <c r="O158">
        <f>('Data Saham'!O158-'Data Saham'!O157)/'Data Saham'!O157</f>
        <v>-8.5470085470085479E-3</v>
      </c>
      <c r="P158">
        <f>('Data Saham'!P158-'Data Saham'!P157)/'Data Saham'!P157</f>
        <v>-9.0909090909090905E-3</v>
      </c>
      <c r="Q158">
        <f>('Data Saham'!Q158-'Data Saham'!Q157)/'Data Saham'!Q157</f>
        <v>-7.6045627376425855E-3</v>
      </c>
      <c r="R158">
        <f>('Data Saham'!R158-'Data Saham'!R157)/'Data Saham'!R157</f>
        <v>-3.0418250950570342E-2</v>
      </c>
      <c r="S158">
        <f>('Data Saham'!S158-'Data Saham'!S157)/'Data Saham'!S157</f>
        <v>-2.5052192066805846E-2</v>
      </c>
      <c r="T158">
        <f>('Data Saham'!T158-'Data Saham'!T157)/'Data Saham'!T157</f>
        <v>3.292181069958848E-2</v>
      </c>
      <c r="U158">
        <f>('Data Saham'!U158-'Data Saham'!U157)/'Data Saham'!U157</f>
        <v>1.4705882352941176E-2</v>
      </c>
      <c r="V158">
        <f>('Data Saham'!V158-'Data Saham'!V157)/'Data Saham'!V157</f>
        <v>-3.8427167113494191E-2</v>
      </c>
      <c r="W158">
        <f>('Data Saham'!W158-'Data Saham'!W157)/'Data Saham'!W157</f>
        <v>-2.5423728813559324E-2</v>
      </c>
      <c r="X158">
        <f>('Data Saham'!X158-'Data Saham'!X157)/'Data Saham'!X157</f>
        <v>1.2448132780082987E-2</v>
      </c>
      <c r="Y158">
        <f>('Data Saham'!Y158-'Data Saham'!Y157)/'Data Saham'!Y157</f>
        <v>-1.4705882352941176E-2</v>
      </c>
      <c r="Z158">
        <f>('Data Saham'!Z158-'Data Saham'!Z157)/'Data Saham'!Z157</f>
        <v>-2.6315789473684209E-2</v>
      </c>
      <c r="AA158">
        <f>('Data Saham'!AA158-'Data Saham'!AA157)/'Data Saham'!AA157</f>
        <v>-2.2727272727272728E-2</v>
      </c>
      <c r="AB158">
        <f>('Data Saham'!AB158-'Data Saham'!AB157)/'Data Saham'!AB157</f>
        <v>0</v>
      </c>
      <c r="AC158">
        <f>('Data Saham'!AC158-'Data Saham'!AC157)/'Data Saham'!AC157</f>
        <v>0</v>
      </c>
      <c r="AD158">
        <f>('Data Saham'!AD158-'Data Saham'!AD157)/'Data Saham'!AD157</f>
        <v>-5.076142131979695E-3</v>
      </c>
      <c r="AE158">
        <f>('Data Saham'!AE158-'Data Saham'!AE157)/'Data Saham'!AE157</f>
        <v>-1.0752688172043012E-2</v>
      </c>
      <c r="AF158">
        <f>('Data Saham'!AF158-'Data Saham'!AF157)/'Data Saham'!AF157</f>
        <v>-2.7472527472527472E-2</v>
      </c>
    </row>
    <row r="159" spans="1:32" x14ac:dyDescent="0.3">
      <c r="A159" s="2">
        <v>45727</v>
      </c>
      <c r="B159">
        <f>('Data Saham'!B159-'Data Saham'!B158)/'Data Saham'!B158</f>
        <v>1.3620974340632128E-2</v>
      </c>
      <c r="C159">
        <f>('Data Saham'!C159-'Data Saham'!C158)/'Data Saham'!C158</f>
        <v>1.466275659824047E-2</v>
      </c>
      <c r="D159">
        <f>('Data Saham'!D159-'Data Saham'!D158)/'Data Saham'!D158</f>
        <v>1.507537688442211E-2</v>
      </c>
      <c r="E159">
        <f>('Data Saham'!E159-'Data Saham'!E158)/'Data Saham'!E158</f>
        <v>8.4745762711864406E-3</v>
      </c>
      <c r="F159">
        <f>('Data Saham'!F159-'Data Saham'!F158)/'Data Saham'!F158</f>
        <v>1.1415525114155251E-2</v>
      </c>
      <c r="G159">
        <f>('Data Saham'!G159-'Data Saham'!G158)/'Data Saham'!G158</f>
        <v>4.3613707165109032E-2</v>
      </c>
      <c r="H159">
        <f>('Data Saham'!H159-'Data Saham'!H158)/'Data Saham'!H158</f>
        <v>3.2520325203252036E-2</v>
      </c>
      <c r="I159">
        <f>('Data Saham'!I159-'Data Saham'!I158)/'Data Saham'!I158</f>
        <v>-2.2988505747126436E-2</v>
      </c>
      <c r="J159">
        <f>('Data Saham'!J159-'Data Saham'!J158)/'Data Saham'!J158</f>
        <v>-2.7027027027027029E-2</v>
      </c>
      <c r="K159">
        <f>('Data Saham'!K159-'Data Saham'!K158)/'Data Saham'!K158</f>
        <v>2.9177718832891247E-2</v>
      </c>
      <c r="L159">
        <f>('Data Saham'!L159-'Data Saham'!L158)/'Data Saham'!L158</f>
        <v>-2.021276595744681E-2</v>
      </c>
      <c r="M159">
        <f>('Data Saham'!M159-'Data Saham'!M158)/'Data Saham'!M158</f>
        <v>3.2258064516129032E-3</v>
      </c>
      <c r="N159">
        <f>('Data Saham'!N159-'Data Saham'!N158)/'Data Saham'!N158</f>
        <v>-8.1967213114754103E-3</v>
      </c>
      <c r="O159">
        <f>('Data Saham'!O159-'Data Saham'!O158)/'Data Saham'!O158</f>
        <v>8.6206896551724137E-3</v>
      </c>
      <c r="P159">
        <f>('Data Saham'!P159-'Data Saham'!P158)/'Data Saham'!P158</f>
        <v>9.1743119266055051E-3</v>
      </c>
      <c r="Q159">
        <f>('Data Saham'!Q159-'Data Saham'!Q158)/'Data Saham'!Q158</f>
        <v>3.0651340996168581E-2</v>
      </c>
      <c r="R159">
        <f>('Data Saham'!R159-'Data Saham'!R158)/'Data Saham'!R158</f>
        <v>-1.9607843137254902E-2</v>
      </c>
      <c r="S159">
        <f>('Data Saham'!S159-'Data Saham'!S158)/'Data Saham'!S158</f>
        <v>2.1413276231263382E-2</v>
      </c>
      <c r="T159">
        <f>('Data Saham'!T159-'Data Saham'!T158)/'Data Saham'!T158</f>
        <v>-2.3904382470119521E-2</v>
      </c>
      <c r="U159">
        <f>('Data Saham'!U159-'Data Saham'!U158)/'Data Saham'!U158</f>
        <v>1.4492753623188406E-2</v>
      </c>
      <c r="V159">
        <f>('Data Saham'!V159-'Data Saham'!V158)/'Data Saham'!V158</f>
        <v>1.3940520446096654E-2</v>
      </c>
      <c r="W159">
        <f>('Data Saham'!W159-'Data Saham'!W158)/'Data Saham'!W158</f>
        <v>6.3768115942028983E-2</v>
      </c>
      <c r="X159">
        <f>('Data Saham'!X159-'Data Saham'!X158)/'Data Saham'!X158</f>
        <v>2.4590163934426229E-2</v>
      </c>
      <c r="Y159">
        <f>('Data Saham'!Y159-'Data Saham'!Y158)/'Data Saham'!Y158</f>
        <v>-4.228855721393035E-2</v>
      </c>
      <c r="Z159">
        <f>('Data Saham'!Z159-'Data Saham'!Z158)/'Data Saham'!Z158</f>
        <v>4.5045045045045045E-3</v>
      </c>
      <c r="AA159">
        <f>('Data Saham'!AA159-'Data Saham'!AA158)/'Data Saham'!AA158</f>
        <v>1.5503875968992248E-2</v>
      </c>
      <c r="AB159">
        <f>('Data Saham'!AB159-'Data Saham'!AB158)/'Data Saham'!AB158</f>
        <v>-1.6666666666666666E-2</v>
      </c>
      <c r="AC159">
        <f>('Data Saham'!AC159-'Data Saham'!AC158)/'Data Saham'!AC158</f>
        <v>5.9523809523809521E-3</v>
      </c>
      <c r="AD159">
        <f>('Data Saham'!AD159-'Data Saham'!AD158)/'Data Saham'!AD158</f>
        <v>2.0408163265306121E-2</v>
      </c>
      <c r="AE159">
        <f>('Data Saham'!AE159-'Data Saham'!AE158)/'Data Saham'!AE158</f>
        <v>2.1739130434782608E-2</v>
      </c>
      <c r="AF159">
        <f>('Data Saham'!AF159-'Data Saham'!AF158)/'Data Saham'!AF158</f>
        <v>1.1299435028248588E-2</v>
      </c>
    </row>
    <row r="160" spans="1:32" x14ac:dyDescent="0.3">
      <c r="A160" s="1">
        <v>45758</v>
      </c>
      <c r="B160">
        <f>('Data Saham'!B160-'Data Saham'!B159)/'Data Saham'!B159</f>
        <v>-4.0084204624003727E-3</v>
      </c>
      <c r="C160">
        <f>('Data Saham'!C160-'Data Saham'!C159)/'Data Saham'!C159</f>
        <v>0</v>
      </c>
      <c r="D160">
        <f>('Data Saham'!D160-'Data Saham'!D159)/'Data Saham'!D159</f>
        <v>-1.7326732673267328E-2</v>
      </c>
      <c r="E160">
        <f>('Data Saham'!E160-'Data Saham'!E159)/'Data Saham'!E159</f>
        <v>-6.3025210084033615E-3</v>
      </c>
      <c r="F160">
        <f>('Data Saham'!F160-'Data Saham'!F159)/'Data Saham'!F159</f>
        <v>4.5146726862302479E-3</v>
      </c>
      <c r="G160">
        <f>('Data Saham'!G160-'Data Saham'!G159)/'Data Saham'!G159</f>
        <v>4.4776119402985072E-2</v>
      </c>
      <c r="H160">
        <f>('Data Saham'!H160-'Data Saham'!H159)/'Data Saham'!H159</f>
        <v>-7.874015748031496E-3</v>
      </c>
      <c r="I160">
        <f>('Data Saham'!I160-'Data Saham'!I159)/'Data Saham'!I159</f>
        <v>-2.9411764705882353E-3</v>
      </c>
      <c r="J160">
        <f>('Data Saham'!J160-'Data Saham'!J159)/'Data Saham'!J159</f>
        <v>-1.7361111111111112E-2</v>
      </c>
      <c r="K160">
        <f>('Data Saham'!K160-'Data Saham'!K159)/'Data Saham'!K159</f>
        <v>-1.804123711340206E-2</v>
      </c>
      <c r="L160">
        <f>('Data Saham'!L160-'Data Saham'!L159)/'Data Saham'!L159</f>
        <v>7.6004343105320303E-3</v>
      </c>
      <c r="M160">
        <f>('Data Saham'!M160-'Data Saham'!M159)/'Data Saham'!M159</f>
        <v>-4.8231511254019289E-2</v>
      </c>
      <c r="N160">
        <f>('Data Saham'!N160-'Data Saham'!N159)/'Data Saham'!N159</f>
        <v>0</v>
      </c>
      <c r="O160">
        <f>('Data Saham'!O160-'Data Saham'!O159)/'Data Saham'!O159</f>
        <v>-8.5470085470085479E-3</v>
      </c>
      <c r="P160">
        <f>('Data Saham'!P160-'Data Saham'!P159)/'Data Saham'!P159</f>
        <v>-1.8181818181818181E-2</v>
      </c>
      <c r="Q160">
        <f>('Data Saham'!Q160-'Data Saham'!Q159)/'Data Saham'!Q159</f>
        <v>1.4869888475836431E-2</v>
      </c>
      <c r="R160">
        <f>('Data Saham'!R160-'Data Saham'!R159)/'Data Saham'!R159</f>
        <v>-0.02</v>
      </c>
      <c r="S160">
        <f>('Data Saham'!S160-'Data Saham'!S159)/'Data Saham'!S159</f>
        <v>-8.385744234800839E-3</v>
      </c>
      <c r="T160">
        <f>('Data Saham'!T160-'Data Saham'!T159)/'Data Saham'!T159</f>
        <v>-8.1632653061224497E-3</v>
      </c>
      <c r="U160">
        <f>('Data Saham'!U160-'Data Saham'!U159)/'Data Saham'!U159</f>
        <v>-1.0714285714285714E-2</v>
      </c>
      <c r="V160">
        <f>('Data Saham'!V160-'Data Saham'!V159)/'Data Saham'!V159</f>
        <v>-2.7497708524289641E-3</v>
      </c>
      <c r="W160">
        <f>('Data Saham'!W160-'Data Saham'!W159)/'Data Saham'!W159</f>
        <v>-4.632152588555858E-2</v>
      </c>
      <c r="X160">
        <f>('Data Saham'!X160-'Data Saham'!X159)/'Data Saham'!X159</f>
        <v>1.6E-2</v>
      </c>
      <c r="Y160">
        <f>('Data Saham'!Y160-'Data Saham'!Y159)/'Data Saham'!Y159</f>
        <v>-1.2987012987012988E-2</v>
      </c>
      <c r="Z160">
        <f>('Data Saham'!Z160-'Data Saham'!Z159)/'Data Saham'!Z159</f>
        <v>-1.3452914798206279E-2</v>
      </c>
      <c r="AA160">
        <f>('Data Saham'!AA160-'Data Saham'!AA159)/'Data Saham'!AA159</f>
        <v>7.6335877862595417E-3</v>
      </c>
      <c r="AB160">
        <f>('Data Saham'!AB160-'Data Saham'!AB159)/'Data Saham'!AB159</f>
        <v>-3.3898305084745763E-2</v>
      </c>
      <c r="AC160">
        <f>('Data Saham'!AC160-'Data Saham'!AC159)/'Data Saham'!AC159</f>
        <v>-1.1834319526627219E-2</v>
      </c>
      <c r="AD160">
        <f>('Data Saham'!AD160-'Data Saham'!AD159)/'Data Saham'!AD159</f>
        <v>-5.0000000000000001E-3</v>
      </c>
      <c r="AE160">
        <f>('Data Saham'!AE160-'Data Saham'!AE159)/'Data Saham'!AE159</f>
        <v>-1.5957446808510637E-2</v>
      </c>
      <c r="AF160">
        <f>('Data Saham'!AF160-'Data Saham'!AF159)/'Data Saham'!AF159</f>
        <v>-5.5865921787709499E-3</v>
      </c>
    </row>
    <row r="161" spans="1:32" x14ac:dyDescent="0.3">
      <c r="A161" s="2">
        <v>45788</v>
      </c>
      <c r="B161">
        <f>('Data Saham'!B161-'Data Saham'!B160)/'Data Saham'!B160</f>
        <v>9.2963888224939124E-3</v>
      </c>
      <c r="C161">
        <f>('Data Saham'!C161-'Data Saham'!C160)/'Data Saham'!C160</f>
        <v>5.7803468208092483E-3</v>
      </c>
      <c r="D161">
        <f>('Data Saham'!D161-'Data Saham'!D160)/'Data Saham'!D160</f>
        <v>2.5188916876574307E-3</v>
      </c>
      <c r="E161">
        <f>('Data Saham'!E161-'Data Saham'!E160)/'Data Saham'!E160</f>
        <v>8.4566596194503175E-3</v>
      </c>
      <c r="F161">
        <f>('Data Saham'!F161-'Data Saham'!F160)/'Data Saham'!F160</f>
        <v>2.2471910112359553E-3</v>
      </c>
      <c r="G161">
        <f>('Data Saham'!G161-'Data Saham'!G160)/'Data Saham'!G160</f>
        <v>1.1428571428571429E-2</v>
      </c>
      <c r="H161">
        <f>('Data Saham'!H161-'Data Saham'!H160)/'Data Saham'!H160</f>
        <v>-7.9365079365079361E-3</v>
      </c>
      <c r="I161">
        <f>('Data Saham'!I161-'Data Saham'!I160)/'Data Saham'!I160</f>
        <v>2.6548672566371681E-2</v>
      </c>
      <c r="J161">
        <f>('Data Saham'!J161-'Data Saham'!J160)/'Data Saham'!J160</f>
        <v>7.0671378091872791E-3</v>
      </c>
      <c r="K161">
        <f>('Data Saham'!K161-'Data Saham'!K160)/'Data Saham'!K160</f>
        <v>-7.874015748031496E-3</v>
      </c>
      <c r="L161">
        <f>('Data Saham'!L161-'Data Saham'!L160)/'Data Saham'!L160</f>
        <v>1.7241379310344827E-2</v>
      </c>
      <c r="M161">
        <f>('Data Saham'!M161-'Data Saham'!M160)/'Data Saham'!M160</f>
        <v>6.7567567567567571E-3</v>
      </c>
      <c r="N161">
        <f>('Data Saham'!N161-'Data Saham'!N160)/'Data Saham'!N160</f>
        <v>4.1322314049586778E-3</v>
      </c>
      <c r="O161">
        <f>('Data Saham'!O161-'Data Saham'!O160)/'Data Saham'!O160</f>
        <v>-2.0114942528735632E-2</v>
      </c>
      <c r="P161">
        <f>('Data Saham'!P161-'Data Saham'!P160)/'Data Saham'!P160</f>
        <v>0</v>
      </c>
      <c r="Q161">
        <f>('Data Saham'!Q161-'Data Saham'!Q160)/'Data Saham'!Q160</f>
        <v>-1.098901098901099E-2</v>
      </c>
      <c r="R161">
        <f>('Data Saham'!R161-'Data Saham'!R160)/'Data Saham'!R160</f>
        <v>7.7551020408163265E-2</v>
      </c>
      <c r="S161">
        <f>('Data Saham'!S161-'Data Saham'!S160)/'Data Saham'!S160</f>
        <v>1.6913319238900635E-2</v>
      </c>
      <c r="T161">
        <f>('Data Saham'!T161-'Data Saham'!T160)/'Data Saham'!T160</f>
        <v>4.11522633744856E-3</v>
      </c>
      <c r="U161">
        <f>('Data Saham'!U161-'Data Saham'!U160)/'Data Saham'!U160</f>
        <v>1.0830324909747292E-2</v>
      </c>
      <c r="V161">
        <f>('Data Saham'!V161-'Data Saham'!V160)/'Data Saham'!V160</f>
        <v>-7.3529411764705881E-3</v>
      </c>
      <c r="W161">
        <f>('Data Saham'!W161-'Data Saham'!W160)/'Data Saham'!W160</f>
        <v>1.7142857142857144E-2</v>
      </c>
      <c r="X161">
        <f>('Data Saham'!X161-'Data Saham'!X160)/'Data Saham'!X160</f>
        <v>-2.7559055118110236E-2</v>
      </c>
      <c r="Y161">
        <f>('Data Saham'!Y161-'Data Saham'!Y160)/'Data Saham'!Y160</f>
        <v>1.8421052631578946E-2</v>
      </c>
      <c r="Z161">
        <f>('Data Saham'!Z161-'Data Saham'!Z160)/'Data Saham'!Z160</f>
        <v>0</v>
      </c>
      <c r="AA161">
        <f>('Data Saham'!AA161-'Data Saham'!AA160)/'Data Saham'!AA160</f>
        <v>6.8181818181818177E-2</v>
      </c>
      <c r="AB161">
        <f>('Data Saham'!AB161-'Data Saham'!AB160)/'Data Saham'!AB160</f>
        <v>8.771929824561403E-2</v>
      </c>
      <c r="AC161">
        <f>('Data Saham'!AC161-'Data Saham'!AC160)/'Data Saham'!AC160</f>
        <v>-1.7964071856287425E-2</v>
      </c>
      <c r="AD161">
        <f>('Data Saham'!AD161-'Data Saham'!AD160)/'Data Saham'!AD160</f>
        <v>-1.0050251256281407E-2</v>
      </c>
      <c r="AE161">
        <f>('Data Saham'!AE161-'Data Saham'!AE160)/'Data Saham'!AE160</f>
        <v>5.4054054054054057E-3</v>
      </c>
      <c r="AF161">
        <f>('Data Saham'!AF161-'Data Saham'!AF160)/'Data Saham'!AF160</f>
        <v>1.1235955056179775E-2</v>
      </c>
    </row>
    <row r="162" spans="1:32" x14ac:dyDescent="0.3">
      <c r="A162" s="1">
        <v>45819</v>
      </c>
      <c r="B162">
        <f>('Data Saham'!B162-'Data Saham'!B161)/'Data Saham'!B161</f>
        <v>2.2275570323120591E-3</v>
      </c>
      <c r="C162">
        <f>('Data Saham'!C162-'Data Saham'!C161)/'Data Saham'!C161</f>
        <v>-1.7241379310344827E-2</v>
      </c>
      <c r="D162">
        <f>('Data Saham'!D162-'Data Saham'!D161)/'Data Saham'!D161</f>
        <v>5.0251256281407036E-3</v>
      </c>
      <c r="E162">
        <f>('Data Saham'!E162-'Data Saham'!E161)/'Data Saham'!E161</f>
        <v>-4.1928721174004195E-3</v>
      </c>
      <c r="F162">
        <f>('Data Saham'!F162-'Data Saham'!F161)/'Data Saham'!F161</f>
        <v>-4.4843049327354259E-3</v>
      </c>
      <c r="G162">
        <f>('Data Saham'!G162-'Data Saham'!G161)/'Data Saham'!G161</f>
        <v>-1.6949152542372881E-2</v>
      </c>
      <c r="H162">
        <f>('Data Saham'!H162-'Data Saham'!H161)/'Data Saham'!H161</f>
        <v>1.2E-2</v>
      </c>
      <c r="I162">
        <f>('Data Saham'!I162-'Data Saham'!I161)/'Data Saham'!I161</f>
        <v>-1.4367816091954023E-2</v>
      </c>
      <c r="J162">
        <f>('Data Saham'!J162-'Data Saham'!J161)/'Data Saham'!J161</f>
        <v>-1.4035087719298246E-2</v>
      </c>
      <c r="K162">
        <f>('Data Saham'!K162-'Data Saham'!K161)/'Data Saham'!K161</f>
        <v>1.5873015873015872E-2</v>
      </c>
      <c r="L162">
        <f>('Data Saham'!L162-'Data Saham'!L161)/'Data Saham'!L161</f>
        <v>-8.4745762711864406E-3</v>
      </c>
      <c r="M162">
        <f>('Data Saham'!M162-'Data Saham'!M161)/'Data Saham'!M161</f>
        <v>-1.6778523489932886E-2</v>
      </c>
      <c r="N162">
        <f>('Data Saham'!N162-'Data Saham'!N161)/'Data Saham'!N161</f>
        <v>0</v>
      </c>
      <c r="O162">
        <f>('Data Saham'!O162-'Data Saham'!O161)/'Data Saham'!O161</f>
        <v>1.1730205278592375E-2</v>
      </c>
      <c r="P162">
        <f>('Data Saham'!P162-'Data Saham'!P161)/'Data Saham'!P161</f>
        <v>-9.2592592592592587E-3</v>
      </c>
      <c r="Q162">
        <f>('Data Saham'!Q162-'Data Saham'!Q161)/'Data Saham'!Q161</f>
        <v>1.4814814814814815E-2</v>
      </c>
      <c r="R162">
        <f>('Data Saham'!R162-'Data Saham'!R161)/'Data Saham'!R161</f>
        <v>-5.3030303030303032E-2</v>
      </c>
      <c r="S162">
        <f>('Data Saham'!S162-'Data Saham'!S161)/'Data Saham'!S161</f>
        <v>-1.0395010395010396E-2</v>
      </c>
      <c r="T162">
        <f>('Data Saham'!T162-'Data Saham'!T161)/'Data Saham'!T161</f>
        <v>-8.1967213114754103E-3</v>
      </c>
      <c r="U162">
        <f>('Data Saham'!U162-'Data Saham'!U161)/'Data Saham'!U161</f>
        <v>3.214285714285714E-2</v>
      </c>
      <c r="V162">
        <f>('Data Saham'!V162-'Data Saham'!V161)/'Data Saham'!V161</f>
        <v>1.3888888888888888E-2</v>
      </c>
      <c r="W162">
        <f>('Data Saham'!W162-'Data Saham'!W161)/'Data Saham'!W161</f>
        <v>2.8089887640449437E-3</v>
      </c>
      <c r="X162">
        <f>('Data Saham'!X162-'Data Saham'!X161)/'Data Saham'!X161</f>
        <v>8.0971659919028341E-3</v>
      </c>
      <c r="Y162">
        <f>('Data Saham'!Y162-'Data Saham'!Y161)/'Data Saham'!Y161</f>
        <v>-1.8087855297157621E-2</v>
      </c>
      <c r="Z162">
        <f>('Data Saham'!Z162-'Data Saham'!Z161)/'Data Saham'!Z161</f>
        <v>1.3636363636363636E-2</v>
      </c>
      <c r="AA162">
        <f>('Data Saham'!AA162-'Data Saham'!AA161)/'Data Saham'!AA161</f>
        <v>2.1276595744680851E-2</v>
      </c>
      <c r="AB162">
        <f>('Data Saham'!AB162-'Data Saham'!AB161)/'Data Saham'!AB161</f>
        <v>-1.6129032258064516E-2</v>
      </c>
      <c r="AC162">
        <f>('Data Saham'!AC162-'Data Saham'!AC161)/'Data Saham'!AC161</f>
        <v>6.0975609756097563E-3</v>
      </c>
      <c r="AD162">
        <f>('Data Saham'!AD162-'Data Saham'!AD161)/'Data Saham'!AD161</f>
        <v>5.076142131979695E-3</v>
      </c>
      <c r="AE162">
        <f>('Data Saham'!AE162-'Data Saham'!AE161)/'Data Saham'!AE161</f>
        <v>-1.0752688172043012E-2</v>
      </c>
      <c r="AF162">
        <f>('Data Saham'!AF162-'Data Saham'!AF161)/'Data Saham'!AF161</f>
        <v>-5.5555555555555558E-3</v>
      </c>
    </row>
    <row r="163" spans="1:32" x14ac:dyDescent="0.3">
      <c r="A163" s="2">
        <v>45849</v>
      </c>
      <c r="B163">
        <f>('Data Saham'!B163-'Data Saham'!B162)/'Data Saham'!B162</f>
        <v>6.9005140900989864E-3</v>
      </c>
      <c r="C163">
        <f>('Data Saham'!C163-'Data Saham'!C162)/'Data Saham'!C162</f>
        <v>1.4619883040935672E-2</v>
      </c>
      <c r="D163">
        <f>('Data Saham'!D163-'Data Saham'!D162)/'Data Saham'!D162</f>
        <v>-5.0000000000000001E-3</v>
      </c>
      <c r="E163">
        <f>('Data Saham'!E163-'Data Saham'!E162)/'Data Saham'!E162</f>
        <v>0</v>
      </c>
      <c r="F163">
        <f>('Data Saham'!F163-'Data Saham'!F162)/'Data Saham'!F162</f>
        <v>1.3513513513513514E-2</v>
      </c>
      <c r="G163">
        <f>('Data Saham'!G163-'Data Saham'!G162)/'Data Saham'!G162</f>
        <v>-2.8735632183908046E-3</v>
      </c>
      <c r="H163">
        <f>('Data Saham'!H163-'Data Saham'!H162)/'Data Saham'!H162</f>
        <v>1.5810276679841896E-2</v>
      </c>
      <c r="I163">
        <f>('Data Saham'!I163-'Data Saham'!I162)/'Data Saham'!I162</f>
        <v>2.9154518950437317E-3</v>
      </c>
      <c r="J163">
        <f>('Data Saham'!J163-'Data Saham'!J162)/'Data Saham'!J162</f>
        <v>1.4234875444839857E-2</v>
      </c>
      <c r="K163">
        <f>('Data Saham'!K163-'Data Saham'!K162)/'Data Saham'!K162</f>
        <v>1.3020833333333334E-2</v>
      </c>
      <c r="L163">
        <f>('Data Saham'!L163-'Data Saham'!L162)/'Data Saham'!L162</f>
        <v>0</v>
      </c>
      <c r="M163">
        <f>('Data Saham'!M163-'Data Saham'!M162)/'Data Saham'!M162</f>
        <v>-1.0238907849829351E-2</v>
      </c>
      <c r="N163">
        <f>('Data Saham'!N163-'Data Saham'!N162)/'Data Saham'!N162</f>
        <v>-4.11522633744856E-3</v>
      </c>
      <c r="O163">
        <f>('Data Saham'!O163-'Data Saham'!O162)/'Data Saham'!O162</f>
        <v>2.0289855072463767E-2</v>
      </c>
      <c r="P163">
        <f>('Data Saham'!P163-'Data Saham'!P162)/'Data Saham'!P162</f>
        <v>9.3457943925233638E-3</v>
      </c>
      <c r="Q163">
        <f>('Data Saham'!Q163-'Data Saham'!Q162)/'Data Saham'!Q162</f>
        <v>0</v>
      </c>
      <c r="R163">
        <f>('Data Saham'!R163-'Data Saham'!R162)/'Data Saham'!R162</f>
        <v>1.2E-2</v>
      </c>
      <c r="S163">
        <f>('Data Saham'!S163-'Data Saham'!S162)/'Data Saham'!S162</f>
        <v>-2.9411764705882353E-2</v>
      </c>
      <c r="T163">
        <f>('Data Saham'!T163-'Data Saham'!T162)/'Data Saham'!T162</f>
        <v>-4.9586776859504134E-2</v>
      </c>
      <c r="U163">
        <f>('Data Saham'!U163-'Data Saham'!U162)/'Data Saham'!U162</f>
        <v>-3.4602076124567475E-3</v>
      </c>
      <c r="V163">
        <f>('Data Saham'!V163-'Data Saham'!V162)/'Data Saham'!V162</f>
        <v>4.5662100456621002E-3</v>
      </c>
      <c r="W163">
        <f>('Data Saham'!W163-'Data Saham'!W162)/'Data Saham'!W162</f>
        <v>5.6022408963585435E-3</v>
      </c>
      <c r="X163">
        <f>('Data Saham'!X163-'Data Saham'!X162)/'Data Saham'!X162</f>
        <v>4.0160642570281121E-3</v>
      </c>
      <c r="Y163">
        <f>('Data Saham'!Y163-'Data Saham'!Y162)/'Data Saham'!Y162</f>
        <v>5.263157894736842E-3</v>
      </c>
      <c r="Z163">
        <f>('Data Saham'!Z163-'Data Saham'!Z162)/'Data Saham'!Z162</f>
        <v>2.6905829596412557E-2</v>
      </c>
      <c r="AA163">
        <f>('Data Saham'!AA163-'Data Saham'!AA162)/'Data Saham'!AA162</f>
        <v>-3.4722222222222224E-2</v>
      </c>
      <c r="AB163">
        <f>('Data Saham'!AB163-'Data Saham'!AB162)/'Data Saham'!AB162</f>
        <v>0</v>
      </c>
      <c r="AC163">
        <f>('Data Saham'!AC163-'Data Saham'!AC162)/'Data Saham'!AC162</f>
        <v>6.0606060606060606E-3</v>
      </c>
      <c r="AD163">
        <f>('Data Saham'!AD163-'Data Saham'!AD162)/'Data Saham'!AD162</f>
        <v>0</v>
      </c>
      <c r="AE163">
        <f>('Data Saham'!AE163-'Data Saham'!AE162)/'Data Saham'!AE162</f>
        <v>1.0869565217391304E-2</v>
      </c>
      <c r="AF163">
        <f>('Data Saham'!AF163-'Data Saham'!AF162)/'Data Saham'!AF162</f>
        <v>0</v>
      </c>
    </row>
    <row r="164" spans="1:32" x14ac:dyDescent="0.3">
      <c r="A164" s="1">
        <v>45941</v>
      </c>
      <c r="B164">
        <f>('Data Saham'!B164-'Data Saham'!B163)/'Data Saham'!B163</f>
        <v>-3.9906654166556841E-4</v>
      </c>
      <c r="C164">
        <f>('Data Saham'!C164-'Data Saham'!C163)/'Data Saham'!C163</f>
        <v>-1.1527377521613832E-2</v>
      </c>
      <c r="D164">
        <f>('Data Saham'!D164-'Data Saham'!D163)/'Data Saham'!D163</f>
        <v>-1.2562814070351759E-2</v>
      </c>
      <c r="E164">
        <f>('Data Saham'!E164-'Data Saham'!E163)/'Data Saham'!E163</f>
        <v>-4.2105263157894736E-3</v>
      </c>
      <c r="F164">
        <f>('Data Saham'!F164-'Data Saham'!F163)/'Data Saham'!F163</f>
        <v>-1.7777777777777778E-2</v>
      </c>
      <c r="G164">
        <f>('Data Saham'!G164-'Data Saham'!G163)/'Data Saham'!G163</f>
        <v>-8.6455331412103754E-3</v>
      </c>
      <c r="H164">
        <f>('Data Saham'!H164-'Data Saham'!H163)/'Data Saham'!H163</f>
        <v>0</v>
      </c>
      <c r="I164">
        <f>('Data Saham'!I164-'Data Saham'!I163)/'Data Saham'!I163</f>
        <v>5.8139534883720929E-3</v>
      </c>
      <c r="J164">
        <f>('Data Saham'!J164-'Data Saham'!J163)/'Data Saham'!J163</f>
        <v>-3.5087719298245615E-3</v>
      </c>
      <c r="K164">
        <f>('Data Saham'!K164-'Data Saham'!K163)/'Data Saham'!K163</f>
        <v>7.7120822622107968E-3</v>
      </c>
      <c r="L164">
        <f>('Data Saham'!L164-'Data Saham'!L163)/'Data Saham'!L163</f>
        <v>-2.136752136752137E-3</v>
      </c>
      <c r="M164">
        <f>('Data Saham'!M164-'Data Saham'!M163)/'Data Saham'!M163</f>
        <v>3.4482758620689655E-3</v>
      </c>
      <c r="N164">
        <f>('Data Saham'!N164-'Data Saham'!N163)/'Data Saham'!N163</f>
        <v>3.3057851239669422E-2</v>
      </c>
      <c r="O164">
        <f>('Data Saham'!O164-'Data Saham'!O163)/'Data Saham'!O163</f>
        <v>-1.7045454545454544E-2</v>
      </c>
      <c r="P164">
        <f>('Data Saham'!P164-'Data Saham'!P163)/'Data Saham'!P163</f>
        <v>5.5555555555555552E-2</v>
      </c>
      <c r="Q164">
        <f>('Data Saham'!Q164-'Data Saham'!Q163)/'Data Saham'!Q163</f>
        <v>3.6496350364963502E-3</v>
      </c>
      <c r="R164">
        <f>('Data Saham'!R164-'Data Saham'!R163)/'Data Saham'!R163</f>
        <v>3.952569169960474E-3</v>
      </c>
      <c r="S164">
        <f>('Data Saham'!S164-'Data Saham'!S163)/'Data Saham'!S163</f>
        <v>1.0822510822510822E-2</v>
      </c>
      <c r="T164">
        <f>('Data Saham'!T164-'Data Saham'!T163)/'Data Saham'!T163</f>
        <v>8.6956521739130436E-3</v>
      </c>
      <c r="U164">
        <f>('Data Saham'!U164-'Data Saham'!U163)/'Data Saham'!U163</f>
        <v>-4.1666666666666664E-2</v>
      </c>
      <c r="V164">
        <f>('Data Saham'!V164-'Data Saham'!V163)/'Data Saham'!V163</f>
        <v>1.3636363636363636E-2</v>
      </c>
      <c r="W164">
        <f>('Data Saham'!W164-'Data Saham'!W163)/'Data Saham'!W163</f>
        <v>0</v>
      </c>
      <c r="X164">
        <f>('Data Saham'!X164-'Data Saham'!X163)/'Data Saham'!X163</f>
        <v>-3.2000000000000001E-2</v>
      </c>
      <c r="Y164">
        <f>('Data Saham'!Y164-'Data Saham'!Y163)/'Data Saham'!Y163</f>
        <v>-1.3089005235602094E-2</v>
      </c>
      <c r="Z164">
        <f>('Data Saham'!Z164-'Data Saham'!Z163)/'Data Saham'!Z163</f>
        <v>-1.7467248908296942E-2</v>
      </c>
      <c r="AA164">
        <f>('Data Saham'!AA164-'Data Saham'!AA163)/'Data Saham'!AA163</f>
        <v>2.1582733812949641E-2</v>
      </c>
      <c r="AB164">
        <f>('Data Saham'!AB164-'Data Saham'!AB163)/'Data Saham'!AB163</f>
        <v>9.8360655737704916E-2</v>
      </c>
      <c r="AC164">
        <f>('Data Saham'!AC164-'Data Saham'!AC163)/'Data Saham'!AC163</f>
        <v>-6.024096385542169E-3</v>
      </c>
      <c r="AD164">
        <f>('Data Saham'!AD164-'Data Saham'!AD163)/'Data Saham'!AD163</f>
        <v>-5.0505050505050509E-3</v>
      </c>
      <c r="AE164">
        <f>('Data Saham'!AE164-'Data Saham'!AE163)/'Data Saham'!AE163</f>
        <v>-1.0752688172043012E-2</v>
      </c>
      <c r="AF164">
        <f>('Data Saham'!AF164-'Data Saham'!AF163)/'Data Saham'!AF163</f>
        <v>-5.5865921787709499E-3</v>
      </c>
    </row>
    <row r="165" spans="1:32" x14ac:dyDescent="0.3">
      <c r="A165" s="2">
        <v>45972</v>
      </c>
      <c r="B165">
        <f>('Data Saham'!B165-'Data Saham'!B164)/'Data Saham'!B164</f>
        <v>-2.9471210452805025E-3</v>
      </c>
      <c r="C165">
        <f>('Data Saham'!C165-'Data Saham'!C164)/'Data Saham'!C164</f>
        <v>-2.0408163265306121E-2</v>
      </c>
      <c r="D165">
        <f>('Data Saham'!D165-'Data Saham'!D164)/'Data Saham'!D164</f>
        <v>-1.0178117048346057E-2</v>
      </c>
      <c r="E165">
        <f>('Data Saham'!E165-'Data Saham'!E164)/'Data Saham'!E164</f>
        <v>-1.0570824524312896E-2</v>
      </c>
      <c r="F165">
        <f>('Data Saham'!F165-'Data Saham'!F164)/'Data Saham'!F164</f>
        <v>0</v>
      </c>
      <c r="G165">
        <f>('Data Saham'!G165-'Data Saham'!G164)/'Data Saham'!G164</f>
        <v>2.3255813953488372E-2</v>
      </c>
      <c r="H165">
        <f>('Data Saham'!H165-'Data Saham'!H164)/'Data Saham'!H164</f>
        <v>1.556420233463035E-2</v>
      </c>
      <c r="I165">
        <f>('Data Saham'!I165-'Data Saham'!I164)/'Data Saham'!I164</f>
        <v>-1.1560693641618497E-2</v>
      </c>
      <c r="J165">
        <f>('Data Saham'!J165-'Data Saham'!J164)/'Data Saham'!J164</f>
        <v>-7.0422535211267607E-3</v>
      </c>
      <c r="K165">
        <f>('Data Saham'!K165-'Data Saham'!K164)/'Data Saham'!K164</f>
        <v>-5.1020408163265302E-3</v>
      </c>
      <c r="L165">
        <f>('Data Saham'!L165-'Data Saham'!L164)/'Data Saham'!L164</f>
        <v>-6.4239828693790149E-3</v>
      </c>
      <c r="M165">
        <f>('Data Saham'!M165-'Data Saham'!M164)/'Data Saham'!M164</f>
        <v>-1.0309278350515464E-2</v>
      </c>
      <c r="N165">
        <f>('Data Saham'!N165-'Data Saham'!N164)/'Data Saham'!N164</f>
        <v>0</v>
      </c>
      <c r="O165">
        <f>('Data Saham'!O165-'Data Saham'!O164)/'Data Saham'!O164</f>
        <v>1.4450867052023121E-2</v>
      </c>
      <c r="P165">
        <f>('Data Saham'!P165-'Data Saham'!P164)/'Data Saham'!P164</f>
        <v>-8.771929824561403E-3</v>
      </c>
      <c r="Q165">
        <f>('Data Saham'!Q165-'Data Saham'!Q164)/'Data Saham'!Q164</f>
        <v>0</v>
      </c>
      <c r="R165">
        <f>('Data Saham'!R165-'Data Saham'!R164)/'Data Saham'!R164</f>
        <v>1.1811023622047244E-2</v>
      </c>
      <c r="S165">
        <f>('Data Saham'!S165-'Data Saham'!S164)/'Data Saham'!S164</f>
        <v>6.4239828693790149E-3</v>
      </c>
      <c r="T165">
        <f>('Data Saham'!T165-'Data Saham'!T164)/'Data Saham'!T164</f>
        <v>1.7241379310344827E-2</v>
      </c>
      <c r="U165">
        <f>('Data Saham'!U165-'Data Saham'!U164)/'Data Saham'!U164</f>
        <v>-2.5362318840579712E-2</v>
      </c>
      <c r="V165">
        <f>('Data Saham'!V165-'Data Saham'!V164)/'Data Saham'!V164</f>
        <v>2.6905829596412557E-3</v>
      </c>
      <c r="W165">
        <f>('Data Saham'!W165-'Data Saham'!W164)/'Data Saham'!W164</f>
        <v>-1.6713091922005572E-2</v>
      </c>
      <c r="X165">
        <f>('Data Saham'!X165-'Data Saham'!X164)/'Data Saham'!X164</f>
        <v>1.2396694214876033E-2</v>
      </c>
      <c r="Y165">
        <f>('Data Saham'!Y165-'Data Saham'!Y164)/'Data Saham'!Y164</f>
        <v>-1.5915119363395226E-2</v>
      </c>
      <c r="Z165">
        <f>('Data Saham'!Z165-'Data Saham'!Z164)/'Data Saham'!Z164</f>
        <v>-2.6666666666666668E-2</v>
      </c>
      <c r="AA165">
        <f>('Data Saham'!AA165-'Data Saham'!AA164)/'Data Saham'!AA164</f>
        <v>-4.9295774647887321E-2</v>
      </c>
      <c r="AB165">
        <f>('Data Saham'!AB165-'Data Saham'!AB164)/'Data Saham'!AB164</f>
        <v>0</v>
      </c>
      <c r="AC165">
        <f>('Data Saham'!AC165-'Data Saham'!AC164)/'Data Saham'!AC164</f>
        <v>1.8181818181818181E-2</v>
      </c>
      <c r="AD165">
        <f>('Data Saham'!AD165-'Data Saham'!AD164)/'Data Saham'!AD164</f>
        <v>0</v>
      </c>
      <c r="AE165">
        <f>('Data Saham'!AE165-'Data Saham'!AE164)/'Data Saham'!AE164</f>
        <v>-5.434782608695652E-3</v>
      </c>
      <c r="AF165">
        <f>('Data Saham'!AF165-'Data Saham'!AF164)/'Data Saham'!AF164</f>
        <v>-1.1235955056179775E-2</v>
      </c>
    </row>
    <row r="166" spans="1:32" x14ac:dyDescent="0.3">
      <c r="A166" s="1">
        <v>46002</v>
      </c>
      <c r="B166">
        <f>('Data Saham'!B166-'Data Saham'!B165)/'Data Saham'!B165</f>
        <v>2.6367027589759041E-3</v>
      </c>
      <c r="C166">
        <f>('Data Saham'!C166-'Data Saham'!C165)/'Data Saham'!C165</f>
        <v>1.1904761904761904E-2</v>
      </c>
      <c r="D166">
        <f>('Data Saham'!D166-'Data Saham'!D165)/'Data Saham'!D165</f>
        <v>2.5706940874035988E-3</v>
      </c>
      <c r="E166">
        <f>('Data Saham'!E166-'Data Saham'!E165)/'Data Saham'!E165</f>
        <v>1.7094017094017096E-2</v>
      </c>
      <c r="F166">
        <f>('Data Saham'!F166-'Data Saham'!F165)/'Data Saham'!F165</f>
        <v>9.0497737556561094E-3</v>
      </c>
      <c r="G166">
        <f>('Data Saham'!G166-'Data Saham'!G165)/'Data Saham'!G165</f>
        <v>1.1363636363636364E-2</v>
      </c>
      <c r="H166">
        <f>('Data Saham'!H166-'Data Saham'!H165)/'Data Saham'!H165</f>
        <v>-1.1494252873563218E-2</v>
      </c>
      <c r="I166">
        <f>('Data Saham'!I166-'Data Saham'!I165)/'Data Saham'!I165</f>
        <v>-2.9239766081871343E-3</v>
      </c>
      <c r="J166">
        <f>('Data Saham'!J166-'Data Saham'!J165)/'Data Saham'!J165</f>
        <v>1.7730496453900711E-2</v>
      </c>
      <c r="K166">
        <f>('Data Saham'!K166-'Data Saham'!K165)/'Data Saham'!K165</f>
        <v>7.6923076923076927E-3</v>
      </c>
      <c r="L166">
        <f>('Data Saham'!L166-'Data Saham'!L165)/'Data Saham'!L165</f>
        <v>-4.3103448275862068E-3</v>
      </c>
      <c r="M166">
        <f>('Data Saham'!M166-'Data Saham'!M165)/'Data Saham'!M165</f>
        <v>0</v>
      </c>
      <c r="N166">
        <f>('Data Saham'!N166-'Data Saham'!N165)/'Data Saham'!N165</f>
        <v>-3.2000000000000001E-2</v>
      </c>
      <c r="O166">
        <f>('Data Saham'!O166-'Data Saham'!O165)/'Data Saham'!O165</f>
        <v>8.5470085470085479E-3</v>
      </c>
      <c r="P166">
        <f>('Data Saham'!P166-'Data Saham'!P165)/'Data Saham'!P165</f>
        <v>-8.8495575221238937E-3</v>
      </c>
      <c r="Q166">
        <f>('Data Saham'!Q166-'Data Saham'!Q165)/'Data Saham'!Q165</f>
        <v>0</v>
      </c>
      <c r="R166">
        <f>('Data Saham'!R166-'Data Saham'!R165)/'Data Saham'!R165</f>
        <v>-1.556420233463035E-2</v>
      </c>
      <c r="S166">
        <f>('Data Saham'!S166-'Data Saham'!S165)/'Data Saham'!S165</f>
        <v>8.5106382978723406E-3</v>
      </c>
      <c r="T166">
        <f>('Data Saham'!T166-'Data Saham'!T165)/'Data Saham'!T165</f>
        <v>6.3559322033898302E-2</v>
      </c>
      <c r="U166">
        <f>('Data Saham'!U166-'Data Saham'!U165)/'Data Saham'!U165</f>
        <v>0</v>
      </c>
      <c r="V166">
        <f>('Data Saham'!V166-'Data Saham'!V165)/'Data Saham'!V165</f>
        <v>1.2522361359570662E-2</v>
      </c>
      <c r="W166">
        <f>('Data Saham'!W166-'Data Saham'!W165)/'Data Saham'!W165</f>
        <v>7.0821529745042494E-2</v>
      </c>
      <c r="X166">
        <f>('Data Saham'!X166-'Data Saham'!X165)/'Data Saham'!X165</f>
        <v>2.4489795918367346E-2</v>
      </c>
      <c r="Y166">
        <f>('Data Saham'!Y166-'Data Saham'!Y165)/'Data Saham'!Y165</f>
        <v>2.9649595687331536E-2</v>
      </c>
      <c r="Z166">
        <f>('Data Saham'!Z166-'Data Saham'!Z165)/'Data Saham'!Z165</f>
        <v>4.5662100456621002E-3</v>
      </c>
      <c r="AA166">
        <f>('Data Saham'!AA166-'Data Saham'!AA165)/'Data Saham'!AA165</f>
        <v>-7.4074074074074077E-3</v>
      </c>
      <c r="AB166">
        <f>('Data Saham'!AB166-'Data Saham'!AB165)/'Data Saham'!AB165</f>
        <v>-2.9850746268656716E-2</v>
      </c>
      <c r="AC166">
        <f>('Data Saham'!AC166-'Data Saham'!AC165)/'Data Saham'!AC165</f>
        <v>2.976190476190476E-2</v>
      </c>
      <c r="AD166">
        <f>('Data Saham'!AD166-'Data Saham'!AD165)/'Data Saham'!AD165</f>
        <v>0</v>
      </c>
      <c r="AE166">
        <f>('Data Saham'!AE166-'Data Saham'!AE165)/'Data Saham'!AE165</f>
        <v>0</v>
      </c>
      <c r="AF166">
        <f>('Data Saham'!AF166-'Data Saham'!AF165)/'Data Saham'!AF165</f>
        <v>-2.2727272727272728E-2</v>
      </c>
    </row>
    <row r="167" spans="1:32" x14ac:dyDescent="0.3">
      <c r="A167" s="4" t="s">
        <v>99</v>
      </c>
      <c r="B167">
        <f>('Data Saham'!B167-'Data Saham'!B166)/'Data Saham'!B166</f>
        <v>-1.975306875903725E-3</v>
      </c>
      <c r="C167">
        <f>('Data Saham'!C167-'Data Saham'!C166)/'Data Saham'!C166</f>
        <v>-1.4705882352941176E-2</v>
      </c>
      <c r="D167">
        <f>('Data Saham'!D167-'Data Saham'!D166)/'Data Saham'!D166</f>
        <v>-7.6923076923076927E-3</v>
      </c>
      <c r="E167">
        <f>('Data Saham'!E167-'Data Saham'!E166)/'Data Saham'!E166</f>
        <v>-1.2605042016806723E-2</v>
      </c>
      <c r="F167">
        <f>('Data Saham'!F167-'Data Saham'!F166)/'Data Saham'!F166</f>
        <v>-8.9686098654708519E-3</v>
      </c>
      <c r="G167">
        <f>('Data Saham'!G167-'Data Saham'!G166)/'Data Saham'!G166</f>
        <v>-1.6853932584269662E-2</v>
      </c>
      <c r="H167">
        <f>('Data Saham'!H167-'Data Saham'!H166)/'Data Saham'!H166</f>
        <v>-1.1627906976744186E-2</v>
      </c>
      <c r="I167">
        <f>('Data Saham'!I167-'Data Saham'!I166)/'Data Saham'!I166</f>
        <v>-5.8651026392961877E-3</v>
      </c>
      <c r="J167">
        <f>('Data Saham'!J167-'Data Saham'!J166)/'Data Saham'!J166</f>
        <v>-3.4843205574912892E-3</v>
      </c>
      <c r="K167">
        <f>('Data Saham'!K167-'Data Saham'!K166)/'Data Saham'!K166</f>
        <v>-1.7811704834605598E-2</v>
      </c>
      <c r="L167">
        <f>('Data Saham'!L167-'Data Saham'!L166)/'Data Saham'!L166</f>
        <v>-1.948051948051948E-2</v>
      </c>
      <c r="M167">
        <f>('Data Saham'!M167-'Data Saham'!M166)/'Data Saham'!M166</f>
        <v>3.472222222222222E-3</v>
      </c>
      <c r="N167">
        <f>('Data Saham'!N167-'Data Saham'!N166)/'Data Saham'!N166</f>
        <v>1.6528925619834711E-2</v>
      </c>
      <c r="O167">
        <f>('Data Saham'!O167-'Data Saham'!O166)/'Data Saham'!O166</f>
        <v>-1.6949152542372881E-2</v>
      </c>
      <c r="P167">
        <f>('Data Saham'!P167-'Data Saham'!P166)/'Data Saham'!P166</f>
        <v>-2.6785714285714284E-2</v>
      </c>
      <c r="Q167">
        <f>('Data Saham'!Q167-'Data Saham'!Q166)/'Data Saham'!Q166</f>
        <v>0</v>
      </c>
      <c r="R167">
        <f>('Data Saham'!R167-'Data Saham'!R166)/'Data Saham'!R166</f>
        <v>1.5810276679841896E-2</v>
      </c>
      <c r="S167">
        <f>('Data Saham'!S167-'Data Saham'!S166)/'Data Saham'!S166</f>
        <v>4.2194092827004216E-3</v>
      </c>
      <c r="T167">
        <f>('Data Saham'!T167-'Data Saham'!T166)/'Data Saham'!T166</f>
        <v>-2.7888446215139442E-2</v>
      </c>
      <c r="U167">
        <f>('Data Saham'!U167-'Data Saham'!U166)/'Data Saham'!U166</f>
        <v>-1.1152416356877323E-2</v>
      </c>
      <c r="V167">
        <f>('Data Saham'!V167-'Data Saham'!V166)/'Data Saham'!V166</f>
        <v>-1.7667844522968198E-3</v>
      </c>
      <c r="W167">
        <f>('Data Saham'!W167-'Data Saham'!W166)/'Data Saham'!W166</f>
        <v>-1.5873015873015872E-2</v>
      </c>
      <c r="X167">
        <f>('Data Saham'!X167-'Data Saham'!X166)/'Data Saham'!X166</f>
        <v>-1.1952191235059761E-2</v>
      </c>
      <c r="Y167">
        <f>('Data Saham'!Y167-'Data Saham'!Y166)/'Data Saham'!Y166</f>
        <v>-7.8534031413612562E-3</v>
      </c>
      <c r="Z167">
        <f>('Data Saham'!Z167-'Data Saham'!Z166)/'Data Saham'!Z166</f>
        <v>-9.0909090909090905E-3</v>
      </c>
      <c r="AA167">
        <f>('Data Saham'!AA167-'Data Saham'!AA166)/'Data Saham'!AA166</f>
        <v>-1.1194029850746268E-2</v>
      </c>
      <c r="AB167">
        <f>('Data Saham'!AB167-'Data Saham'!AB166)/'Data Saham'!AB166</f>
        <v>-1.5384615384615385E-2</v>
      </c>
      <c r="AC167">
        <f>('Data Saham'!AC167-'Data Saham'!AC166)/'Data Saham'!AC166</f>
        <v>-2.3121387283236993E-2</v>
      </c>
      <c r="AD167">
        <f>('Data Saham'!AD167-'Data Saham'!AD166)/'Data Saham'!AD166</f>
        <v>0</v>
      </c>
      <c r="AE167">
        <f>('Data Saham'!AE167-'Data Saham'!AE166)/'Data Saham'!AE166</f>
        <v>-1.092896174863388E-2</v>
      </c>
      <c r="AF167">
        <f>('Data Saham'!AF167-'Data Saham'!AF166)/'Data Saham'!AF166</f>
        <v>1.1627906976744186E-2</v>
      </c>
    </row>
    <row r="168" spans="1:32" x14ac:dyDescent="0.3">
      <c r="A168" s="3" t="s">
        <v>100</v>
      </c>
      <c r="B168">
        <f>('Data Saham'!B168-'Data Saham'!B167)/'Data Saham'!B167</f>
        <v>-1.8633540372664723E-4</v>
      </c>
      <c r="C168">
        <f>('Data Saham'!C168-'Data Saham'!C167)/'Data Saham'!C167</f>
        <v>5.9701492537313433E-3</v>
      </c>
      <c r="D168">
        <f>('Data Saham'!D168-'Data Saham'!D167)/'Data Saham'!D167</f>
        <v>7.7519379844961239E-3</v>
      </c>
      <c r="E168">
        <f>('Data Saham'!E168-'Data Saham'!E167)/'Data Saham'!E167</f>
        <v>1.0638297872340425E-2</v>
      </c>
      <c r="F168">
        <f>('Data Saham'!F168-'Data Saham'!F167)/'Data Saham'!F167</f>
        <v>-6.7873303167420816E-3</v>
      </c>
      <c r="G168">
        <f>('Data Saham'!G168-'Data Saham'!G167)/'Data Saham'!G167</f>
        <v>1.4285714285714285E-2</v>
      </c>
      <c r="H168">
        <f>('Data Saham'!H168-'Data Saham'!H167)/'Data Saham'!H167</f>
        <v>3.9215686274509803E-3</v>
      </c>
      <c r="I168">
        <f>('Data Saham'!I168-'Data Saham'!I167)/'Data Saham'!I167</f>
        <v>-5.8997050147492625E-3</v>
      </c>
      <c r="J168">
        <f>('Data Saham'!J168-'Data Saham'!J167)/'Data Saham'!J167</f>
        <v>-6.993006993006993E-3</v>
      </c>
      <c r="K168">
        <f>('Data Saham'!K168-'Data Saham'!K167)/'Data Saham'!K167</f>
        <v>-2.5906735751295335E-2</v>
      </c>
      <c r="L168">
        <f>('Data Saham'!L168-'Data Saham'!L167)/'Data Saham'!L167</f>
        <v>-9.9337748344370865E-3</v>
      </c>
      <c r="M168">
        <f>('Data Saham'!M168-'Data Saham'!M167)/'Data Saham'!M167</f>
        <v>5.1903114186851208E-2</v>
      </c>
      <c r="N168">
        <f>('Data Saham'!N168-'Data Saham'!N167)/'Data Saham'!N167</f>
        <v>-2.032520325203252E-2</v>
      </c>
      <c r="O168">
        <f>('Data Saham'!O168-'Data Saham'!O167)/'Data Saham'!O167</f>
        <v>-5.7471264367816091E-3</v>
      </c>
      <c r="P168">
        <f>('Data Saham'!P168-'Data Saham'!P167)/'Data Saham'!P167</f>
        <v>-9.1743119266055051E-3</v>
      </c>
      <c r="Q168">
        <f>('Data Saham'!Q168-'Data Saham'!Q167)/'Data Saham'!Q167</f>
        <v>-1.090909090909091E-2</v>
      </c>
      <c r="R168">
        <f>('Data Saham'!R168-'Data Saham'!R167)/'Data Saham'!R167</f>
        <v>-3.8910505836575876E-2</v>
      </c>
      <c r="S168">
        <f>('Data Saham'!S168-'Data Saham'!S167)/'Data Saham'!S167</f>
        <v>1.050420168067227E-2</v>
      </c>
      <c r="T168">
        <f>('Data Saham'!T168-'Data Saham'!T167)/'Data Saham'!T167</f>
        <v>-8.1967213114754103E-3</v>
      </c>
      <c r="U168">
        <f>('Data Saham'!U168-'Data Saham'!U167)/'Data Saham'!U167</f>
        <v>-2.2556390977443608E-2</v>
      </c>
      <c r="V168">
        <f>('Data Saham'!V168-'Data Saham'!V167)/'Data Saham'!V167</f>
        <v>-7.0796460176991149E-3</v>
      </c>
      <c r="W168">
        <f>('Data Saham'!W168-'Data Saham'!W167)/'Data Saham'!W167</f>
        <v>1.6129032258064516E-2</v>
      </c>
      <c r="X168">
        <f>('Data Saham'!X168-'Data Saham'!X167)/'Data Saham'!X167</f>
        <v>-8.0645161290322578E-3</v>
      </c>
      <c r="Y168">
        <f>('Data Saham'!Y168-'Data Saham'!Y167)/'Data Saham'!Y167</f>
        <v>-1.5831134564643801E-2</v>
      </c>
      <c r="Z168">
        <f>('Data Saham'!Z168-'Data Saham'!Z167)/'Data Saham'!Z167</f>
        <v>-3.2110091743119268E-2</v>
      </c>
      <c r="AA168">
        <f>('Data Saham'!AA168-'Data Saham'!AA167)/'Data Saham'!AA167</f>
        <v>-1.8867924528301886E-2</v>
      </c>
      <c r="AB168">
        <f>('Data Saham'!AB168-'Data Saham'!AB167)/'Data Saham'!AB167</f>
        <v>1.5625E-2</v>
      </c>
      <c r="AC168">
        <f>('Data Saham'!AC168-'Data Saham'!AC167)/'Data Saham'!AC167</f>
        <v>-1.1834319526627219E-2</v>
      </c>
      <c r="AD168">
        <f>('Data Saham'!AD168-'Data Saham'!AD167)/'Data Saham'!AD167</f>
        <v>-1.015228426395939E-2</v>
      </c>
      <c r="AE168">
        <f>('Data Saham'!AE168-'Data Saham'!AE167)/'Data Saham'!AE167</f>
        <v>-5.5248618784530384E-3</v>
      </c>
      <c r="AF168">
        <f>('Data Saham'!AF168-'Data Saham'!AF167)/'Data Saham'!AF167</f>
        <v>-5.7471264367816091E-3</v>
      </c>
    </row>
    <row r="169" spans="1:32" x14ac:dyDescent="0.3">
      <c r="A169" s="4" t="s">
        <v>101</v>
      </c>
      <c r="B169">
        <f>('Data Saham'!B169-'Data Saham'!B168)/'Data Saham'!B168</f>
        <v>5.5480954406218414E-3</v>
      </c>
      <c r="C169">
        <f>('Data Saham'!C169-'Data Saham'!C168)/'Data Saham'!C168</f>
        <v>1.7804154302670624E-2</v>
      </c>
      <c r="D169">
        <f>('Data Saham'!D169-'Data Saham'!D168)/'Data Saham'!D168</f>
        <v>1.0256410256410256E-2</v>
      </c>
      <c r="E169">
        <f>('Data Saham'!E169-'Data Saham'!E168)/'Data Saham'!E168</f>
        <v>1.4736842105263158E-2</v>
      </c>
      <c r="F169">
        <f>('Data Saham'!F169-'Data Saham'!F168)/'Data Saham'!F168</f>
        <v>0</v>
      </c>
      <c r="G169">
        <f>('Data Saham'!G169-'Data Saham'!G168)/'Data Saham'!G168</f>
        <v>1.6901408450704224E-2</v>
      </c>
      <c r="H169">
        <f>('Data Saham'!H169-'Data Saham'!H168)/'Data Saham'!H168</f>
        <v>7.8125E-3</v>
      </c>
      <c r="I169">
        <f>('Data Saham'!I169-'Data Saham'!I168)/'Data Saham'!I168</f>
        <v>-5.9347181008902079E-3</v>
      </c>
      <c r="J169">
        <f>('Data Saham'!J169-'Data Saham'!J168)/'Data Saham'!J168</f>
        <v>0</v>
      </c>
      <c r="K169">
        <f>('Data Saham'!K169-'Data Saham'!K168)/'Data Saham'!K168</f>
        <v>1.5957446808510637E-2</v>
      </c>
      <c r="L169">
        <f>('Data Saham'!L169-'Data Saham'!L168)/'Data Saham'!L168</f>
        <v>-1.1148272017837235E-3</v>
      </c>
      <c r="M169">
        <f>('Data Saham'!M169-'Data Saham'!M168)/'Data Saham'!M168</f>
        <v>6.5789473684210523E-3</v>
      </c>
      <c r="N169">
        <f>('Data Saham'!N169-'Data Saham'!N168)/'Data Saham'!N168</f>
        <v>-6.2240663900414939E-2</v>
      </c>
      <c r="O169">
        <f>('Data Saham'!O169-'Data Saham'!O168)/'Data Saham'!O168</f>
        <v>1.1560693641618497E-2</v>
      </c>
      <c r="P169">
        <f>('Data Saham'!P169-'Data Saham'!P168)/'Data Saham'!P168</f>
        <v>9.2592592592592587E-3</v>
      </c>
      <c r="Q169">
        <f>('Data Saham'!Q169-'Data Saham'!Q168)/'Data Saham'!Q168</f>
        <v>3.6764705882352941E-3</v>
      </c>
      <c r="R169">
        <f>('Data Saham'!R169-'Data Saham'!R168)/'Data Saham'!R168</f>
        <v>-8.0971659919028341E-3</v>
      </c>
      <c r="S169">
        <f>('Data Saham'!S169-'Data Saham'!S168)/'Data Saham'!S168</f>
        <v>-4.1580041580041582E-2</v>
      </c>
      <c r="T169">
        <f>('Data Saham'!T169-'Data Saham'!T168)/'Data Saham'!T168</f>
        <v>-3.71900826446281E-2</v>
      </c>
      <c r="U169">
        <f>('Data Saham'!U169-'Data Saham'!U168)/'Data Saham'!U168</f>
        <v>0</v>
      </c>
      <c r="V169">
        <f>('Data Saham'!V169-'Data Saham'!V168)/'Data Saham'!V168</f>
        <v>-8.9126559714795004E-4</v>
      </c>
      <c r="W169">
        <f>('Data Saham'!W169-'Data Saham'!W168)/'Data Saham'!W168</f>
        <v>-2.6455026455026454E-3</v>
      </c>
      <c r="X169">
        <f>('Data Saham'!X169-'Data Saham'!X168)/'Data Saham'!X168</f>
        <v>3.6585365853658534E-2</v>
      </c>
      <c r="Y169">
        <f>('Data Saham'!Y169-'Data Saham'!Y168)/'Data Saham'!Y168</f>
        <v>-5.3619302949061663E-3</v>
      </c>
      <c r="Z169">
        <f>('Data Saham'!Z169-'Data Saham'!Z168)/'Data Saham'!Z168</f>
        <v>1.8957345971563982E-2</v>
      </c>
      <c r="AA169">
        <f>('Data Saham'!AA169-'Data Saham'!AA168)/'Data Saham'!AA168</f>
        <v>3.0769230769230771E-2</v>
      </c>
      <c r="AB169">
        <f>('Data Saham'!AB169-'Data Saham'!AB168)/'Data Saham'!AB168</f>
        <v>-4.6153846153846156E-2</v>
      </c>
      <c r="AC169">
        <f>('Data Saham'!AC169-'Data Saham'!AC168)/'Data Saham'!AC168</f>
        <v>1.1976047904191617E-2</v>
      </c>
      <c r="AD169">
        <f>('Data Saham'!AD169-'Data Saham'!AD168)/'Data Saham'!AD168</f>
        <v>5.1282051282051282E-3</v>
      </c>
      <c r="AE169">
        <f>('Data Saham'!AE169-'Data Saham'!AE168)/'Data Saham'!AE168</f>
        <v>5.5555555555555558E-3</v>
      </c>
      <c r="AF169">
        <f>('Data Saham'!AF169-'Data Saham'!AF168)/'Data Saham'!AF168</f>
        <v>1.7341040462427744E-2</v>
      </c>
    </row>
    <row r="170" spans="1:32" x14ac:dyDescent="0.3">
      <c r="A170" s="3" t="s">
        <v>102</v>
      </c>
      <c r="B170">
        <f>('Data Saham'!B170-'Data Saham'!B169)/'Data Saham'!B169</f>
        <v>-6.5285473952342099E-3</v>
      </c>
      <c r="C170">
        <f>('Data Saham'!C170-'Data Saham'!C169)/'Data Saham'!C169</f>
        <v>-2.0408163265306121E-2</v>
      </c>
      <c r="D170">
        <f>('Data Saham'!D170-'Data Saham'!D169)/'Data Saham'!D169</f>
        <v>7.6142131979695434E-3</v>
      </c>
      <c r="E170">
        <f>('Data Saham'!E170-'Data Saham'!E169)/'Data Saham'!E169</f>
        <v>-6.2240663900414933E-3</v>
      </c>
      <c r="F170">
        <f>('Data Saham'!F170-'Data Saham'!F169)/'Data Saham'!F169</f>
        <v>1.5945330296127564E-2</v>
      </c>
      <c r="G170">
        <f>('Data Saham'!G170-'Data Saham'!G169)/'Data Saham'!G169</f>
        <v>2.7700831024930748E-3</v>
      </c>
      <c r="H170">
        <f>('Data Saham'!H170-'Data Saham'!H169)/'Data Saham'!H169</f>
        <v>-3.875968992248062E-3</v>
      </c>
      <c r="I170">
        <f>('Data Saham'!I170-'Data Saham'!I169)/'Data Saham'!I169</f>
        <v>-5.9701492537313433E-3</v>
      </c>
      <c r="J170">
        <f>('Data Saham'!J170-'Data Saham'!J169)/'Data Saham'!J169</f>
        <v>-1.4084507042253521E-2</v>
      </c>
      <c r="K170">
        <f>('Data Saham'!K170-'Data Saham'!K169)/'Data Saham'!K169</f>
        <v>-1.5706806282722512E-2</v>
      </c>
      <c r="L170">
        <f>('Data Saham'!L170-'Data Saham'!L169)/'Data Saham'!L169</f>
        <v>-1.3392857142857142E-2</v>
      </c>
      <c r="M170">
        <f>('Data Saham'!M170-'Data Saham'!M169)/'Data Saham'!M169</f>
        <v>-1.6339869281045753E-2</v>
      </c>
      <c r="N170">
        <f>('Data Saham'!N170-'Data Saham'!N169)/'Data Saham'!N169</f>
        <v>-3.9823008849557522E-2</v>
      </c>
      <c r="O170">
        <f>('Data Saham'!O170-'Data Saham'!O169)/'Data Saham'!O169</f>
        <v>-1.1428571428571429E-2</v>
      </c>
      <c r="P170">
        <f>('Data Saham'!P170-'Data Saham'!P169)/'Data Saham'!P169</f>
        <v>-9.1743119266055051E-3</v>
      </c>
      <c r="Q170">
        <f>('Data Saham'!Q170-'Data Saham'!Q169)/'Data Saham'!Q169</f>
        <v>-7.326007326007326E-3</v>
      </c>
      <c r="R170">
        <f>('Data Saham'!R170-'Data Saham'!R169)/'Data Saham'!R169</f>
        <v>-3.6734693877551024E-2</v>
      </c>
      <c r="S170">
        <f>('Data Saham'!S170-'Data Saham'!S169)/'Data Saham'!S169</f>
        <v>1.9522776572668113E-2</v>
      </c>
      <c r="T170">
        <f>('Data Saham'!T170-'Data Saham'!T169)/'Data Saham'!T169</f>
        <v>8.5836909871244635E-3</v>
      </c>
      <c r="U170">
        <f>('Data Saham'!U170-'Data Saham'!U169)/'Data Saham'!U169</f>
        <v>-2.3076923076923078E-2</v>
      </c>
      <c r="V170">
        <f>('Data Saham'!V170-'Data Saham'!V169)/'Data Saham'!V169</f>
        <v>-2.7653880463871544E-2</v>
      </c>
      <c r="W170">
        <f>('Data Saham'!W170-'Data Saham'!W169)/'Data Saham'!W169</f>
        <v>-5.0397877984084884E-2</v>
      </c>
      <c r="X170">
        <f>('Data Saham'!X170-'Data Saham'!X169)/'Data Saham'!X169</f>
        <v>5.4901960784313725E-2</v>
      </c>
      <c r="Y170">
        <f>('Data Saham'!Y170-'Data Saham'!Y169)/'Data Saham'!Y169</f>
        <v>2.6954177897574125E-3</v>
      </c>
      <c r="Z170">
        <f>('Data Saham'!Z170-'Data Saham'!Z169)/'Data Saham'!Z169</f>
        <v>-4.6511627906976744E-3</v>
      </c>
      <c r="AA170">
        <f>('Data Saham'!AA170-'Data Saham'!AA169)/'Data Saham'!AA169</f>
        <v>-1.4925373134328358E-2</v>
      </c>
      <c r="AB170">
        <f>('Data Saham'!AB170-'Data Saham'!AB169)/'Data Saham'!AB169</f>
        <v>-1.6129032258064516E-2</v>
      </c>
      <c r="AC170">
        <f>('Data Saham'!AC170-'Data Saham'!AC169)/'Data Saham'!AC169</f>
        <v>-1.7751479289940829E-2</v>
      </c>
      <c r="AD170">
        <f>('Data Saham'!AD170-'Data Saham'!AD169)/'Data Saham'!AD169</f>
        <v>5.1020408163265302E-3</v>
      </c>
      <c r="AE170">
        <f>('Data Saham'!AE170-'Data Saham'!AE169)/'Data Saham'!AE169</f>
        <v>0</v>
      </c>
      <c r="AF170">
        <f>('Data Saham'!AF170-'Data Saham'!AF169)/'Data Saham'!AF169</f>
        <v>5.681818181818182E-3</v>
      </c>
    </row>
    <row r="171" spans="1:32" x14ac:dyDescent="0.3">
      <c r="A171" s="4" t="s">
        <v>103</v>
      </c>
      <c r="B171">
        <f>('Data Saham'!B171-'Data Saham'!B170)/'Data Saham'!B170</f>
        <v>5.3396763665803986E-3</v>
      </c>
      <c r="C171">
        <f>('Data Saham'!C171-'Data Saham'!C170)/'Data Saham'!C170</f>
        <v>8.9285714285714281E-3</v>
      </c>
      <c r="D171">
        <f>('Data Saham'!D171-'Data Saham'!D170)/'Data Saham'!D170</f>
        <v>7.556675062972292E-3</v>
      </c>
      <c r="E171">
        <f>('Data Saham'!E171-'Data Saham'!E170)/'Data Saham'!E170</f>
        <v>1.2526096033402923E-2</v>
      </c>
      <c r="F171">
        <f>('Data Saham'!F171-'Data Saham'!F170)/'Data Saham'!F170</f>
        <v>0</v>
      </c>
      <c r="G171">
        <f>('Data Saham'!G171-'Data Saham'!G170)/'Data Saham'!G170</f>
        <v>8.2872928176795577E-3</v>
      </c>
      <c r="H171">
        <f>('Data Saham'!H171-'Data Saham'!H170)/'Data Saham'!H170</f>
        <v>-3.8910505836575876E-3</v>
      </c>
      <c r="I171">
        <f>('Data Saham'!I171-'Data Saham'!I170)/'Data Saham'!I170</f>
        <v>9.0090090090090089E-3</v>
      </c>
      <c r="J171">
        <f>('Data Saham'!J171-'Data Saham'!J170)/'Data Saham'!J170</f>
        <v>3.5714285714285713E-3</v>
      </c>
      <c r="K171">
        <f>('Data Saham'!K171-'Data Saham'!K170)/'Data Saham'!K170</f>
        <v>2.1276595744680851E-2</v>
      </c>
      <c r="L171">
        <f>('Data Saham'!L171-'Data Saham'!L170)/'Data Saham'!L170</f>
        <v>2.2624434389140274E-3</v>
      </c>
      <c r="M171">
        <f>('Data Saham'!M171-'Data Saham'!M170)/'Data Saham'!M170</f>
        <v>-3.3222591362126247E-3</v>
      </c>
      <c r="N171">
        <f>('Data Saham'!N171-'Data Saham'!N170)/'Data Saham'!N170</f>
        <v>3.2258064516129031E-2</v>
      </c>
      <c r="O171">
        <f>('Data Saham'!O171-'Data Saham'!O170)/'Data Saham'!O170</f>
        <v>1.1560693641618497E-2</v>
      </c>
      <c r="P171">
        <f>('Data Saham'!P171-'Data Saham'!P170)/'Data Saham'!P170</f>
        <v>1.8518518518518517E-2</v>
      </c>
      <c r="Q171">
        <f>('Data Saham'!Q171-'Data Saham'!Q170)/'Data Saham'!Q170</f>
        <v>1.4760147601476014E-2</v>
      </c>
      <c r="R171">
        <f>('Data Saham'!R171-'Data Saham'!R170)/'Data Saham'!R170</f>
        <v>4.2372881355932202E-2</v>
      </c>
      <c r="S171">
        <f>('Data Saham'!S171-'Data Saham'!S170)/'Data Saham'!S170</f>
        <v>1.0638297872340425E-2</v>
      </c>
      <c r="T171">
        <f>('Data Saham'!T171-'Data Saham'!T170)/'Data Saham'!T170</f>
        <v>4.2553191489361701E-2</v>
      </c>
      <c r="U171">
        <f>('Data Saham'!U171-'Data Saham'!U170)/'Data Saham'!U170</f>
        <v>6.6929133858267723E-2</v>
      </c>
      <c r="V171">
        <f>('Data Saham'!V171-'Data Saham'!V170)/'Data Saham'!V170</f>
        <v>1.834862385321101E-3</v>
      </c>
      <c r="W171">
        <f>('Data Saham'!W171-'Data Saham'!W170)/'Data Saham'!W170</f>
        <v>-2.23463687150838E-2</v>
      </c>
      <c r="X171">
        <f>('Data Saham'!X171-'Data Saham'!X170)/'Data Saham'!X170</f>
        <v>-3.7174721189591076E-3</v>
      </c>
      <c r="Y171">
        <f>('Data Saham'!Y171-'Data Saham'!Y170)/'Data Saham'!Y170</f>
        <v>1.3440860215053764E-2</v>
      </c>
      <c r="Z171">
        <f>('Data Saham'!Z171-'Data Saham'!Z170)/'Data Saham'!Z170</f>
        <v>4.6728971962616819E-3</v>
      </c>
      <c r="AA171">
        <f>('Data Saham'!AA171-'Data Saham'!AA170)/'Data Saham'!AA170</f>
        <v>3.787878787878788E-3</v>
      </c>
      <c r="AB171">
        <f>('Data Saham'!AB171-'Data Saham'!AB170)/'Data Saham'!AB170</f>
        <v>-1.6393442622950821E-2</v>
      </c>
      <c r="AC171">
        <f>('Data Saham'!AC171-'Data Saham'!AC170)/'Data Saham'!AC170</f>
        <v>6.024096385542169E-3</v>
      </c>
      <c r="AD171">
        <f>('Data Saham'!AD171-'Data Saham'!AD170)/'Data Saham'!AD170</f>
        <v>-1.015228426395939E-2</v>
      </c>
      <c r="AE171">
        <f>('Data Saham'!AE171-'Data Saham'!AE170)/'Data Saham'!AE170</f>
        <v>0</v>
      </c>
      <c r="AF171">
        <f>('Data Saham'!AF171-'Data Saham'!AF170)/'Data Saham'!AF170</f>
        <v>-2.8248587570621469E-2</v>
      </c>
    </row>
    <row r="172" spans="1:32" x14ac:dyDescent="0.3">
      <c r="A172" s="3" t="s">
        <v>104</v>
      </c>
      <c r="B172">
        <f>('Data Saham'!B172-'Data Saham'!B171)/'Data Saham'!B171</f>
        <v>1.5868522038688915E-3</v>
      </c>
      <c r="C172">
        <f>('Data Saham'!C172-'Data Saham'!C171)/'Data Saham'!C171</f>
        <v>-5.8997050147492625E-3</v>
      </c>
      <c r="D172">
        <f>('Data Saham'!D172-'Data Saham'!D171)/'Data Saham'!D171</f>
        <v>-2.5000000000000001E-3</v>
      </c>
      <c r="E172">
        <f>('Data Saham'!E172-'Data Saham'!E171)/'Data Saham'!E171</f>
        <v>1.8556701030927835E-2</v>
      </c>
      <c r="F172">
        <f>('Data Saham'!F172-'Data Saham'!F171)/'Data Saham'!F171</f>
        <v>0</v>
      </c>
      <c r="G172">
        <f>('Data Saham'!G172-'Data Saham'!G171)/'Data Saham'!G171</f>
        <v>-2.7397260273972603E-3</v>
      </c>
      <c r="H172">
        <f>('Data Saham'!H172-'Data Saham'!H171)/'Data Saham'!H171</f>
        <v>3.90625E-3</v>
      </c>
      <c r="I172">
        <f>('Data Saham'!I172-'Data Saham'!I171)/'Data Saham'!I171</f>
        <v>-8.9285714285714281E-3</v>
      </c>
      <c r="J172">
        <f>('Data Saham'!J172-'Data Saham'!J171)/'Data Saham'!J171</f>
        <v>7.1174377224199285E-3</v>
      </c>
      <c r="K172">
        <f>('Data Saham'!K172-'Data Saham'!K171)/'Data Saham'!K171</f>
        <v>-7.8125E-3</v>
      </c>
      <c r="L172">
        <f>('Data Saham'!L172-'Data Saham'!L171)/'Data Saham'!L171</f>
        <v>-2.257336343115124E-3</v>
      </c>
      <c r="M172">
        <f>('Data Saham'!M172-'Data Saham'!M171)/'Data Saham'!M171</f>
        <v>-6.6666666666666671E-3</v>
      </c>
      <c r="N172">
        <f>('Data Saham'!N172-'Data Saham'!N171)/'Data Saham'!N171</f>
        <v>-3.125E-2</v>
      </c>
      <c r="O172">
        <f>('Data Saham'!O172-'Data Saham'!O171)/'Data Saham'!O171</f>
        <v>0</v>
      </c>
      <c r="P172">
        <f>('Data Saham'!P172-'Data Saham'!P171)/'Data Saham'!P171</f>
        <v>0</v>
      </c>
      <c r="Q172">
        <f>('Data Saham'!Q172-'Data Saham'!Q171)/'Data Saham'!Q171</f>
        <v>3.6363636363636364E-3</v>
      </c>
      <c r="R172">
        <f>('Data Saham'!R172-'Data Saham'!R171)/'Data Saham'!R171</f>
        <v>-1.6260162601626018E-2</v>
      </c>
      <c r="S172">
        <f>('Data Saham'!S172-'Data Saham'!S171)/'Data Saham'!S171</f>
        <v>-4.2105263157894736E-3</v>
      </c>
      <c r="T172">
        <f>('Data Saham'!T172-'Data Saham'!T171)/'Data Saham'!T171</f>
        <v>-8.1632653061224497E-3</v>
      </c>
      <c r="U172">
        <f>('Data Saham'!U172-'Data Saham'!U171)/'Data Saham'!U171</f>
        <v>-2.2140221402214021E-2</v>
      </c>
      <c r="V172">
        <f>('Data Saham'!V172-'Data Saham'!V171)/'Data Saham'!V171</f>
        <v>-1.098901098901099E-2</v>
      </c>
      <c r="W172">
        <f>('Data Saham'!W172-'Data Saham'!W171)/'Data Saham'!W171</f>
        <v>-8.5714285714285719E-3</v>
      </c>
      <c r="X172">
        <f>('Data Saham'!X172-'Data Saham'!X171)/'Data Saham'!X171</f>
        <v>-4.8507462686567165E-2</v>
      </c>
      <c r="Y172">
        <f>('Data Saham'!Y172-'Data Saham'!Y171)/'Data Saham'!Y171</f>
        <v>-2.3872679045092837E-2</v>
      </c>
      <c r="Z172">
        <f>('Data Saham'!Z172-'Data Saham'!Z171)/'Data Saham'!Z171</f>
        <v>-9.3023255813953487E-3</v>
      </c>
      <c r="AA172">
        <f>('Data Saham'!AA172-'Data Saham'!AA171)/'Data Saham'!AA171</f>
        <v>-3.7735849056603774E-3</v>
      </c>
      <c r="AB172">
        <f>('Data Saham'!AB172-'Data Saham'!AB171)/'Data Saham'!AB171</f>
        <v>0</v>
      </c>
      <c r="AC172">
        <f>('Data Saham'!AC172-'Data Saham'!AC171)/'Data Saham'!AC171</f>
        <v>0</v>
      </c>
      <c r="AD172">
        <f>('Data Saham'!AD172-'Data Saham'!AD171)/'Data Saham'!AD171</f>
        <v>0</v>
      </c>
      <c r="AE172">
        <f>('Data Saham'!AE172-'Data Saham'!AE171)/'Data Saham'!AE171</f>
        <v>-5.5248618784530384E-3</v>
      </c>
      <c r="AF172">
        <f>('Data Saham'!AF172-'Data Saham'!AF171)/'Data Saham'!AF171</f>
        <v>5.8139534883720929E-3</v>
      </c>
    </row>
    <row r="173" spans="1:32" x14ac:dyDescent="0.3">
      <c r="A173" s="4" t="s">
        <v>105</v>
      </c>
      <c r="B173">
        <f>('Data Saham'!B173-'Data Saham'!B172)/'Data Saham'!B172</f>
        <v>-6.6152647531089476E-4</v>
      </c>
      <c r="C173">
        <f>('Data Saham'!C173-'Data Saham'!C172)/'Data Saham'!C172</f>
        <v>-2.967359050445104E-3</v>
      </c>
      <c r="D173">
        <f>('Data Saham'!D173-'Data Saham'!D172)/'Data Saham'!D172</f>
        <v>-7.5187969924812026E-3</v>
      </c>
      <c r="E173">
        <f>('Data Saham'!E173-'Data Saham'!E172)/'Data Saham'!E172</f>
        <v>2.0242914979757085E-3</v>
      </c>
      <c r="F173">
        <f>('Data Saham'!F173-'Data Saham'!F172)/'Data Saham'!F172</f>
        <v>-1.5695067264573991E-2</v>
      </c>
      <c r="G173">
        <f>('Data Saham'!G173-'Data Saham'!G172)/'Data Saham'!G172</f>
        <v>-3.8461538461538464E-2</v>
      </c>
      <c r="H173">
        <f>('Data Saham'!H173-'Data Saham'!H172)/'Data Saham'!H172</f>
        <v>0</v>
      </c>
      <c r="I173">
        <f>('Data Saham'!I173-'Data Saham'!I172)/'Data Saham'!I172</f>
        <v>3.003003003003003E-3</v>
      </c>
      <c r="J173">
        <f>('Data Saham'!J173-'Data Saham'!J172)/'Data Saham'!J172</f>
        <v>7.0671378091872791E-3</v>
      </c>
      <c r="K173">
        <f>('Data Saham'!K173-'Data Saham'!K172)/'Data Saham'!K172</f>
        <v>-1.8372703412073491E-2</v>
      </c>
      <c r="L173">
        <f>('Data Saham'!L173-'Data Saham'!L172)/'Data Saham'!L172</f>
        <v>1.1312217194570137E-3</v>
      </c>
      <c r="M173">
        <f>('Data Saham'!M173-'Data Saham'!M172)/'Data Saham'!M172</f>
        <v>-2.3489932885906041E-2</v>
      </c>
      <c r="N173">
        <f>('Data Saham'!N173-'Data Saham'!N172)/'Data Saham'!N172</f>
        <v>4.6082949308755762E-2</v>
      </c>
      <c r="O173">
        <f>('Data Saham'!O173-'Data Saham'!O172)/'Data Saham'!O172</f>
        <v>-1.7142857142857144E-2</v>
      </c>
      <c r="P173">
        <f>('Data Saham'!P173-'Data Saham'!P172)/'Data Saham'!P172</f>
        <v>-1.8181818181818181E-2</v>
      </c>
      <c r="Q173">
        <f>('Data Saham'!Q173-'Data Saham'!Q172)/'Data Saham'!Q172</f>
        <v>-1.0869565217391304E-2</v>
      </c>
      <c r="R173">
        <f>('Data Saham'!R173-'Data Saham'!R172)/'Data Saham'!R172</f>
        <v>0</v>
      </c>
      <c r="S173">
        <f>('Data Saham'!S173-'Data Saham'!S172)/'Data Saham'!S172</f>
        <v>2.1141649048625794E-3</v>
      </c>
      <c r="T173">
        <f>('Data Saham'!T173-'Data Saham'!T172)/'Data Saham'!T172</f>
        <v>1.2345679012345678E-2</v>
      </c>
      <c r="U173">
        <f>('Data Saham'!U173-'Data Saham'!U172)/'Data Saham'!U172</f>
        <v>1.8867924528301886E-2</v>
      </c>
      <c r="V173">
        <f>('Data Saham'!V173-'Data Saham'!V172)/'Data Saham'!V172</f>
        <v>9.2592592592592596E-4</v>
      </c>
      <c r="W173">
        <f>('Data Saham'!W173-'Data Saham'!W172)/'Data Saham'!W172</f>
        <v>5.763688760806916E-3</v>
      </c>
      <c r="X173">
        <f>('Data Saham'!X173-'Data Saham'!X172)/'Data Saham'!X172</f>
        <v>1.1764705882352941E-2</v>
      </c>
      <c r="Y173">
        <f>('Data Saham'!Y173-'Data Saham'!Y172)/'Data Saham'!Y172</f>
        <v>-5.434782608695652E-3</v>
      </c>
      <c r="Z173">
        <f>('Data Saham'!Z173-'Data Saham'!Z172)/'Data Saham'!Z172</f>
        <v>-4.6948356807511738E-3</v>
      </c>
      <c r="AA173">
        <f>('Data Saham'!AA173-'Data Saham'!AA172)/'Data Saham'!AA172</f>
        <v>-1.893939393939394E-2</v>
      </c>
      <c r="AB173">
        <f>('Data Saham'!AB173-'Data Saham'!AB172)/'Data Saham'!AB172</f>
        <v>6.6666666666666666E-2</v>
      </c>
      <c r="AC173">
        <f>('Data Saham'!AC173-'Data Saham'!AC172)/'Data Saham'!AC172</f>
        <v>5.9880239520958087E-3</v>
      </c>
      <c r="AD173">
        <f>('Data Saham'!AD173-'Data Saham'!AD172)/'Data Saham'!AD172</f>
        <v>0</v>
      </c>
      <c r="AE173">
        <f>('Data Saham'!AE173-'Data Saham'!AE172)/'Data Saham'!AE172</f>
        <v>-2.2222222222222223E-2</v>
      </c>
      <c r="AF173">
        <f>('Data Saham'!AF173-'Data Saham'!AF172)/'Data Saham'!AF172</f>
        <v>-5.7803468208092483E-3</v>
      </c>
    </row>
    <row r="174" spans="1:32" x14ac:dyDescent="0.3">
      <c r="A174" s="3" t="s">
        <v>106</v>
      </c>
      <c r="B174">
        <f>('Data Saham'!B174-'Data Saham'!B173)/'Data Saham'!B173</f>
        <v>1.8527872028142357E-2</v>
      </c>
      <c r="C174">
        <f>('Data Saham'!C174-'Data Saham'!C173)/'Data Saham'!C173</f>
        <v>8.9285714285714281E-3</v>
      </c>
      <c r="D174">
        <f>('Data Saham'!D174-'Data Saham'!D173)/'Data Saham'!D173</f>
        <v>5.0505050505050509E-3</v>
      </c>
      <c r="E174">
        <f>('Data Saham'!E174-'Data Saham'!E173)/'Data Saham'!E173</f>
        <v>3.0303030303030304E-2</v>
      </c>
      <c r="F174">
        <f>('Data Saham'!F174-'Data Saham'!F173)/'Data Saham'!F173</f>
        <v>0</v>
      </c>
      <c r="G174">
        <f>('Data Saham'!G174-'Data Saham'!G173)/'Data Saham'!G173</f>
        <v>5.7142857142857141E-2</v>
      </c>
      <c r="H174">
        <f>('Data Saham'!H174-'Data Saham'!H173)/'Data Saham'!H173</f>
        <v>7.7821011673151752E-3</v>
      </c>
      <c r="I174">
        <f>('Data Saham'!I174-'Data Saham'!I173)/'Data Saham'!I173</f>
        <v>0</v>
      </c>
      <c r="J174">
        <f>('Data Saham'!J174-'Data Saham'!J173)/'Data Saham'!J173</f>
        <v>4.5614035087719301E-2</v>
      </c>
      <c r="K174">
        <f>('Data Saham'!K174-'Data Saham'!K173)/'Data Saham'!K173</f>
        <v>2.6737967914438501E-3</v>
      </c>
      <c r="L174">
        <f>('Data Saham'!L174-'Data Saham'!L173)/'Data Saham'!L173</f>
        <v>5.6497175141242938E-3</v>
      </c>
      <c r="M174">
        <f>('Data Saham'!M174-'Data Saham'!M173)/'Data Saham'!M173</f>
        <v>6.8728522336769758E-3</v>
      </c>
      <c r="N174">
        <f>('Data Saham'!N174-'Data Saham'!N173)/'Data Saham'!N173</f>
        <v>1.3215859030837005E-2</v>
      </c>
      <c r="O174">
        <f>('Data Saham'!O174-'Data Saham'!O173)/'Data Saham'!O173</f>
        <v>8.7209302325581394E-3</v>
      </c>
      <c r="P174">
        <f>('Data Saham'!P174-'Data Saham'!P173)/'Data Saham'!P173</f>
        <v>0</v>
      </c>
      <c r="Q174">
        <f>('Data Saham'!Q174-'Data Saham'!Q173)/'Data Saham'!Q173</f>
        <v>1.098901098901099E-2</v>
      </c>
      <c r="R174">
        <f>('Data Saham'!R174-'Data Saham'!R173)/'Data Saham'!R173</f>
        <v>-3.3057851239669422E-2</v>
      </c>
      <c r="S174">
        <f>('Data Saham'!S174-'Data Saham'!S173)/'Data Saham'!S173</f>
        <v>-2.1097046413502108E-3</v>
      </c>
      <c r="T174">
        <f>('Data Saham'!T174-'Data Saham'!T173)/'Data Saham'!T173</f>
        <v>-2.032520325203252E-2</v>
      </c>
      <c r="U174">
        <f>('Data Saham'!U174-'Data Saham'!U173)/'Data Saham'!U173</f>
        <v>-2.9629629629629631E-2</v>
      </c>
      <c r="V174">
        <f>('Data Saham'!V174-'Data Saham'!V173)/'Data Saham'!V173</f>
        <v>1.0175763182238668E-2</v>
      </c>
      <c r="W174">
        <f>('Data Saham'!W174-'Data Saham'!W173)/'Data Saham'!W173</f>
        <v>2.8653295128939827E-3</v>
      </c>
      <c r="X174">
        <f>('Data Saham'!X174-'Data Saham'!X173)/'Data Saham'!X173</f>
        <v>-2.3255813953488372E-2</v>
      </c>
      <c r="Y174">
        <f>('Data Saham'!Y174-'Data Saham'!Y173)/'Data Saham'!Y173</f>
        <v>2.185792349726776E-2</v>
      </c>
      <c r="Z174">
        <f>('Data Saham'!Z174-'Data Saham'!Z173)/'Data Saham'!Z173</f>
        <v>9.433962264150943E-3</v>
      </c>
      <c r="AA174">
        <f>('Data Saham'!AA174-'Data Saham'!AA173)/'Data Saham'!AA173</f>
        <v>3.8610038610038611E-3</v>
      </c>
      <c r="AB174">
        <f>('Data Saham'!AB174-'Data Saham'!AB173)/'Data Saham'!AB173</f>
        <v>1.5625E-2</v>
      </c>
      <c r="AC174">
        <f>('Data Saham'!AC174-'Data Saham'!AC173)/'Data Saham'!AC173</f>
        <v>1.1904761904761904E-2</v>
      </c>
      <c r="AD174">
        <f>('Data Saham'!AD174-'Data Saham'!AD173)/'Data Saham'!AD173</f>
        <v>-5.1282051282051282E-3</v>
      </c>
      <c r="AE174">
        <f>('Data Saham'!AE174-'Data Saham'!AE173)/'Data Saham'!AE173</f>
        <v>5.681818181818182E-3</v>
      </c>
      <c r="AF174">
        <f>('Data Saham'!AF174-'Data Saham'!AF173)/'Data Saham'!AF173</f>
        <v>5.8139534883720929E-3</v>
      </c>
    </row>
    <row r="175" spans="1:32" x14ac:dyDescent="0.3">
      <c r="A175" s="4" t="s">
        <v>107</v>
      </c>
      <c r="B175">
        <f>('Data Saham'!B175-'Data Saham'!B174)/'Data Saham'!B174</f>
        <v>-5.6439427087892182E-3</v>
      </c>
      <c r="C175">
        <f>('Data Saham'!C175-'Data Saham'!C174)/'Data Saham'!C174</f>
        <v>2.9498525073746312E-3</v>
      </c>
      <c r="D175">
        <f>('Data Saham'!D175-'Data Saham'!D174)/'Data Saham'!D174</f>
        <v>-3.7688442211055273E-2</v>
      </c>
      <c r="E175">
        <f>('Data Saham'!E175-'Data Saham'!E174)/'Data Saham'!E174</f>
        <v>-1.4705882352941176E-2</v>
      </c>
      <c r="F175">
        <f>('Data Saham'!F175-'Data Saham'!F174)/'Data Saham'!F174</f>
        <v>6.8337129840546698E-3</v>
      </c>
      <c r="G175">
        <f>('Data Saham'!G175-'Data Saham'!G174)/'Data Saham'!G174</f>
        <v>-1.3513513513513514E-2</v>
      </c>
      <c r="H175">
        <f>('Data Saham'!H175-'Data Saham'!H174)/'Data Saham'!H174</f>
        <v>-3.8610038610038611E-3</v>
      </c>
      <c r="I175">
        <f>('Data Saham'!I175-'Data Saham'!I174)/'Data Saham'!I174</f>
        <v>2.6946107784431138E-2</v>
      </c>
      <c r="J175">
        <f>('Data Saham'!J175-'Data Saham'!J174)/'Data Saham'!J174</f>
        <v>-2.6845637583892617E-2</v>
      </c>
      <c r="K175">
        <f>('Data Saham'!K175-'Data Saham'!K174)/'Data Saham'!K174</f>
        <v>-1.0666666666666666E-2</v>
      </c>
      <c r="L175">
        <f>('Data Saham'!L175-'Data Saham'!L174)/'Data Saham'!L174</f>
        <v>-6.7415730337078653E-3</v>
      </c>
      <c r="M175">
        <f>('Data Saham'!M175-'Data Saham'!M174)/'Data Saham'!M174</f>
        <v>2.3890784982935155E-2</v>
      </c>
      <c r="N175">
        <f>('Data Saham'!N175-'Data Saham'!N174)/'Data Saham'!N174</f>
        <v>0</v>
      </c>
      <c r="O175">
        <f>('Data Saham'!O175-'Data Saham'!O174)/'Data Saham'!O174</f>
        <v>0</v>
      </c>
      <c r="P175">
        <f>('Data Saham'!P175-'Data Saham'!P174)/'Data Saham'!P174</f>
        <v>-9.2592592592592587E-3</v>
      </c>
      <c r="Q175">
        <f>('Data Saham'!Q175-'Data Saham'!Q174)/'Data Saham'!Q174</f>
        <v>-3.6231884057971015E-3</v>
      </c>
      <c r="R175">
        <f>('Data Saham'!R175-'Data Saham'!R174)/'Data Saham'!R174</f>
        <v>5.128205128205128E-2</v>
      </c>
      <c r="S175">
        <f>('Data Saham'!S175-'Data Saham'!S174)/'Data Saham'!S174</f>
        <v>-4.2283298097251587E-3</v>
      </c>
      <c r="T175">
        <f>('Data Saham'!T175-'Data Saham'!T174)/'Data Saham'!T174</f>
        <v>-1.2448132780082987E-2</v>
      </c>
      <c r="U175">
        <f>('Data Saham'!U175-'Data Saham'!U174)/'Data Saham'!U174</f>
        <v>-2.6717557251908396E-2</v>
      </c>
      <c r="V175">
        <f>('Data Saham'!V175-'Data Saham'!V174)/'Data Saham'!V174</f>
        <v>2.7472527472527475E-3</v>
      </c>
      <c r="W175">
        <f>('Data Saham'!W175-'Data Saham'!W174)/'Data Saham'!W174</f>
        <v>-0.02</v>
      </c>
      <c r="X175">
        <f>('Data Saham'!X175-'Data Saham'!X174)/'Data Saham'!X174</f>
        <v>0</v>
      </c>
      <c r="Y175">
        <f>('Data Saham'!Y175-'Data Saham'!Y174)/'Data Saham'!Y174</f>
        <v>-1.06951871657754E-2</v>
      </c>
      <c r="Z175">
        <f>('Data Saham'!Z175-'Data Saham'!Z174)/'Data Saham'!Z174</f>
        <v>-1.8691588785046728E-2</v>
      </c>
      <c r="AA175">
        <f>('Data Saham'!AA175-'Data Saham'!AA174)/'Data Saham'!AA174</f>
        <v>-7.6923076923076927E-3</v>
      </c>
      <c r="AB175">
        <f>('Data Saham'!AB175-'Data Saham'!AB174)/'Data Saham'!AB174</f>
        <v>0</v>
      </c>
      <c r="AC175">
        <f>('Data Saham'!AC175-'Data Saham'!AC174)/'Data Saham'!AC174</f>
        <v>-1.1764705882352941E-2</v>
      </c>
      <c r="AD175">
        <f>('Data Saham'!AD175-'Data Saham'!AD174)/'Data Saham'!AD174</f>
        <v>0</v>
      </c>
      <c r="AE175">
        <f>('Data Saham'!AE175-'Data Saham'!AE174)/'Data Saham'!AE174</f>
        <v>0</v>
      </c>
      <c r="AF175">
        <f>('Data Saham'!AF175-'Data Saham'!AF174)/'Data Saham'!AF174</f>
        <v>-1.1560693641618497E-2</v>
      </c>
    </row>
    <row r="176" spans="1:32" x14ac:dyDescent="0.3">
      <c r="A176" s="3" t="s">
        <v>108</v>
      </c>
      <c r="B176">
        <f>('Data Saham'!B176-'Data Saham'!B175)/'Data Saham'!B175</f>
        <v>9.4169361690143501E-3</v>
      </c>
      <c r="C176">
        <f>('Data Saham'!C176-'Data Saham'!C175)/'Data Saham'!C175</f>
        <v>-8.8235294117647058E-3</v>
      </c>
      <c r="D176">
        <f>('Data Saham'!D176-'Data Saham'!D175)/'Data Saham'!D175</f>
        <v>-1.0443864229765013E-2</v>
      </c>
      <c r="E176">
        <f>('Data Saham'!E176-'Data Saham'!E175)/'Data Saham'!E175</f>
        <v>0</v>
      </c>
      <c r="F176">
        <f>('Data Saham'!F176-'Data Saham'!F175)/'Data Saham'!F175</f>
        <v>-2.2624434389140274E-3</v>
      </c>
      <c r="G176">
        <f>('Data Saham'!G176-'Data Saham'!G175)/'Data Saham'!G175</f>
        <v>1.9178082191780823E-2</v>
      </c>
      <c r="H176">
        <f>('Data Saham'!H176-'Data Saham'!H175)/'Data Saham'!H175</f>
        <v>2.3255813953488372E-2</v>
      </c>
      <c r="I176">
        <f>('Data Saham'!I176-'Data Saham'!I175)/'Data Saham'!I175</f>
        <v>2.9154518950437317E-3</v>
      </c>
      <c r="J176">
        <f>('Data Saham'!J176-'Data Saham'!J175)/'Data Saham'!J175</f>
        <v>2.4137931034482758E-2</v>
      </c>
      <c r="K176">
        <f>('Data Saham'!K176-'Data Saham'!K175)/'Data Saham'!K175</f>
        <v>-5.3908355795148251E-3</v>
      </c>
      <c r="L176">
        <f>('Data Saham'!L176-'Data Saham'!L175)/'Data Saham'!L175</f>
        <v>-2.2624434389140274E-3</v>
      </c>
      <c r="M176">
        <f>('Data Saham'!M176-'Data Saham'!M175)/'Data Saham'!M175</f>
        <v>0.01</v>
      </c>
      <c r="N176">
        <f>('Data Saham'!N176-'Data Saham'!N175)/'Data Saham'!N175</f>
        <v>1.7391304347826087E-2</v>
      </c>
      <c r="O176">
        <f>('Data Saham'!O176-'Data Saham'!O175)/'Data Saham'!O175</f>
        <v>1.1527377521613832E-2</v>
      </c>
      <c r="P176">
        <f>('Data Saham'!P176-'Data Saham'!P175)/'Data Saham'!P175</f>
        <v>9.3457943925233638E-3</v>
      </c>
      <c r="Q176">
        <f>('Data Saham'!Q176-'Data Saham'!Q175)/'Data Saham'!Q175</f>
        <v>0.04</v>
      </c>
      <c r="R176">
        <f>('Data Saham'!R176-'Data Saham'!R175)/'Data Saham'!R175</f>
        <v>2.032520325203252E-2</v>
      </c>
      <c r="S176">
        <f>('Data Saham'!S176-'Data Saham'!S175)/'Data Saham'!S175</f>
        <v>1.0615711252653927E-2</v>
      </c>
      <c r="T176">
        <f>('Data Saham'!T176-'Data Saham'!T175)/'Data Saham'!T175</f>
        <v>3.7815126050420166E-2</v>
      </c>
      <c r="U176">
        <f>('Data Saham'!U176-'Data Saham'!U175)/'Data Saham'!U175</f>
        <v>0.16078431372549021</v>
      </c>
      <c r="V176">
        <f>('Data Saham'!V176-'Data Saham'!V175)/'Data Saham'!V175</f>
        <v>1.5525114155251141E-2</v>
      </c>
      <c r="W176">
        <f>('Data Saham'!W176-'Data Saham'!W175)/'Data Saham'!W175</f>
        <v>2.3323615160349854E-2</v>
      </c>
      <c r="X176">
        <f>('Data Saham'!X176-'Data Saham'!X175)/'Data Saham'!X175</f>
        <v>7.9365079365079361E-3</v>
      </c>
      <c r="Y176">
        <f>('Data Saham'!Y176-'Data Saham'!Y175)/'Data Saham'!Y175</f>
        <v>-8.1081081081081086E-3</v>
      </c>
      <c r="Z176">
        <f>('Data Saham'!Z176-'Data Saham'!Z175)/'Data Saham'!Z175</f>
        <v>-4.7619047619047623E-3</v>
      </c>
      <c r="AA176">
        <f>('Data Saham'!AA176-'Data Saham'!AA175)/'Data Saham'!AA175</f>
        <v>-3.4883720930232558E-2</v>
      </c>
      <c r="AB176">
        <f>('Data Saham'!AB176-'Data Saham'!AB175)/'Data Saham'!AB175</f>
        <v>0</v>
      </c>
      <c r="AC176">
        <f>('Data Saham'!AC176-'Data Saham'!AC175)/'Data Saham'!AC175</f>
        <v>0</v>
      </c>
      <c r="AD176">
        <f>('Data Saham'!AD176-'Data Saham'!AD175)/'Data Saham'!AD175</f>
        <v>5.1546391752577319E-3</v>
      </c>
      <c r="AE176">
        <f>('Data Saham'!AE176-'Data Saham'!AE175)/'Data Saham'!AE175</f>
        <v>0</v>
      </c>
      <c r="AF176">
        <f>('Data Saham'!AF176-'Data Saham'!AF175)/'Data Saham'!AF175</f>
        <v>5.8479532163742687E-3</v>
      </c>
    </row>
    <row r="177" spans="1:32" x14ac:dyDescent="0.3">
      <c r="A177" s="4" t="s">
        <v>109</v>
      </c>
      <c r="B177">
        <f>('Data Saham'!B177-'Data Saham'!B176)/'Data Saham'!B176</f>
        <v>-6.5402406148242827E-3</v>
      </c>
      <c r="C177">
        <f>('Data Saham'!C177-'Data Saham'!C176)/'Data Saham'!C176</f>
        <v>-1.1869436201780416E-2</v>
      </c>
      <c r="D177">
        <f>('Data Saham'!D177-'Data Saham'!D176)/'Data Saham'!D176</f>
        <v>-1.3192612137203167E-2</v>
      </c>
      <c r="E177">
        <f>('Data Saham'!E177-'Data Saham'!E176)/'Data Saham'!E176</f>
        <v>-3.2835820895522387E-2</v>
      </c>
      <c r="F177">
        <f>('Data Saham'!F177-'Data Saham'!F176)/'Data Saham'!F176</f>
        <v>-1.3605442176870748E-2</v>
      </c>
      <c r="G177">
        <f>('Data Saham'!G177-'Data Saham'!G176)/'Data Saham'!G176</f>
        <v>-4.0322580645161289E-2</v>
      </c>
      <c r="H177">
        <f>('Data Saham'!H177-'Data Saham'!H176)/'Data Saham'!H176</f>
        <v>-3.787878787878788E-3</v>
      </c>
      <c r="I177">
        <f>('Data Saham'!I177-'Data Saham'!I176)/'Data Saham'!I176</f>
        <v>-5.8139534883720929E-3</v>
      </c>
      <c r="J177">
        <f>('Data Saham'!J177-'Data Saham'!J176)/'Data Saham'!J176</f>
        <v>-6.7340067340067337E-3</v>
      </c>
      <c r="K177">
        <f>('Data Saham'!K177-'Data Saham'!K176)/'Data Saham'!K176</f>
        <v>-1.8970189701897018E-2</v>
      </c>
      <c r="L177">
        <f>('Data Saham'!L177-'Data Saham'!L176)/'Data Saham'!L176</f>
        <v>-2.2675736961451248E-3</v>
      </c>
      <c r="M177">
        <f>('Data Saham'!M177-'Data Saham'!M176)/'Data Saham'!M176</f>
        <v>-9.9009900990099011E-3</v>
      </c>
      <c r="N177">
        <f>('Data Saham'!N177-'Data Saham'!N176)/'Data Saham'!N176</f>
        <v>4.2735042735042739E-3</v>
      </c>
      <c r="O177">
        <f>('Data Saham'!O177-'Data Saham'!O176)/'Data Saham'!O176</f>
        <v>-8.5470085470085479E-3</v>
      </c>
      <c r="P177">
        <f>('Data Saham'!P177-'Data Saham'!P176)/'Data Saham'!P176</f>
        <v>0</v>
      </c>
      <c r="Q177">
        <f>('Data Saham'!Q177-'Data Saham'!Q176)/'Data Saham'!Q176</f>
        <v>-6.993006993006993E-3</v>
      </c>
      <c r="R177">
        <f>('Data Saham'!R177-'Data Saham'!R176)/'Data Saham'!R176</f>
        <v>-2.3904382470119521E-2</v>
      </c>
      <c r="S177">
        <f>('Data Saham'!S177-'Data Saham'!S176)/'Data Saham'!S176</f>
        <v>-1.8907563025210083E-2</v>
      </c>
      <c r="T177">
        <f>('Data Saham'!T177-'Data Saham'!T176)/'Data Saham'!T176</f>
        <v>-2.4291497975708502E-2</v>
      </c>
      <c r="U177">
        <f>('Data Saham'!U177-'Data Saham'!U176)/'Data Saham'!U176</f>
        <v>-3.0405405405405407E-2</v>
      </c>
      <c r="V177">
        <f>('Data Saham'!V177-'Data Saham'!V176)/'Data Saham'!V176</f>
        <v>1.9784172661870502E-2</v>
      </c>
      <c r="W177">
        <f>('Data Saham'!W177-'Data Saham'!W176)/'Data Saham'!W176</f>
        <v>2.564102564102564E-2</v>
      </c>
      <c r="X177">
        <f>('Data Saham'!X177-'Data Saham'!X176)/'Data Saham'!X176</f>
        <v>-2.3622047244094488E-2</v>
      </c>
      <c r="Y177">
        <f>('Data Saham'!Y177-'Data Saham'!Y176)/'Data Saham'!Y176</f>
        <v>-1.3623978201634877E-2</v>
      </c>
      <c r="Z177">
        <f>('Data Saham'!Z177-'Data Saham'!Z176)/'Data Saham'!Z176</f>
        <v>4.7846889952153108E-3</v>
      </c>
      <c r="AA177">
        <f>('Data Saham'!AA177-'Data Saham'!AA176)/'Data Saham'!AA176</f>
        <v>-8.0321285140562242E-3</v>
      </c>
      <c r="AB177">
        <f>('Data Saham'!AB177-'Data Saham'!AB176)/'Data Saham'!AB176</f>
        <v>0</v>
      </c>
      <c r="AC177">
        <f>('Data Saham'!AC177-'Data Saham'!AC176)/'Data Saham'!AC176</f>
        <v>1.1904761904761904E-2</v>
      </c>
      <c r="AD177">
        <f>('Data Saham'!AD177-'Data Saham'!AD176)/'Data Saham'!AD176</f>
        <v>-2.0512820512820513E-2</v>
      </c>
      <c r="AE177">
        <f>('Data Saham'!AE177-'Data Saham'!AE176)/'Data Saham'!AE176</f>
        <v>1.6949152542372881E-2</v>
      </c>
      <c r="AF177">
        <f>('Data Saham'!AF177-'Data Saham'!AF176)/'Data Saham'!AF176</f>
        <v>-5.8139534883720929E-3</v>
      </c>
    </row>
    <row r="178" spans="1:32" x14ac:dyDescent="0.3">
      <c r="A178" s="3" t="s">
        <v>110</v>
      </c>
      <c r="B178">
        <f>('Data Saham'!B178-'Data Saham'!B177)/'Data Saham'!B177</f>
        <v>-4.3482992369415488E-3</v>
      </c>
      <c r="C178">
        <f>('Data Saham'!C178-'Data Saham'!C177)/'Data Saham'!C177</f>
        <v>-6.006006006006006E-3</v>
      </c>
      <c r="D178">
        <f>('Data Saham'!D178-'Data Saham'!D177)/'Data Saham'!D177</f>
        <v>-1.6042780748663103E-2</v>
      </c>
      <c r="E178">
        <f>('Data Saham'!E178-'Data Saham'!E177)/'Data Saham'!E177</f>
        <v>-6.1728395061728392E-3</v>
      </c>
      <c r="F178">
        <f>('Data Saham'!F178-'Data Saham'!F177)/'Data Saham'!F177</f>
        <v>-2.0689655172413793E-2</v>
      </c>
      <c r="G178">
        <f>('Data Saham'!G178-'Data Saham'!G177)/'Data Saham'!G177</f>
        <v>-1.680672268907563E-2</v>
      </c>
      <c r="H178">
        <f>('Data Saham'!H178-'Data Saham'!H177)/'Data Saham'!H177</f>
        <v>-3.8022813688212928E-3</v>
      </c>
      <c r="I178">
        <f>('Data Saham'!I178-'Data Saham'!I177)/'Data Saham'!I177</f>
        <v>-1.1695906432748537E-2</v>
      </c>
      <c r="J178">
        <f>('Data Saham'!J178-'Data Saham'!J177)/'Data Saham'!J177</f>
        <v>-3.3898305084745762E-3</v>
      </c>
      <c r="K178">
        <f>('Data Saham'!K178-'Data Saham'!K177)/'Data Saham'!K177</f>
        <v>0</v>
      </c>
      <c r="L178">
        <f>('Data Saham'!L178-'Data Saham'!L177)/'Data Saham'!L177</f>
        <v>2.2727272727272726E-3</v>
      </c>
      <c r="M178">
        <f>('Data Saham'!M178-'Data Saham'!M177)/'Data Saham'!M177</f>
        <v>-0.03</v>
      </c>
      <c r="N178">
        <f>('Data Saham'!N178-'Data Saham'!N177)/'Data Saham'!N177</f>
        <v>-2.9787234042553193E-2</v>
      </c>
      <c r="O178">
        <f>('Data Saham'!O178-'Data Saham'!O177)/'Data Saham'!O177</f>
        <v>3.7356321839080463E-2</v>
      </c>
      <c r="P178">
        <f>('Data Saham'!P178-'Data Saham'!P177)/'Data Saham'!P177</f>
        <v>9.2592592592592587E-3</v>
      </c>
      <c r="Q178">
        <f>('Data Saham'!Q178-'Data Saham'!Q177)/'Data Saham'!Q177</f>
        <v>1.7605633802816902E-2</v>
      </c>
      <c r="R178">
        <f>('Data Saham'!R178-'Data Saham'!R177)/'Data Saham'!R177</f>
        <v>-2.0408163265306121E-2</v>
      </c>
      <c r="S178">
        <f>('Data Saham'!S178-'Data Saham'!S177)/'Data Saham'!S177</f>
        <v>-8.5653104925053538E-3</v>
      </c>
      <c r="T178">
        <f>('Data Saham'!T178-'Data Saham'!T177)/'Data Saham'!T177</f>
        <v>1.2448132780082987E-2</v>
      </c>
      <c r="U178">
        <f>('Data Saham'!U178-'Data Saham'!U177)/'Data Saham'!U177</f>
        <v>1.3937282229965157E-2</v>
      </c>
      <c r="V178">
        <f>('Data Saham'!V178-'Data Saham'!V177)/'Data Saham'!V177</f>
        <v>-1.2345679012345678E-2</v>
      </c>
      <c r="W178">
        <f>('Data Saham'!W178-'Data Saham'!W177)/'Data Saham'!W177</f>
        <v>-5.5555555555555558E-3</v>
      </c>
      <c r="X178">
        <f>('Data Saham'!X178-'Data Saham'!X177)/'Data Saham'!X177</f>
        <v>0</v>
      </c>
      <c r="Y178">
        <f>('Data Saham'!Y178-'Data Saham'!Y177)/'Data Saham'!Y177</f>
        <v>-5.5248618784530384E-3</v>
      </c>
      <c r="Z178">
        <f>('Data Saham'!Z178-'Data Saham'!Z177)/'Data Saham'!Z177</f>
        <v>-4.7619047619047623E-3</v>
      </c>
      <c r="AA178">
        <f>('Data Saham'!AA178-'Data Saham'!AA177)/'Data Saham'!AA177</f>
        <v>-4.048582995951417E-3</v>
      </c>
      <c r="AB178">
        <f>('Data Saham'!AB178-'Data Saham'!AB177)/'Data Saham'!AB177</f>
        <v>-1.5384615384615385E-2</v>
      </c>
      <c r="AC178">
        <f>('Data Saham'!AC178-'Data Saham'!AC177)/'Data Saham'!AC177</f>
        <v>-5.8823529411764705E-3</v>
      </c>
      <c r="AD178">
        <f>('Data Saham'!AD178-'Data Saham'!AD177)/'Data Saham'!AD177</f>
        <v>1.0471204188481676E-2</v>
      </c>
      <c r="AE178">
        <f>('Data Saham'!AE178-'Data Saham'!AE177)/'Data Saham'!AE177</f>
        <v>6.1111111111111109E-2</v>
      </c>
      <c r="AF178">
        <f>('Data Saham'!AF178-'Data Saham'!AF177)/'Data Saham'!AF177</f>
        <v>1.7543859649122806E-2</v>
      </c>
    </row>
    <row r="179" spans="1:32" x14ac:dyDescent="0.3">
      <c r="A179" s="2">
        <v>45669</v>
      </c>
      <c r="B179">
        <f>('Data Saham'!B179-'Data Saham'!B178)/'Data Saham'!B178</f>
        <v>4.7104672741228402E-3</v>
      </c>
      <c r="C179">
        <f>('Data Saham'!C179-'Data Saham'!C178)/'Data Saham'!C178</f>
        <v>1.5105740181268883E-2</v>
      </c>
      <c r="D179">
        <f>('Data Saham'!D179-'Data Saham'!D178)/'Data Saham'!D178</f>
        <v>-2.717391304347826E-3</v>
      </c>
      <c r="E179">
        <f>('Data Saham'!E179-'Data Saham'!E178)/'Data Saham'!E178</f>
        <v>6.2111801242236021E-3</v>
      </c>
      <c r="F179">
        <f>('Data Saham'!F179-'Data Saham'!F178)/'Data Saham'!F178</f>
        <v>1.1737089201877934E-2</v>
      </c>
      <c r="G179">
        <f>('Data Saham'!G179-'Data Saham'!G178)/'Data Saham'!G178</f>
        <v>3.9886039886039885E-2</v>
      </c>
      <c r="H179">
        <f>('Data Saham'!H179-'Data Saham'!H178)/'Data Saham'!H178</f>
        <v>-2.6717557251908396E-2</v>
      </c>
      <c r="I179">
        <f>('Data Saham'!I179-'Data Saham'!I178)/'Data Saham'!I178</f>
        <v>-5.9171597633136093E-3</v>
      </c>
      <c r="J179">
        <f>('Data Saham'!J179-'Data Saham'!J178)/'Data Saham'!J178</f>
        <v>0</v>
      </c>
      <c r="K179">
        <f>('Data Saham'!K179-'Data Saham'!K178)/'Data Saham'!K178</f>
        <v>5.5248618784530384E-3</v>
      </c>
      <c r="L179">
        <f>('Data Saham'!L179-'Data Saham'!L178)/'Data Saham'!L178</f>
        <v>-6.8027210884353739E-3</v>
      </c>
      <c r="M179">
        <f>('Data Saham'!M179-'Data Saham'!M178)/'Data Saham'!M178</f>
        <v>2.7491408934707903E-2</v>
      </c>
      <c r="N179">
        <f>('Data Saham'!N179-'Data Saham'!N178)/'Data Saham'!N178</f>
        <v>1.3157894736842105E-2</v>
      </c>
      <c r="O179">
        <f>('Data Saham'!O179-'Data Saham'!O178)/'Data Saham'!O178</f>
        <v>3.6011080332409975E-2</v>
      </c>
      <c r="P179">
        <f>('Data Saham'!P179-'Data Saham'!P178)/'Data Saham'!P178</f>
        <v>0</v>
      </c>
      <c r="Q179">
        <f>('Data Saham'!Q179-'Data Saham'!Q178)/'Data Saham'!Q178</f>
        <v>-1.0380622837370242E-2</v>
      </c>
      <c r="R179">
        <f>('Data Saham'!R179-'Data Saham'!R178)/'Data Saham'!R178</f>
        <v>4.1666666666666666E-3</v>
      </c>
      <c r="S179">
        <f>('Data Saham'!S179-'Data Saham'!S178)/'Data Saham'!S178</f>
        <v>1.7278617710583154E-2</v>
      </c>
      <c r="T179">
        <f>('Data Saham'!T179-'Data Saham'!T178)/'Data Saham'!T178</f>
        <v>7.7868852459016397E-2</v>
      </c>
      <c r="U179">
        <f>('Data Saham'!U179-'Data Saham'!U178)/'Data Saham'!U178</f>
        <v>-1.3745704467353952E-2</v>
      </c>
      <c r="V179">
        <f>('Data Saham'!V179-'Data Saham'!V178)/'Data Saham'!V178</f>
        <v>-8.9285714285714283E-4</v>
      </c>
      <c r="W179">
        <f>('Data Saham'!W179-'Data Saham'!W178)/'Data Saham'!W178</f>
        <v>-3.0726256983240222E-2</v>
      </c>
      <c r="X179">
        <f>('Data Saham'!X179-'Data Saham'!X178)/'Data Saham'!X178</f>
        <v>-1.6129032258064516E-2</v>
      </c>
      <c r="Y179">
        <f>('Data Saham'!Y179-'Data Saham'!Y178)/'Data Saham'!Y178</f>
        <v>-8.3333333333333332E-3</v>
      </c>
      <c r="Z179">
        <f>('Data Saham'!Z179-'Data Saham'!Z178)/'Data Saham'!Z178</f>
        <v>-4.7846889952153108E-3</v>
      </c>
      <c r="AA179">
        <f>('Data Saham'!AA179-'Data Saham'!AA178)/'Data Saham'!AA178</f>
        <v>-8.130081300813009E-3</v>
      </c>
      <c r="AB179">
        <f>('Data Saham'!AB179-'Data Saham'!AB178)/'Data Saham'!AB178</f>
        <v>4.6875E-2</v>
      </c>
      <c r="AC179">
        <f>('Data Saham'!AC179-'Data Saham'!AC178)/'Data Saham'!AC178</f>
        <v>-1.7751479289940829E-2</v>
      </c>
      <c r="AD179">
        <f>('Data Saham'!AD179-'Data Saham'!AD178)/'Data Saham'!AD178</f>
        <v>1.0362694300518135E-2</v>
      </c>
      <c r="AE179">
        <f>('Data Saham'!AE179-'Data Saham'!AE178)/'Data Saham'!AE178</f>
        <v>-5.235602094240838E-3</v>
      </c>
      <c r="AF179">
        <f>('Data Saham'!AF179-'Data Saham'!AF178)/'Data Saham'!AF178</f>
        <v>-1.1494252873563218E-2</v>
      </c>
    </row>
    <row r="180" spans="1:32" x14ac:dyDescent="0.3">
      <c r="A180" s="1">
        <v>45700</v>
      </c>
      <c r="B180">
        <f>('Data Saham'!B180-'Data Saham'!B179)/'Data Saham'!B179</f>
        <v>7.9835859811739438E-3</v>
      </c>
      <c r="C180">
        <f>('Data Saham'!C180-'Data Saham'!C179)/'Data Saham'!C179</f>
        <v>-2.976190476190476E-3</v>
      </c>
      <c r="D180">
        <f>('Data Saham'!D180-'Data Saham'!D179)/'Data Saham'!D179</f>
        <v>1.0899182561307902E-2</v>
      </c>
      <c r="E180">
        <f>('Data Saham'!E180-'Data Saham'!E179)/'Data Saham'!E179</f>
        <v>-2.05761316872428E-3</v>
      </c>
      <c r="F180">
        <f>('Data Saham'!F180-'Data Saham'!F179)/'Data Saham'!F179</f>
        <v>-9.2807424593967514E-3</v>
      </c>
      <c r="G180">
        <f>('Data Saham'!G180-'Data Saham'!G179)/'Data Saham'!G179</f>
        <v>-2.4657534246575342E-2</v>
      </c>
      <c r="H180">
        <f>('Data Saham'!H180-'Data Saham'!H179)/'Data Saham'!H179</f>
        <v>3.9215686274509803E-2</v>
      </c>
      <c r="I180">
        <f>('Data Saham'!I180-'Data Saham'!I179)/'Data Saham'!I179</f>
        <v>-3.5714285714285712E-2</v>
      </c>
      <c r="J180">
        <f>('Data Saham'!J180-'Data Saham'!J179)/'Data Saham'!J179</f>
        <v>-2.0408163265306121E-2</v>
      </c>
      <c r="K180">
        <f>('Data Saham'!K180-'Data Saham'!K179)/'Data Saham'!K179</f>
        <v>1.098901098901099E-2</v>
      </c>
      <c r="L180">
        <f>('Data Saham'!L180-'Data Saham'!L179)/'Data Saham'!L179</f>
        <v>4.5662100456621002E-3</v>
      </c>
      <c r="M180">
        <f>('Data Saham'!M180-'Data Saham'!M179)/'Data Saham'!M179</f>
        <v>-3.3444816053511705E-3</v>
      </c>
      <c r="N180">
        <f>('Data Saham'!N180-'Data Saham'!N179)/'Data Saham'!N179</f>
        <v>-1.2987012987012988E-2</v>
      </c>
      <c r="O180">
        <f>('Data Saham'!O180-'Data Saham'!O179)/'Data Saham'!O179</f>
        <v>-2.1390374331550801E-2</v>
      </c>
      <c r="P180">
        <f>('Data Saham'!P180-'Data Saham'!P179)/'Data Saham'!P179</f>
        <v>1.834862385321101E-2</v>
      </c>
      <c r="Q180">
        <f>('Data Saham'!Q180-'Data Saham'!Q179)/'Data Saham'!Q179</f>
        <v>-1.7482517482517484E-2</v>
      </c>
      <c r="R180">
        <f>('Data Saham'!R180-'Data Saham'!R179)/'Data Saham'!R179</f>
        <v>-5.3941908713692949E-2</v>
      </c>
      <c r="S180">
        <f>('Data Saham'!S180-'Data Saham'!S179)/'Data Saham'!S179</f>
        <v>8.4925690021231421E-3</v>
      </c>
      <c r="T180">
        <f>('Data Saham'!T180-'Data Saham'!T179)/'Data Saham'!T179</f>
        <v>4.5627376425855515E-2</v>
      </c>
      <c r="U180">
        <f>('Data Saham'!U180-'Data Saham'!U179)/'Data Saham'!U179</f>
        <v>-2.0905923344947737E-2</v>
      </c>
      <c r="V180">
        <f>('Data Saham'!V180-'Data Saham'!V179)/'Data Saham'!V179</f>
        <v>1.9660411081322611E-2</v>
      </c>
      <c r="W180">
        <f>('Data Saham'!W180-'Data Saham'!W179)/'Data Saham'!W179</f>
        <v>8.6455331412103754E-3</v>
      </c>
      <c r="X180">
        <f>('Data Saham'!X180-'Data Saham'!X179)/'Data Saham'!X179</f>
        <v>1.6393442622950821E-2</v>
      </c>
      <c r="Y180">
        <f>('Data Saham'!Y180-'Data Saham'!Y179)/'Data Saham'!Y179</f>
        <v>1.1204481792717087E-2</v>
      </c>
      <c r="Z180">
        <f>('Data Saham'!Z180-'Data Saham'!Z179)/'Data Saham'!Z179</f>
        <v>9.6153846153846159E-3</v>
      </c>
      <c r="AA180">
        <f>('Data Saham'!AA180-'Data Saham'!AA179)/'Data Saham'!AA179</f>
        <v>0</v>
      </c>
      <c r="AB180">
        <f>('Data Saham'!AB180-'Data Saham'!AB179)/'Data Saham'!AB179</f>
        <v>-2.9850746268656716E-2</v>
      </c>
      <c r="AC180">
        <f>('Data Saham'!AC180-'Data Saham'!AC179)/'Data Saham'!AC179</f>
        <v>6.024096385542169E-3</v>
      </c>
      <c r="AD180">
        <f>('Data Saham'!AD180-'Data Saham'!AD179)/'Data Saham'!AD179</f>
        <v>-5.1282051282051282E-3</v>
      </c>
      <c r="AE180">
        <f>('Data Saham'!AE180-'Data Saham'!AE179)/'Data Saham'!AE179</f>
        <v>-2.1052631578947368E-2</v>
      </c>
      <c r="AF180">
        <f>('Data Saham'!AF180-'Data Saham'!AF179)/'Data Saham'!AF179</f>
        <v>5.8139534883720929E-3</v>
      </c>
    </row>
    <row r="181" spans="1:32" x14ac:dyDescent="0.3">
      <c r="A181" s="2">
        <v>45728</v>
      </c>
      <c r="B181">
        <f>('Data Saham'!B181-'Data Saham'!B180)/'Data Saham'!B180</f>
        <v>-6.0925793543954764E-4</v>
      </c>
      <c r="C181">
        <f>('Data Saham'!C181-'Data Saham'!C180)/'Data Saham'!C180</f>
        <v>-8.9552238805970154E-3</v>
      </c>
      <c r="D181">
        <f>('Data Saham'!D181-'Data Saham'!D180)/'Data Saham'!D180</f>
        <v>-1.3477088948787063E-2</v>
      </c>
      <c r="E181">
        <f>('Data Saham'!E181-'Data Saham'!E180)/'Data Saham'!E180</f>
        <v>6.1855670103092781E-3</v>
      </c>
      <c r="F181">
        <f>('Data Saham'!F181-'Data Saham'!F180)/'Data Saham'!F180</f>
        <v>-2.34192037470726E-3</v>
      </c>
      <c r="G181">
        <f>('Data Saham'!G181-'Data Saham'!G180)/'Data Saham'!G180</f>
        <v>5.6179775280898875E-3</v>
      </c>
      <c r="H181">
        <f>('Data Saham'!H181-'Data Saham'!H180)/'Data Saham'!H180</f>
        <v>-3.7735849056603774E-3</v>
      </c>
      <c r="I181">
        <f>('Data Saham'!I181-'Data Saham'!I180)/'Data Saham'!I180</f>
        <v>3.0864197530864196E-3</v>
      </c>
      <c r="J181">
        <f>('Data Saham'!J181-'Data Saham'!J180)/'Data Saham'!J180</f>
        <v>-2.0833333333333332E-2</v>
      </c>
      <c r="K181">
        <f>('Data Saham'!K181-'Data Saham'!K180)/'Data Saham'!K180</f>
        <v>5.434782608695652E-3</v>
      </c>
      <c r="L181">
        <f>('Data Saham'!L181-'Data Saham'!L180)/'Data Saham'!L180</f>
        <v>-1.1363636363636363E-3</v>
      </c>
      <c r="M181">
        <f>('Data Saham'!M181-'Data Saham'!M180)/'Data Saham'!M180</f>
        <v>-2.0134228187919462E-2</v>
      </c>
      <c r="N181">
        <f>('Data Saham'!N181-'Data Saham'!N180)/'Data Saham'!N180</f>
        <v>-8.771929824561403E-3</v>
      </c>
      <c r="O181">
        <f>('Data Saham'!O181-'Data Saham'!O180)/'Data Saham'!O180</f>
        <v>2.185792349726776E-2</v>
      </c>
      <c r="P181">
        <f>('Data Saham'!P181-'Data Saham'!P180)/'Data Saham'!P180</f>
        <v>0</v>
      </c>
      <c r="Q181">
        <f>('Data Saham'!Q181-'Data Saham'!Q180)/'Data Saham'!Q180</f>
        <v>-7.1174377224199285E-3</v>
      </c>
      <c r="R181">
        <f>('Data Saham'!R181-'Data Saham'!R180)/'Data Saham'!R180</f>
        <v>3.0701754385964911E-2</v>
      </c>
      <c r="S181">
        <f>('Data Saham'!S181-'Data Saham'!S180)/'Data Saham'!S180</f>
        <v>6.3157894736842104E-3</v>
      </c>
      <c r="T181">
        <f>('Data Saham'!T181-'Data Saham'!T180)/'Data Saham'!T180</f>
        <v>-1.4545454545454545E-2</v>
      </c>
      <c r="U181">
        <f>('Data Saham'!U181-'Data Saham'!U180)/'Data Saham'!U180</f>
        <v>1.7793594306049824E-2</v>
      </c>
      <c r="V181">
        <f>('Data Saham'!V181-'Data Saham'!V180)/'Data Saham'!V180</f>
        <v>6.1349693251533744E-3</v>
      </c>
      <c r="W181">
        <f>('Data Saham'!W181-'Data Saham'!W180)/'Data Saham'!W180</f>
        <v>-2.8571428571428571E-3</v>
      </c>
      <c r="X181">
        <f>('Data Saham'!X181-'Data Saham'!X180)/'Data Saham'!X180</f>
        <v>-4.0322580645161289E-3</v>
      </c>
      <c r="Y181">
        <f>('Data Saham'!Y181-'Data Saham'!Y180)/'Data Saham'!Y180</f>
        <v>1.9390581717451522E-2</v>
      </c>
      <c r="Z181">
        <f>('Data Saham'!Z181-'Data Saham'!Z180)/'Data Saham'!Z180</f>
        <v>0</v>
      </c>
      <c r="AA181">
        <f>('Data Saham'!AA181-'Data Saham'!AA180)/'Data Saham'!AA180</f>
        <v>4.0983606557377051E-3</v>
      </c>
      <c r="AB181">
        <f>('Data Saham'!AB181-'Data Saham'!AB180)/'Data Saham'!AB180</f>
        <v>-1.5384615384615385E-2</v>
      </c>
      <c r="AC181">
        <f>('Data Saham'!AC181-'Data Saham'!AC180)/'Data Saham'!AC180</f>
        <v>-5.9880239520958087E-3</v>
      </c>
      <c r="AD181">
        <f>('Data Saham'!AD181-'Data Saham'!AD180)/'Data Saham'!AD180</f>
        <v>-5.1546391752577319E-3</v>
      </c>
      <c r="AE181">
        <f>('Data Saham'!AE181-'Data Saham'!AE180)/'Data Saham'!AE180</f>
        <v>-5.3763440860215058E-3</v>
      </c>
      <c r="AF181">
        <f>('Data Saham'!AF181-'Data Saham'!AF180)/'Data Saham'!AF180</f>
        <v>1.1560693641618497E-2</v>
      </c>
    </row>
    <row r="182" spans="1:32" x14ac:dyDescent="0.3">
      <c r="A182" s="1">
        <v>45759</v>
      </c>
      <c r="B182">
        <f>('Data Saham'!B182-'Data Saham'!B181)/'Data Saham'!B181</f>
        <v>3.298965720250941E-3</v>
      </c>
      <c r="C182">
        <f>('Data Saham'!C182-'Data Saham'!C181)/'Data Saham'!C181</f>
        <v>-9.0361445783132526E-3</v>
      </c>
      <c r="D182">
        <f>('Data Saham'!D182-'Data Saham'!D181)/'Data Saham'!D181</f>
        <v>8.1967213114754103E-3</v>
      </c>
      <c r="E182">
        <f>('Data Saham'!E182-'Data Saham'!E181)/'Data Saham'!E181</f>
        <v>8.1967213114754103E-3</v>
      </c>
      <c r="F182">
        <f>('Data Saham'!F182-'Data Saham'!F181)/'Data Saham'!F181</f>
        <v>1.1737089201877934E-2</v>
      </c>
      <c r="G182">
        <f>('Data Saham'!G182-'Data Saham'!G181)/'Data Saham'!G181</f>
        <v>1.3966480446927373E-2</v>
      </c>
      <c r="H182">
        <f>('Data Saham'!H182-'Data Saham'!H181)/'Data Saham'!H181</f>
        <v>1.893939393939394E-2</v>
      </c>
      <c r="I182">
        <f>('Data Saham'!I182-'Data Saham'!I181)/'Data Saham'!I181</f>
        <v>9.2307692307692316E-3</v>
      </c>
      <c r="J182">
        <f>('Data Saham'!J182-'Data Saham'!J181)/'Data Saham'!J181</f>
        <v>-3.5460992907801418E-3</v>
      </c>
      <c r="K182">
        <f>('Data Saham'!K182-'Data Saham'!K181)/'Data Saham'!K181</f>
        <v>-2.1621621621621623E-2</v>
      </c>
      <c r="L182">
        <f>('Data Saham'!L182-'Data Saham'!L181)/'Data Saham'!L181</f>
        <v>-1.1376564277588168E-3</v>
      </c>
      <c r="M182">
        <f>('Data Saham'!M182-'Data Saham'!M181)/'Data Saham'!M181</f>
        <v>-6.8493150684931503E-3</v>
      </c>
      <c r="N182">
        <f>('Data Saham'!N182-'Data Saham'!N181)/'Data Saham'!N181</f>
        <v>-4.4247787610619468E-3</v>
      </c>
      <c r="O182">
        <f>('Data Saham'!O182-'Data Saham'!O181)/'Data Saham'!O181</f>
        <v>-1.06951871657754E-2</v>
      </c>
      <c r="P182">
        <f>('Data Saham'!P182-'Data Saham'!P181)/'Data Saham'!P181</f>
        <v>9.0090090090090089E-3</v>
      </c>
      <c r="Q182">
        <f>('Data Saham'!Q182-'Data Saham'!Q181)/'Data Saham'!Q181</f>
        <v>3.5842293906810034E-2</v>
      </c>
      <c r="R182">
        <f>('Data Saham'!R182-'Data Saham'!R181)/'Data Saham'!R181</f>
        <v>1.276595744680851E-2</v>
      </c>
      <c r="S182">
        <f>('Data Saham'!S182-'Data Saham'!S181)/'Data Saham'!S181</f>
        <v>-2.0920502092050207E-3</v>
      </c>
      <c r="T182">
        <f>('Data Saham'!T182-'Data Saham'!T181)/'Data Saham'!T181</f>
        <v>-2.9520295202952029E-2</v>
      </c>
      <c r="U182">
        <f>('Data Saham'!U182-'Data Saham'!U181)/'Data Saham'!U181</f>
        <v>-2.097902097902098E-2</v>
      </c>
      <c r="V182">
        <f>('Data Saham'!V182-'Data Saham'!V181)/'Data Saham'!V181</f>
        <v>6.8815331010452965E-2</v>
      </c>
      <c r="W182">
        <f>('Data Saham'!W182-'Data Saham'!W181)/'Data Saham'!W181</f>
        <v>2.8653295128939827E-3</v>
      </c>
      <c r="X182">
        <f>('Data Saham'!X182-'Data Saham'!X181)/'Data Saham'!X181</f>
        <v>6.4777327935222673E-2</v>
      </c>
      <c r="Y182">
        <f>('Data Saham'!Y182-'Data Saham'!Y181)/'Data Saham'!Y181</f>
        <v>5.434782608695652E-3</v>
      </c>
      <c r="Z182">
        <f>('Data Saham'!Z182-'Data Saham'!Z181)/'Data Saham'!Z181</f>
        <v>0</v>
      </c>
      <c r="AA182">
        <f>('Data Saham'!AA182-'Data Saham'!AA181)/'Data Saham'!AA181</f>
        <v>3.2653061224489799E-2</v>
      </c>
      <c r="AB182">
        <f>('Data Saham'!AB182-'Data Saham'!AB181)/'Data Saham'!AB181</f>
        <v>0</v>
      </c>
      <c r="AC182">
        <f>('Data Saham'!AC182-'Data Saham'!AC181)/'Data Saham'!AC181</f>
        <v>0</v>
      </c>
      <c r="AD182">
        <f>('Data Saham'!AD182-'Data Saham'!AD181)/'Data Saham'!AD181</f>
        <v>-1.0362694300518135E-2</v>
      </c>
      <c r="AE182">
        <f>('Data Saham'!AE182-'Data Saham'!AE181)/'Data Saham'!AE181</f>
        <v>-5.4054054054054057E-3</v>
      </c>
      <c r="AF182">
        <f>('Data Saham'!AF182-'Data Saham'!AF181)/'Data Saham'!AF181</f>
        <v>0</v>
      </c>
    </row>
    <row r="183" spans="1:32" x14ac:dyDescent="0.3">
      <c r="A183" s="2">
        <v>45789</v>
      </c>
      <c r="B183">
        <f>('Data Saham'!B183-'Data Saham'!B182)/'Data Saham'!B182</f>
        <v>-8.6109117844500229E-4</v>
      </c>
      <c r="C183">
        <f>('Data Saham'!C183-'Data Saham'!C182)/'Data Saham'!C182</f>
        <v>9.11854103343465E-3</v>
      </c>
      <c r="D183">
        <f>('Data Saham'!D183-'Data Saham'!D182)/'Data Saham'!D182</f>
        <v>-1.0840108401084011E-2</v>
      </c>
      <c r="E183">
        <f>('Data Saham'!E183-'Data Saham'!E182)/'Data Saham'!E182</f>
        <v>-4.0650406504065045E-3</v>
      </c>
      <c r="F183">
        <f>('Data Saham'!F183-'Data Saham'!F182)/'Data Saham'!F182</f>
        <v>-4.6403712296983757E-3</v>
      </c>
      <c r="G183">
        <f>('Data Saham'!G183-'Data Saham'!G182)/'Data Saham'!G182</f>
        <v>1.928374655647383E-2</v>
      </c>
      <c r="H183">
        <f>('Data Saham'!H183-'Data Saham'!H182)/'Data Saham'!H182</f>
        <v>-3.7174721189591076E-3</v>
      </c>
      <c r="I183">
        <f>('Data Saham'!I183-'Data Saham'!I182)/'Data Saham'!I182</f>
        <v>-1.8292682926829267E-2</v>
      </c>
      <c r="J183">
        <f>('Data Saham'!J183-'Data Saham'!J182)/'Data Saham'!J182</f>
        <v>1.0676156583629894E-2</v>
      </c>
      <c r="K183">
        <f>('Data Saham'!K183-'Data Saham'!K182)/'Data Saham'!K182</f>
        <v>2.7624309392265192E-3</v>
      </c>
      <c r="L183">
        <f>('Data Saham'!L183-'Data Saham'!L182)/'Data Saham'!L182</f>
        <v>2.2779043280182231E-3</v>
      </c>
      <c r="M183">
        <f>('Data Saham'!M183-'Data Saham'!M182)/'Data Saham'!M182</f>
        <v>3.4482758620689655E-3</v>
      </c>
      <c r="N183">
        <f>('Data Saham'!N183-'Data Saham'!N182)/'Data Saham'!N182</f>
        <v>-8.8888888888888889E-3</v>
      </c>
      <c r="O183">
        <f>('Data Saham'!O183-'Data Saham'!O182)/'Data Saham'!O182</f>
        <v>-1.3513513513513514E-2</v>
      </c>
      <c r="P183">
        <f>('Data Saham'!P183-'Data Saham'!P182)/'Data Saham'!P182</f>
        <v>-8.9285714285714281E-3</v>
      </c>
      <c r="Q183">
        <f>('Data Saham'!Q183-'Data Saham'!Q182)/'Data Saham'!Q182</f>
        <v>0.10726643598615918</v>
      </c>
      <c r="R183">
        <f>('Data Saham'!R183-'Data Saham'!R182)/'Data Saham'!R182</f>
        <v>-2.5210084033613446E-2</v>
      </c>
      <c r="S183">
        <f>('Data Saham'!S183-'Data Saham'!S182)/'Data Saham'!S182</f>
        <v>0</v>
      </c>
      <c r="T183">
        <f>('Data Saham'!T183-'Data Saham'!T182)/'Data Saham'!T182</f>
        <v>3.8022813688212928E-3</v>
      </c>
      <c r="U183">
        <f>('Data Saham'!U183-'Data Saham'!U182)/'Data Saham'!U182</f>
        <v>3.9285714285714285E-2</v>
      </c>
      <c r="V183">
        <f>('Data Saham'!V183-'Data Saham'!V182)/'Data Saham'!V182</f>
        <v>5.7049714751426246E-3</v>
      </c>
      <c r="W183">
        <f>('Data Saham'!W183-'Data Saham'!W182)/'Data Saham'!W182</f>
        <v>0</v>
      </c>
      <c r="X183">
        <f>('Data Saham'!X183-'Data Saham'!X182)/'Data Saham'!X182</f>
        <v>-2.6615969581749048E-2</v>
      </c>
      <c r="Y183">
        <f>('Data Saham'!Y183-'Data Saham'!Y182)/'Data Saham'!Y182</f>
        <v>-2.7027027027027029E-3</v>
      </c>
      <c r="Z183">
        <f>('Data Saham'!Z183-'Data Saham'!Z182)/'Data Saham'!Z182</f>
        <v>0</v>
      </c>
      <c r="AA183">
        <f>('Data Saham'!AA183-'Data Saham'!AA182)/'Data Saham'!AA182</f>
        <v>-3.1620553359683792E-2</v>
      </c>
      <c r="AB183">
        <f>('Data Saham'!AB183-'Data Saham'!AB182)/'Data Saham'!AB182</f>
        <v>0</v>
      </c>
      <c r="AC183">
        <f>('Data Saham'!AC183-'Data Saham'!AC182)/'Data Saham'!AC182</f>
        <v>-1.2048192771084338E-2</v>
      </c>
      <c r="AD183">
        <f>('Data Saham'!AD183-'Data Saham'!AD182)/'Data Saham'!AD182</f>
        <v>5.235602094240838E-3</v>
      </c>
      <c r="AE183">
        <f>('Data Saham'!AE183-'Data Saham'!AE182)/'Data Saham'!AE182</f>
        <v>-2.1739130434782608E-2</v>
      </c>
      <c r="AF183">
        <f>('Data Saham'!AF183-'Data Saham'!AF182)/'Data Saham'!AF182</f>
        <v>-1.7142857142857144E-2</v>
      </c>
    </row>
    <row r="184" spans="1:32" x14ac:dyDescent="0.3">
      <c r="A184" s="1">
        <v>45881</v>
      </c>
      <c r="B184">
        <f>('Data Saham'!B184-'Data Saham'!B183)/'Data Saham'!B183</f>
        <v>9.0283987971402548E-3</v>
      </c>
      <c r="C184">
        <f>('Data Saham'!C184-'Data Saham'!C183)/'Data Saham'!C183</f>
        <v>0</v>
      </c>
      <c r="D184">
        <f>('Data Saham'!D184-'Data Saham'!D183)/'Data Saham'!D183</f>
        <v>5.4794520547945206E-3</v>
      </c>
      <c r="E184">
        <f>('Data Saham'!E184-'Data Saham'!E183)/'Data Saham'!E183</f>
        <v>1.020408163265306E-2</v>
      </c>
      <c r="F184">
        <f>('Data Saham'!F184-'Data Saham'!F183)/'Data Saham'!F183</f>
        <v>4.662004662004662E-3</v>
      </c>
      <c r="G184">
        <f>('Data Saham'!G184-'Data Saham'!G183)/'Data Saham'!G183</f>
        <v>-1.891891891891892E-2</v>
      </c>
      <c r="H184">
        <f>('Data Saham'!H184-'Data Saham'!H183)/'Data Saham'!H183</f>
        <v>3.7313432835820895E-3</v>
      </c>
      <c r="I184">
        <f>('Data Saham'!I184-'Data Saham'!I183)/'Data Saham'!I183</f>
        <v>3.105590062111801E-3</v>
      </c>
      <c r="J184">
        <f>('Data Saham'!J184-'Data Saham'!J183)/'Data Saham'!J183</f>
        <v>-1.7605633802816902E-2</v>
      </c>
      <c r="K184">
        <f>('Data Saham'!K184-'Data Saham'!K183)/'Data Saham'!K183</f>
        <v>4.6831955922865015E-2</v>
      </c>
      <c r="L184">
        <f>('Data Saham'!L184-'Data Saham'!L183)/'Data Saham'!L183</f>
        <v>0</v>
      </c>
      <c r="M184">
        <f>('Data Saham'!M184-'Data Saham'!M183)/'Data Saham'!M183</f>
        <v>2.0618556701030927E-2</v>
      </c>
      <c r="N184">
        <f>('Data Saham'!N184-'Data Saham'!N183)/'Data Saham'!N183</f>
        <v>4.4843049327354258E-2</v>
      </c>
      <c r="O184">
        <f>('Data Saham'!O184-'Data Saham'!O183)/'Data Saham'!O183</f>
        <v>2.7397260273972603E-3</v>
      </c>
      <c r="P184">
        <f>('Data Saham'!P184-'Data Saham'!P183)/'Data Saham'!P183</f>
        <v>1.8018018018018018E-2</v>
      </c>
      <c r="Q184">
        <f>('Data Saham'!Q184-'Data Saham'!Q183)/'Data Saham'!Q183</f>
        <v>3.125E-2</v>
      </c>
      <c r="R184">
        <f>('Data Saham'!R184-'Data Saham'!R183)/'Data Saham'!R183</f>
        <v>2.5862068965517241E-2</v>
      </c>
      <c r="S184">
        <f>('Data Saham'!S184-'Data Saham'!S183)/'Data Saham'!S183</f>
        <v>6.2893081761006293E-3</v>
      </c>
      <c r="T184">
        <f>('Data Saham'!T184-'Data Saham'!T183)/'Data Saham'!T183</f>
        <v>-1.5151515151515152E-2</v>
      </c>
      <c r="U184">
        <f>('Data Saham'!U184-'Data Saham'!U183)/'Data Saham'!U183</f>
        <v>-6.8728522336769758E-3</v>
      </c>
      <c r="V184">
        <f>('Data Saham'!V184-'Data Saham'!V183)/'Data Saham'!V183</f>
        <v>-4.8622366288492709E-2</v>
      </c>
      <c r="W184">
        <f>('Data Saham'!W184-'Data Saham'!W183)/'Data Saham'!W183</f>
        <v>-2.8571428571428571E-2</v>
      </c>
      <c r="X184">
        <f>('Data Saham'!X184-'Data Saham'!X183)/'Data Saham'!X183</f>
        <v>3.90625E-3</v>
      </c>
      <c r="Y184">
        <f>('Data Saham'!Y184-'Data Saham'!Y183)/'Data Saham'!Y183</f>
        <v>4.878048780487805E-2</v>
      </c>
      <c r="Z184">
        <f>('Data Saham'!Z184-'Data Saham'!Z183)/'Data Saham'!Z183</f>
        <v>4.7619047619047623E-3</v>
      </c>
      <c r="AA184">
        <f>('Data Saham'!AA184-'Data Saham'!AA183)/'Data Saham'!AA183</f>
        <v>-8.1632653061224497E-3</v>
      </c>
      <c r="AB184">
        <f>('Data Saham'!AB184-'Data Saham'!AB183)/'Data Saham'!AB183</f>
        <v>9.375E-2</v>
      </c>
      <c r="AC184">
        <f>('Data Saham'!AC184-'Data Saham'!AC183)/'Data Saham'!AC183</f>
        <v>0</v>
      </c>
      <c r="AD184">
        <f>('Data Saham'!AD184-'Data Saham'!AD183)/'Data Saham'!AD183</f>
        <v>-5.208333333333333E-3</v>
      </c>
      <c r="AE184">
        <f>('Data Saham'!AE184-'Data Saham'!AE183)/'Data Saham'!AE183</f>
        <v>-1.6666666666666666E-2</v>
      </c>
      <c r="AF184">
        <f>('Data Saham'!AF184-'Data Saham'!AF183)/'Data Saham'!AF183</f>
        <v>1.1627906976744186E-2</v>
      </c>
    </row>
    <row r="185" spans="1:32" x14ac:dyDescent="0.3">
      <c r="A185" s="2">
        <v>45912</v>
      </c>
      <c r="B185">
        <f>('Data Saham'!B185-'Data Saham'!B184)/'Data Saham'!B184</f>
        <v>-6.1441675181099602E-3</v>
      </c>
      <c r="C185">
        <f>('Data Saham'!C185-'Data Saham'!C184)/'Data Saham'!C184</f>
        <v>-2.4096385542168676E-2</v>
      </c>
      <c r="D185">
        <f>('Data Saham'!D185-'Data Saham'!D184)/'Data Saham'!D184</f>
        <v>2.7247956403269754E-3</v>
      </c>
      <c r="E185">
        <f>('Data Saham'!E185-'Data Saham'!E184)/'Data Saham'!E184</f>
        <v>-1.2121212121212121E-2</v>
      </c>
      <c r="F185">
        <f>('Data Saham'!F185-'Data Saham'!F184)/'Data Saham'!F184</f>
        <v>2.3201856148491878E-3</v>
      </c>
      <c r="G185">
        <f>('Data Saham'!G185-'Data Saham'!G184)/'Data Saham'!G184</f>
        <v>-1.6528925619834711E-2</v>
      </c>
      <c r="H185">
        <f>('Data Saham'!H185-'Data Saham'!H184)/'Data Saham'!H184</f>
        <v>-1.858736059479554E-2</v>
      </c>
      <c r="I185">
        <f>('Data Saham'!I185-'Data Saham'!I184)/'Data Saham'!I184</f>
        <v>-9.2879256965944269E-3</v>
      </c>
      <c r="J185">
        <f>('Data Saham'!J185-'Data Saham'!J184)/'Data Saham'!J184</f>
        <v>-1.7921146953405017E-2</v>
      </c>
      <c r="K185">
        <f>('Data Saham'!K185-'Data Saham'!K184)/'Data Saham'!K184</f>
        <v>-3.4210526315789476E-2</v>
      </c>
      <c r="L185">
        <f>('Data Saham'!L185-'Data Saham'!L184)/'Data Saham'!L184</f>
        <v>-3.4090909090909089E-3</v>
      </c>
      <c r="M185">
        <f>('Data Saham'!M185-'Data Saham'!M184)/'Data Saham'!M184</f>
        <v>-1.6835016835016835E-2</v>
      </c>
      <c r="N185">
        <f>('Data Saham'!N185-'Data Saham'!N184)/'Data Saham'!N184</f>
        <v>-3.8626609442060089E-2</v>
      </c>
      <c r="O185">
        <f>('Data Saham'!O185-'Data Saham'!O184)/'Data Saham'!O184</f>
        <v>-1.3661202185792349E-2</v>
      </c>
      <c r="P185">
        <f>('Data Saham'!P185-'Data Saham'!P184)/'Data Saham'!P184</f>
        <v>-1.7699115044247787E-2</v>
      </c>
      <c r="Q185">
        <f>('Data Saham'!Q185-'Data Saham'!Q184)/'Data Saham'!Q184</f>
        <v>4.2424242424242427E-2</v>
      </c>
      <c r="R185">
        <f>('Data Saham'!R185-'Data Saham'!R184)/'Data Saham'!R184</f>
        <v>-1.680672268907563E-2</v>
      </c>
      <c r="S185">
        <f>('Data Saham'!S185-'Data Saham'!S184)/'Data Saham'!S184</f>
        <v>-2.7083333333333334E-2</v>
      </c>
      <c r="T185">
        <f>('Data Saham'!T185-'Data Saham'!T184)/'Data Saham'!T184</f>
        <v>4.6153846153846156E-2</v>
      </c>
      <c r="U185">
        <f>('Data Saham'!U185-'Data Saham'!U184)/'Data Saham'!U184</f>
        <v>6.920415224913495E-3</v>
      </c>
      <c r="V185">
        <f>('Data Saham'!V185-'Data Saham'!V184)/'Data Saham'!V184</f>
        <v>5.1107325383304937E-3</v>
      </c>
      <c r="W185">
        <f>('Data Saham'!W185-'Data Saham'!W184)/'Data Saham'!W184</f>
        <v>2.9411764705882353E-2</v>
      </c>
      <c r="X185">
        <f>('Data Saham'!X185-'Data Saham'!X184)/'Data Saham'!X184</f>
        <v>-3.8910505836575876E-2</v>
      </c>
      <c r="Y185">
        <f>('Data Saham'!Y185-'Data Saham'!Y184)/'Data Saham'!Y184</f>
        <v>-2.5839793281653748E-3</v>
      </c>
      <c r="Z185">
        <f>('Data Saham'!Z185-'Data Saham'!Z184)/'Data Saham'!Z184</f>
        <v>-4.7393364928909956E-3</v>
      </c>
      <c r="AA185">
        <f>('Data Saham'!AA185-'Data Saham'!AA184)/'Data Saham'!AA184</f>
        <v>-2.4691358024691357E-2</v>
      </c>
      <c r="AB185">
        <f>('Data Saham'!AB185-'Data Saham'!AB184)/'Data Saham'!AB184</f>
        <v>1.4285714285714285E-2</v>
      </c>
      <c r="AC185">
        <f>('Data Saham'!AC185-'Data Saham'!AC184)/'Data Saham'!AC184</f>
        <v>0</v>
      </c>
      <c r="AD185">
        <f>('Data Saham'!AD185-'Data Saham'!AD184)/'Data Saham'!AD184</f>
        <v>-1.0471204188481676E-2</v>
      </c>
      <c r="AE185">
        <f>('Data Saham'!AE185-'Data Saham'!AE184)/'Data Saham'!AE184</f>
        <v>0</v>
      </c>
      <c r="AF185">
        <f>('Data Saham'!AF185-'Data Saham'!AF184)/'Data Saham'!AF184</f>
        <v>-1.7241379310344827E-2</v>
      </c>
    </row>
    <row r="186" spans="1:32" x14ac:dyDescent="0.3">
      <c r="A186" s="1">
        <v>45942</v>
      </c>
      <c r="B186">
        <f>('Data Saham'!B186-'Data Saham'!B185)/'Data Saham'!B185</f>
        <v>5.0524535703311913E-3</v>
      </c>
      <c r="C186">
        <f>('Data Saham'!C186-'Data Saham'!C185)/'Data Saham'!C185</f>
        <v>-3.0864197530864196E-3</v>
      </c>
      <c r="D186">
        <f>('Data Saham'!D186-'Data Saham'!D185)/'Data Saham'!D185</f>
        <v>-5.434782608695652E-3</v>
      </c>
      <c r="E186">
        <f>('Data Saham'!E186-'Data Saham'!E185)/'Data Saham'!E185</f>
        <v>1.6359918200408999E-2</v>
      </c>
      <c r="F186">
        <f>('Data Saham'!F186-'Data Saham'!F185)/'Data Saham'!F185</f>
        <v>-2.3148148148148147E-3</v>
      </c>
      <c r="G186">
        <f>('Data Saham'!G186-'Data Saham'!G185)/'Data Saham'!G185</f>
        <v>1.9607843137254902E-2</v>
      </c>
      <c r="H186">
        <f>('Data Saham'!H186-'Data Saham'!H185)/'Data Saham'!H185</f>
        <v>3.787878787878788E-3</v>
      </c>
      <c r="I186">
        <f>('Data Saham'!I186-'Data Saham'!I185)/'Data Saham'!I185</f>
        <v>3.1250000000000002E-3</v>
      </c>
      <c r="J186">
        <f>('Data Saham'!J186-'Data Saham'!J185)/'Data Saham'!J185</f>
        <v>7.2992700729927005E-3</v>
      </c>
      <c r="K186">
        <f>('Data Saham'!K186-'Data Saham'!K185)/'Data Saham'!K185</f>
        <v>-2.7247956403269754E-3</v>
      </c>
      <c r="L186">
        <f>('Data Saham'!L186-'Data Saham'!L185)/'Data Saham'!L185</f>
        <v>-1.1402508551881414E-3</v>
      </c>
      <c r="M186">
        <f>('Data Saham'!M186-'Data Saham'!M185)/'Data Saham'!M185</f>
        <v>3.4246575342465752E-3</v>
      </c>
      <c r="N186">
        <f>('Data Saham'!N186-'Data Saham'!N185)/'Data Saham'!N185</f>
        <v>1.7857142857142856E-2</v>
      </c>
      <c r="O186">
        <f>('Data Saham'!O186-'Data Saham'!O185)/'Data Saham'!O185</f>
        <v>2.7700831024930747E-2</v>
      </c>
      <c r="P186">
        <f>('Data Saham'!P186-'Data Saham'!P185)/'Data Saham'!P185</f>
        <v>-1.8018018018018018E-2</v>
      </c>
      <c r="Q186">
        <f>('Data Saham'!Q186-'Data Saham'!Q185)/'Data Saham'!Q185</f>
        <v>7.8488372093023256E-2</v>
      </c>
      <c r="R186">
        <f>('Data Saham'!R186-'Data Saham'!R185)/'Data Saham'!R185</f>
        <v>4.2735042735042739E-3</v>
      </c>
      <c r="S186">
        <f>('Data Saham'!S186-'Data Saham'!S185)/'Data Saham'!S185</f>
        <v>-1.284796573875803E-2</v>
      </c>
      <c r="T186">
        <f>('Data Saham'!T186-'Data Saham'!T185)/'Data Saham'!T185</f>
        <v>-3.3088235294117647E-2</v>
      </c>
      <c r="U186">
        <f>('Data Saham'!U186-'Data Saham'!U185)/'Data Saham'!U185</f>
        <v>-3.4364261168384883E-2</v>
      </c>
      <c r="V186">
        <f>('Data Saham'!V186-'Data Saham'!V185)/'Data Saham'!V185</f>
        <v>1.6949152542372881E-2</v>
      </c>
      <c r="W186">
        <f>('Data Saham'!W186-'Data Saham'!W185)/'Data Saham'!W185</f>
        <v>6.2857142857142861E-2</v>
      </c>
      <c r="X186">
        <f>('Data Saham'!X186-'Data Saham'!X185)/'Data Saham'!X185</f>
        <v>2.8340080971659919E-2</v>
      </c>
      <c r="Y186">
        <f>('Data Saham'!Y186-'Data Saham'!Y185)/'Data Saham'!Y185</f>
        <v>-2.5906735751295338E-3</v>
      </c>
      <c r="Z186">
        <f>('Data Saham'!Z186-'Data Saham'!Z185)/'Data Saham'!Z185</f>
        <v>-4.7619047619047623E-3</v>
      </c>
      <c r="AA186">
        <f>('Data Saham'!AA186-'Data Saham'!AA185)/'Data Saham'!AA185</f>
        <v>4.2194092827004216E-3</v>
      </c>
      <c r="AB186">
        <f>('Data Saham'!AB186-'Data Saham'!AB185)/'Data Saham'!AB185</f>
        <v>-1.4084507042253521E-2</v>
      </c>
      <c r="AC186">
        <f>('Data Saham'!AC186-'Data Saham'!AC185)/'Data Saham'!AC185</f>
        <v>0</v>
      </c>
      <c r="AD186">
        <f>('Data Saham'!AD186-'Data Saham'!AD185)/'Data Saham'!AD185</f>
        <v>-5.2910052910052907E-3</v>
      </c>
      <c r="AE186">
        <f>('Data Saham'!AE186-'Data Saham'!AE185)/'Data Saham'!AE185</f>
        <v>0</v>
      </c>
      <c r="AF186">
        <f>('Data Saham'!AF186-'Data Saham'!AF185)/'Data Saham'!AF185</f>
        <v>5.8479532163742687E-3</v>
      </c>
    </row>
    <row r="187" spans="1:32" x14ac:dyDescent="0.3">
      <c r="A187" s="2">
        <v>45973</v>
      </c>
      <c r="B187">
        <f>('Data Saham'!B187-'Data Saham'!B186)/'Data Saham'!B186</f>
        <v>-9.2449993793760326E-3</v>
      </c>
      <c r="C187">
        <f>('Data Saham'!C187-'Data Saham'!C186)/'Data Saham'!C186</f>
        <v>-9.2879256965944269E-3</v>
      </c>
      <c r="D187">
        <f>('Data Saham'!D187-'Data Saham'!D186)/'Data Saham'!D186</f>
        <v>-1.092896174863388E-2</v>
      </c>
      <c r="E187">
        <f>('Data Saham'!E187-'Data Saham'!E186)/'Data Saham'!E186</f>
        <v>-4.0241448692152921E-3</v>
      </c>
      <c r="F187">
        <f>('Data Saham'!F187-'Data Saham'!F186)/'Data Saham'!F186</f>
        <v>-1.8561484918793503E-2</v>
      </c>
      <c r="G187">
        <f>('Data Saham'!G187-'Data Saham'!G186)/'Data Saham'!G186</f>
        <v>-1.9230769230769232E-2</v>
      </c>
      <c r="H187">
        <f>('Data Saham'!H187-'Data Saham'!H186)/'Data Saham'!H186</f>
        <v>-2.6415094339622643E-2</v>
      </c>
      <c r="I187">
        <f>('Data Saham'!I187-'Data Saham'!I186)/'Data Saham'!I186</f>
        <v>0</v>
      </c>
      <c r="J187">
        <f>('Data Saham'!J187-'Data Saham'!J186)/'Data Saham'!J186</f>
        <v>-4.710144927536232E-2</v>
      </c>
      <c r="K187">
        <f>('Data Saham'!K187-'Data Saham'!K186)/'Data Saham'!K186</f>
        <v>-2.7322404371584699E-2</v>
      </c>
      <c r="L187">
        <f>('Data Saham'!L187-'Data Saham'!L186)/'Data Saham'!L186</f>
        <v>-6.8493150684931503E-3</v>
      </c>
      <c r="M187">
        <f>('Data Saham'!M187-'Data Saham'!M186)/'Data Saham'!M186</f>
        <v>-1.3651877133105802E-2</v>
      </c>
      <c r="N187">
        <f>('Data Saham'!N187-'Data Saham'!N186)/'Data Saham'!N186</f>
        <v>-3.5087719298245612E-2</v>
      </c>
      <c r="O187">
        <f>('Data Saham'!O187-'Data Saham'!O186)/'Data Saham'!O186</f>
        <v>-1.6172506738544475E-2</v>
      </c>
      <c r="P187">
        <f>('Data Saham'!P187-'Data Saham'!P186)/'Data Saham'!P186</f>
        <v>-1.834862385321101E-2</v>
      </c>
      <c r="Q187">
        <f>('Data Saham'!Q187-'Data Saham'!Q186)/'Data Saham'!Q186</f>
        <v>-2.6954177897574125E-3</v>
      </c>
      <c r="R187">
        <f>('Data Saham'!R187-'Data Saham'!R186)/'Data Saham'!R186</f>
        <v>-3.4042553191489362E-2</v>
      </c>
      <c r="S187">
        <f>('Data Saham'!S187-'Data Saham'!S186)/'Data Saham'!S186</f>
        <v>-3.0368763557483729E-2</v>
      </c>
      <c r="T187">
        <f>('Data Saham'!T187-'Data Saham'!T186)/'Data Saham'!T186</f>
        <v>-1.5209125475285171E-2</v>
      </c>
      <c r="U187">
        <f>('Data Saham'!U187-'Data Saham'!U186)/'Data Saham'!U186</f>
        <v>7.1174377224199285E-3</v>
      </c>
      <c r="V187">
        <f>('Data Saham'!V187-'Data Saham'!V186)/'Data Saham'!V186</f>
        <v>-1.9166666666666665E-2</v>
      </c>
      <c r="W187">
        <f>('Data Saham'!W187-'Data Saham'!W186)/'Data Saham'!W186</f>
        <v>-2.1505376344086023E-2</v>
      </c>
      <c r="X187">
        <f>('Data Saham'!X187-'Data Saham'!X186)/'Data Saham'!X186</f>
        <v>-2.7559055118110236E-2</v>
      </c>
      <c r="Y187">
        <f>('Data Saham'!Y187-'Data Saham'!Y186)/'Data Saham'!Y186</f>
        <v>-7.7922077922077922E-3</v>
      </c>
      <c r="Z187">
        <f>('Data Saham'!Z187-'Data Saham'!Z186)/'Data Saham'!Z186</f>
        <v>-4.7846889952153108E-3</v>
      </c>
      <c r="AA187">
        <f>('Data Saham'!AA187-'Data Saham'!AA186)/'Data Saham'!AA186</f>
        <v>-2.100840336134454E-2</v>
      </c>
      <c r="AB187">
        <f>('Data Saham'!AB187-'Data Saham'!AB186)/'Data Saham'!AB186</f>
        <v>-2.8571428571428571E-2</v>
      </c>
      <c r="AC187">
        <f>('Data Saham'!AC187-'Data Saham'!AC186)/'Data Saham'!AC186</f>
        <v>-6.0975609756097563E-3</v>
      </c>
      <c r="AD187">
        <f>('Data Saham'!AD187-'Data Saham'!AD186)/'Data Saham'!AD186</f>
        <v>-1.0638297872340425E-2</v>
      </c>
      <c r="AE187">
        <f>('Data Saham'!AE187-'Data Saham'!AE186)/'Data Saham'!AE186</f>
        <v>-5.6497175141242938E-3</v>
      </c>
      <c r="AF187">
        <f>('Data Saham'!AF187-'Data Saham'!AF186)/'Data Saham'!AF186</f>
        <v>-1.1627906976744186E-2</v>
      </c>
    </row>
    <row r="188" spans="1:32" x14ac:dyDescent="0.3">
      <c r="A188" s="1">
        <v>46003</v>
      </c>
      <c r="B188">
        <f>('Data Saham'!B188-'Data Saham'!B187)/'Data Saham'!B187</f>
        <v>4.6424329039682754E-3</v>
      </c>
      <c r="C188">
        <f>('Data Saham'!C188-'Data Saham'!C187)/'Data Saham'!C187</f>
        <v>0</v>
      </c>
      <c r="D188">
        <f>('Data Saham'!D188-'Data Saham'!D187)/'Data Saham'!D187</f>
        <v>2.7624309392265192E-3</v>
      </c>
      <c r="E188">
        <f>('Data Saham'!E188-'Data Saham'!E187)/'Data Saham'!E187</f>
        <v>-2.6262626262626262E-2</v>
      </c>
      <c r="F188">
        <f>('Data Saham'!F188-'Data Saham'!F187)/'Data Saham'!F187</f>
        <v>2.3640661938534278E-3</v>
      </c>
      <c r="G188">
        <f>('Data Saham'!G188-'Data Saham'!G187)/'Data Saham'!G187</f>
        <v>-5.6022408963585435E-3</v>
      </c>
      <c r="H188">
        <f>('Data Saham'!H188-'Data Saham'!H187)/'Data Saham'!H187</f>
        <v>2.3255813953488372E-2</v>
      </c>
      <c r="I188">
        <f>('Data Saham'!I188-'Data Saham'!I187)/'Data Saham'!I187</f>
        <v>6.2305295950155761E-3</v>
      </c>
      <c r="J188">
        <f>('Data Saham'!J188-'Data Saham'!J187)/'Data Saham'!J187</f>
        <v>3.0418250950570342E-2</v>
      </c>
      <c r="K188">
        <f>('Data Saham'!K188-'Data Saham'!K187)/'Data Saham'!K187</f>
        <v>0</v>
      </c>
      <c r="L188">
        <f>('Data Saham'!L188-'Data Saham'!L187)/'Data Saham'!L187</f>
        <v>-1.1494252873563218E-3</v>
      </c>
      <c r="M188">
        <f>('Data Saham'!M188-'Data Saham'!M187)/'Data Saham'!M187</f>
        <v>5.536332179930796E-2</v>
      </c>
      <c r="N188">
        <f>('Data Saham'!N188-'Data Saham'!N187)/'Data Saham'!N187</f>
        <v>2.2727272727272728E-2</v>
      </c>
      <c r="O188">
        <f>('Data Saham'!O188-'Data Saham'!O187)/'Data Saham'!O187</f>
        <v>2.7397260273972603E-3</v>
      </c>
      <c r="P188">
        <f>('Data Saham'!P188-'Data Saham'!P187)/'Data Saham'!P187</f>
        <v>9.3457943925233638E-3</v>
      </c>
      <c r="Q188">
        <f>('Data Saham'!Q188-'Data Saham'!Q187)/'Data Saham'!Q187</f>
        <v>2.4324324324324326E-2</v>
      </c>
      <c r="R188">
        <f>('Data Saham'!R188-'Data Saham'!R187)/'Data Saham'!R187</f>
        <v>2.2026431718061675E-2</v>
      </c>
      <c r="S188">
        <f>('Data Saham'!S188-'Data Saham'!S187)/'Data Saham'!S187</f>
        <v>6.7114093959731542E-3</v>
      </c>
      <c r="T188">
        <f>('Data Saham'!T188-'Data Saham'!T187)/'Data Saham'!T187</f>
        <v>1.9305019305019305E-2</v>
      </c>
      <c r="U188">
        <f>('Data Saham'!U188-'Data Saham'!U187)/'Data Saham'!U187</f>
        <v>-2.1201413427561839E-2</v>
      </c>
      <c r="V188">
        <f>('Data Saham'!V188-'Data Saham'!V187)/'Data Saham'!V187</f>
        <v>-1.8691588785046728E-2</v>
      </c>
      <c r="W188">
        <f>('Data Saham'!W188-'Data Saham'!W187)/'Data Saham'!W187</f>
        <v>1.9230769230769232E-2</v>
      </c>
      <c r="X188">
        <f>('Data Saham'!X188-'Data Saham'!X187)/'Data Saham'!X187</f>
        <v>0</v>
      </c>
      <c r="Y188">
        <f>('Data Saham'!Y188-'Data Saham'!Y187)/'Data Saham'!Y187</f>
        <v>-5.235602094240838E-3</v>
      </c>
      <c r="Z188">
        <f>('Data Saham'!Z188-'Data Saham'!Z187)/'Data Saham'!Z187</f>
        <v>-9.6153846153846159E-3</v>
      </c>
      <c r="AA188">
        <f>('Data Saham'!AA188-'Data Saham'!AA187)/'Data Saham'!AA187</f>
        <v>2.1459227467811159E-2</v>
      </c>
      <c r="AB188">
        <f>('Data Saham'!AB188-'Data Saham'!AB187)/'Data Saham'!AB187</f>
        <v>-2.9411764705882353E-2</v>
      </c>
      <c r="AC188">
        <f>('Data Saham'!AC188-'Data Saham'!AC187)/'Data Saham'!AC187</f>
        <v>0</v>
      </c>
      <c r="AD188">
        <f>('Data Saham'!AD188-'Data Saham'!AD187)/'Data Saham'!AD187</f>
        <v>-5.3763440860215058E-3</v>
      </c>
      <c r="AE188">
        <f>('Data Saham'!AE188-'Data Saham'!AE187)/'Data Saham'!AE187</f>
        <v>-2.2727272727272728E-2</v>
      </c>
      <c r="AF188">
        <f>('Data Saham'!AF188-'Data Saham'!AF187)/'Data Saham'!AF187</f>
        <v>1.1764705882352941E-2</v>
      </c>
    </row>
    <row r="189" spans="1:32" x14ac:dyDescent="0.3">
      <c r="A189" s="4" t="s">
        <v>111</v>
      </c>
      <c r="B189">
        <f>('Data Saham'!B189-'Data Saham'!B188)/'Data Saham'!B188</f>
        <v>-1.2516598348825294E-3</v>
      </c>
      <c r="C189">
        <f>('Data Saham'!C189-'Data Saham'!C188)/'Data Saham'!C188</f>
        <v>3.7499999999999999E-2</v>
      </c>
      <c r="D189">
        <f>('Data Saham'!D189-'Data Saham'!D188)/'Data Saham'!D188</f>
        <v>4.1322314049586778E-2</v>
      </c>
      <c r="E189">
        <f>('Data Saham'!E189-'Data Saham'!E188)/'Data Saham'!E188</f>
        <v>3.5269709543568464E-2</v>
      </c>
      <c r="F189">
        <f>('Data Saham'!F189-'Data Saham'!F188)/'Data Saham'!F188</f>
        <v>4.716981132075472E-2</v>
      </c>
      <c r="G189">
        <f>('Data Saham'!G189-'Data Saham'!G188)/'Data Saham'!G188</f>
        <v>-2.2535211267605635E-2</v>
      </c>
      <c r="H189">
        <f>('Data Saham'!H189-'Data Saham'!H188)/'Data Saham'!H188</f>
        <v>0</v>
      </c>
      <c r="I189">
        <f>('Data Saham'!I189-'Data Saham'!I188)/'Data Saham'!I188</f>
        <v>2.7863777089783281E-2</v>
      </c>
      <c r="J189">
        <f>('Data Saham'!J189-'Data Saham'!J188)/'Data Saham'!J188</f>
        <v>0</v>
      </c>
      <c r="K189">
        <f>('Data Saham'!K189-'Data Saham'!K188)/'Data Saham'!K188</f>
        <v>2.5280898876404494E-2</v>
      </c>
      <c r="L189">
        <f>('Data Saham'!L189-'Data Saham'!L188)/'Data Saham'!L188</f>
        <v>-8.0552359033371698E-3</v>
      </c>
      <c r="M189">
        <f>('Data Saham'!M189-'Data Saham'!M188)/'Data Saham'!M188</f>
        <v>-6.5573770491803279E-3</v>
      </c>
      <c r="N189">
        <f>('Data Saham'!N189-'Data Saham'!N188)/'Data Saham'!N188</f>
        <v>4.4444444444444446E-2</v>
      </c>
      <c r="O189">
        <f>('Data Saham'!O189-'Data Saham'!O188)/'Data Saham'!O188</f>
        <v>-5.4644808743169399E-3</v>
      </c>
      <c r="P189">
        <f>('Data Saham'!P189-'Data Saham'!P188)/'Data Saham'!P188</f>
        <v>5.5555555555555552E-2</v>
      </c>
      <c r="Q189">
        <f>('Data Saham'!Q189-'Data Saham'!Q188)/'Data Saham'!Q188</f>
        <v>-2.1108179419525065E-2</v>
      </c>
      <c r="R189">
        <f>('Data Saham'!R189-'Data Saham'!R188)/'Data Saham'!R188</f>
        <v>5.1724137931034482E-2</v>
      </c>
      <c r="S189">
        <f>('Data Saham'!S189-'Data Saham'!S188)/'Data Saham'!S188</f>
        <v>0.02</v>
      </c>
      <c r="T189">
        <f>('Data Saham'!T189-'Data Saham'!T188)/'Data Saham'!T188</f>
        <v>3.787878787878788E-3</v>
      </c>
      <c r="U189">
        <f>('Data Saham'!U189-'Data Saham'!U188)/'Data Saham'!U188</f>
        <v>-7.2202166064981952E-3</v>
      </c>
      <c r="V189">
        <f>('Data Saham'!V189-'Data Saham'!V188)/'Data Saham'!V188</f>
        <v>-1.8181818181818181E-2</v>
      </c>
      <c r="W189">
        <f>('Data Saham'!W189-'Data Saham'!W188)/'Data Saham'!W188</f>
        <v>-2.9649595687331536E-2</v>
      </c>
      <c r="X189">
        <f>('Data Saham'!X189-'Data Saham'!X188)/'Data Saham'!X188</f>
        <v>0</v>
      </c>
      <c r="Y189">
        <f>('Data Saham'!Y189-'Data Saham'!Y188)/'Data Saham'!Y188</f>
        <v>0</v>
      </c>
      <c r="Z189">
        <f>('Data Saham'!Z189-'Data Saham'!Z188)/'Data Saham'!Z188</f>
        <v>0</v>
      </c>
      <c r="AA189">
        <f>('Data Saham'!AA189-'Data Saham'!AA188)/'Data Saham'!AA188</f>
        <v>-1.2605042016806723E-2</v>
      </c>
      <c r="AB189">
        <f>('Data Saham'!AB189-'Data Saham'!AB188)/'Data Saham'!AB188</f>
        <v>-1.5151515151515152E-2</v>
      </c>
      <c r="AC189">
        <f>('Data Saham'!AC189-'Data Saham'!AC188)/'Data Saham'!AC188</f>
        <v>3.0674846625766871E-2</v>
      </c>
      <c r="AD189">
        <f>('Data Saham'!AD189-'Data Saham'!AD188)/'Data Saham'!AD188</f>
        <v>3.783783783783784E-2</v>
      </c>
      <c r="AE189">
        <f>('Data Saham'!AE189-'Data Saham'!AE188)/'Data Saham'!AE188</f>
        <v>2.3255813953488372E-2</v>
      </c>
      <c r="AF189">
        <f>('Data Saham'!AF189-'Data Saham'!AF188)/'Data Saham'!AF188</f>
        <v>1.7441860465116279E-2</v>
      </c>
    </row>
    <row r="190" spans="1:32" x14ac:dyDescent="0.3">
      <c r="A190" s="3" t="s">
        <v>112</v>
      </c>
      <c r="B190">
        <f>('Data Saham'!B190-'Data Saham'!B189)/'Data Saham'!B189</f>
        <v>4.2556586039219453E-3</v>
      </c>
      <c r="C190">
        <f>('Data Saham'!C190-'Data Saham'!C189)/'Data Saham'!C189</f>
        <v>-2.710843373493976E-2</v>
      </c>
      <c r="D190">
        <f>('Data Saham'!D190-'Data Saham'!D189)/'Data Saham'!D189</f>
        <v>-2.3809523809523808E-2</v>
      </c>
      <c r="E190">
        <f>('Data Saham'!E190-'Data Saham'!E189)/'Data Saham'!E189</f>
        <v>2.004008016032064E-3</v>
      </c>
      <c r="F190">
        <f>('Data Saham'!F190-'Data Saham'!F189)/'Data Saham'!F189</f>
        <v>-9.0090090090090089E-3</v>
      </c>
      <c r="G190">
        <f>('Data Saham'!G190-'Data Saham'!G189)/'Data Saham'!G189</f>
        <v>1.4409221902017291E-2</v>
      </c>
      <c r="H190">
        <f>('Data Saham'!H190-'Data Saham'!H189)/'Data Saham'!H189</f>
        <v>0</v>
      </c>
      <c r="I190">
        <f>('Data Saham'!I190-'Data Saham'!I189)/'Data Saham'!I189</f>
        <v>6.024096385542169E-3</v>
      </c>
      <c r="J190">
        <f>('Data Saham'!J190-'Data Saham'!J189)/'Data Saham'!J189</f>
        <v>0</v>
      </c>
      <c r="K190">
        <f>('Data Saham'!K190-'Data Saham'!K189)/'Data Saham'!K189</f>
        <v>-1.0958904109589041E-2</v>
      </c>
      <c r="L190">
        <f>('Data Saham'!L190-'Data Saham'!L189)/'Data Saham'!L189</f>
        <v>-1.8561484918793503E-2</v>
      </c>
      <c r="M190">
        <f>('Data Saham'!M190-'Data Saham'!M189)/'Data Saham'!M189</f>
        <v>-1.9801980198019802E-2</v>
      </c>
      <c r="N190">
        <f>('Data Saham'!N190-'Data Saham'!N189)/'Data Saham'!N189</f>
        <v>-1.7021276595744681E-2</v>
      </c>
      <c r="O190">
        <f>('Data Saham'!O190-'Data Saham'!O189)/'Data Saham'!O189</f>
        <v>-5.4945054945054949E-3</v>
      </c>
      <c r="P190">
        <f>('Data Saham'!P190-'Data Saham'!P189)/'Data Saham'!P189</f>
        <v>-4.3859649122807015E-2</v>
      </c>
      <c r="Q190">
        <f>('Data Saham'!Q190-'Data Saham'!Q189)/'Data Saham'!Q189</f>
        <v>-2.6954177897574125E-3</v>
      </c>
      <c r="R190">
        <f>('Data Saham'!R190-'Data Saham'!R189)/'Data Saham'!R189</f>
        <v>-1.6393442622950821E-2</v>
      </c>
      <c r="S190">
        <f>('Data Saham'!S190-'Data Saham'!S189)/'Data Saham'!S189</f>
        <v>-6.5359477124183009E-3</v>
      </c>
      <c r="T190">
        <f>('Data Saham'!T190-'Data Saham'!T189)/'Data Saham'!T189</f>
        <v>0</v>
      </c>
      <c r="U190">
        <f>('Data Saham'!U190-'Data Saham'!U189)/'Data Saham'!U189</f>
        <v>7.2727272727272727E-3</v>
      </c>
      <c r="V190">
        <f>('Data Saham'!V190-'Data Saham'!V189)/'Data Saham'!V189</f>
        <v>-7.0546737213403876E-3</v>
      </c>
      <c r="W190">
        <f>('Data Saham'!W190-'Data Saham'!W189)/'Data Saham'!W189</f>
        <v>1.1111111111111112E-2</v>
      </c>
      <c r="X190">
        <f>('Data Saham'!X190-'Data Saham'!X189)/'Data Saham'!X189</f>
        <v>0</v>
      </c>
      <c r="Y190">
        <f>('Data Saham'!Y190-'Data Saham'!Y189)/'Data Saham'!Y189</f>
        <v>2.631578947368421E-3</v>
      </c>
      <c r="Z190">
        <f>('Data Saham'!Z190-'Data Saham'!Z189)/'Data Saham'!Z189</f>
        <v>-9.7087378640776691E-3</v>
      </c>
      <c r="AA190">
        <f>('Data Saham'!AA190-'Data Saham'!AA189)/'Data Saham'!AA189</f>
        <v>-1.7021276595744681E-2</v>
      </c>
      <c r="AB190">
        <f>('Data Saham'!AB190-'Data Saham'!AB189)/'Data Saham'!AB189</f>
        <v>4.6153846153846156E-2</v>
      </c>
      <c r="AC190">
        <f>('Data Saham'!AC190-'Data Saham'!AC189)/'Data Saham'!AC189</f>
        <v>1.1904761904761904E-2</v>
      </c>
      <c r="AD190">
        <f>('Data Saham'!AD190-'Data Saham'!AD189)/'Data Saham'!AD189</f>
        <v>-5.208333333333333E-3</v>
      </c>
      <c r="AE190">
        <f>('Data Saham'!AE190-'Data Saham'!AE189)/'Data Saham'!AE189</f>
        <v>-1.1363636363636364E-2</v>
      </c>
      <c r="AF190">
        <f>('Data Saham'!AF190-'Data Saham'!AF189)/'Data Saham'!AF189</f>
        <v>-1.7142857142857144E-2</v>
      </c>
    </row>
    <row r="191" spans="1:32" x14ac:dyDescent="0.3">
      <c r="A191" s="4" t="s">
        <v>113</v>
      </c>
      <c r="B191">
        <f>('Data Saham'!B191-'Data Saham'!B190)/'Data Saham'!B190</f>
        <v>-1.0510598666661141E-3</v>
      </c>
      <c r="C191">
        <f>('Data Saham'!C191-'Data Saham'!C190)/'Data Saham'!C190</f>
        <v>-6.1919504643962852E-3</v>
      </c>
      <c r="D191">
        <f>('Data Saham'!D191-'Data Saham'!D190)/'Data Saham'!D190</f>
        <v>1.6260162601626018E-2</v>
      </c>
      <c r="E191">
        <f>('Data Saham'!E191-'Data Saham'!E190)/'Data Saham'!E190</f>
        <v>5.0000000000000001E-3</v>
      </c>
      <c r="F191">
        <f>('Data Saham'!F191-'Data Saham'!F190)/'Data Saham'!F190</f>
        <v>-6.8181818181818179E-3</v>
      </c>
      <c r="G191">
        <f>('Data Saham'!G191-'Data Saham'!G190)/'Data Saham'!G190</f>
        <v>-5.681818181818182E-3</v>
      </c>
      <c r="H191">
        <f>('Data Saham'!H191-'Data Saham'!H190)/'Data Saham'!H190</f>
        <v>0</v>
      </c>
      <c r="I191">
        <f>('Data Saham'!I191-'Data Saham'!I190)/'Data Saham'!I190</f>
        <v>-2.9940119760479044E-3</v>
      </c>
      <c r="J191">
        <f>('Data Saham'!J191-'Data Saham'!J190)/'Data Saham'!J190</f>
        <v>0</v>
      </c>
      <c r="K191">
        <f>('Data Saham'!K191-'Data Saham'!K190)/'Data Saham'!K190</f>
        <v>5.5401662049861496E-3</v>
      </c>
      <c r="L191">
        <f>('Data Saham'!L191-'Data Saham'!L190)/'Data Saham'!L190</f>
        <v>1.1820330969267139E-2</v>
      </c>
      <c r="M191">
        <f>('Data Saham'!M191-'Data Saham'!M190)/'Data Saham'!M190</f>
        <v>1.6835016835016835E-2</v>
      </c>
      <c r="N191">
        <f>('Data Saham'!N191-'Data Saham'!N190)/'Data Saham'!N190</f>
        <v>-8.658008658008658E-3</v>
      </c>
      <c r="O191">
        <f>('Data Saham'!O191-'Data Saham'!O190)/'Data Saham'!O190</f>
        <v>3.0386740331491711E-2</v>
      </c>
      <c r="P191">
        <f>('Data Saham'!P191-'Data Saham'!P190)/'Data Saham'!P190</f>
        <v>1.834862385321101E-2</v>
      </c>
      <c r="Q191">
        <f>('Data Saham'!Q191-'Data Saham'!Q190)/'Data Saham'!Q190</f>
        <v>4.0540540540540543E-2</v>
      </c>
      <c r="R191">
        <f>('Data Saham'!R191-'Data Saham'!R190)/'Data Saham'!R190</f>
        <v>2.0833333333333332E-2</v>
      </c>
      <c r="S191">
        <f>('Data Saham'!S191-'Data Saham'!S190)/'Data Saham'!S190</f>
        <v>-6.5789473684210523E-3</v>
      </c>
      <c r="T191">
        <f>('Data Saham'!T191-'Data Saham'!T190)/'Data Saham'!T190</f>
        <v>4.5283018867924525E-2</v>
      </c>
      <c r="U191">
        <f>('Data Saham'!U191-'Data Saham'!U190)/'Data Saham'!U190</f>
        <v>-7.2202166064981952E-3</v>
      </c>
      <c r="V191">
        <f>('Data Saham'!V191-'Data Saham'!V190)/'Data Saham'!V190</f>
        <v>-3.552397868561279E-3</v>
      </c>
      <c r="W191">
        <f>('Data Saham'!W191-'Data Saham'!W190)/'Data Saham'!W190</f>
        <v>-3.5714285714285712E-2</v>
      </c>
      <c r="X191">
        <f>('Data Saham'!X191-'Data Saham'!X190)/'Data Saham'!X190</f>
        <v>8.0971659919028341E-3</v>
      </c>
      <c r="Y191">
        <f>('Data Saham'!Y191-'Data Saham'!Y190)/'Data Saham'!Y190</f>
        <v>2.6246719160104987E-3</v>
      </c>
      <c r="Z191">
        <f>('Data Saham'!Z191-'Data Saham'!Z190)/'Data Saham'!Z190</f>
        <v>9.8039215686274508E-3</v>
      </c>
      <c r="AA191">
        <f>('Data Saham'!AA191-'Data Saham'!AA190)/'Data Saham'!AA190</f>
        <v>6.0606060606060608E-2</v>
      </c>
      <c r="AB191">
        <f>('Data Saham'!AB191-'Data Saham'!AB190)/'Data Saham'!AB190</f>
        <v>-2.9411764705882353E-2</v>
      </c>
      <c r="AC191">
        <f>('Data Saham'!AC191-'Data Saham'!AC190)/'Data Saham'!AC190</f>
        <v>-3.5294117647058823E-2</v>
      </c>
      <c r="AD191">
        <f>('Data Saham'!AD191-'Data Saham'!AD190)/'Data Saham'!AD190</f>
        <v>1.0471204188481676E-2</v>
      </c>
      <c r="AE191">
        <f>('Data Saham'!AE191-'Data Saham'!AE190)/'Data Saham'!AE190</f>
        <v>-5.7471264367816091E-3</v>
      </c>
      <c r="AF191">
        <f>('Data Saham'!AF191-'Data Saham'!AF190)/'Data Saham'!AF190</f>
        <v>5.8139534883720929E-3</v>
      </c>
    </row>
    <row r="192" spans="1:32" x14ac:dyDescent="0.3">
      <c r="A192" s="3" t="s">
        <v>114</v>
      </c>
      <c r="B192">
        <f>('Data Saham'!B192-'Data Saham'!B191)/'Data Saham'!B191</f>
        <v>-6.8154526617603337E-3</v>
      </c>
      <c r="C192">
        <f>('Data Saham'!C192-'Data Saham'!C191)/'Data Saham'!C191</f>
        <v>1.8691588785046728E-2</v>
      </c>
      <c r="D192">
        <f>('Data Saham'!D192-'Data Saham'!D191)/'Data Saham'!D191</f>
        <v>8.0000000000000002E-3</v>
      </c>
      <c r="E192">
        <f>('Data Saham'!E192-'Data Saham'!E191)/'Data Saham'!E191</f>
        <v>2.4875621890547265E-2</v>
      </c>
      <c r="F192">
        <f>('Data Saham'!F192-'Data Saham'!F191)/'Data Saham'!F191</f>
        <v>2.2883295194508009E-3</v>
      </c>
      <c r="G192">
        <f>('Data Saham'!G192-'Data Saham'!G191)/'Data Saham'!G191</f>
        <v>-1.1428571428571429E-2</v>
      </c>
      <c r="H192">
        <f>('Data Saham'!H192-'Data Saham'!H191)/'Data Saham'!H191</f>
        <v>-1.5151515151515152E-2</v>
      </c>
      <c r="I192">
        <f>('Data Saham'!I192-'Data Saham'!I191)/'Data Saham'!I191</f>
        <v>-9.0090090090090089E-3</v>
      </c>
      <c r="J192">
        <f>('Data Saham'!J192-'Data Saham'!J191)/'Data Saham'!J191</f>
        <v>1.4760147601476014E-2</v>
      </c>
      <c r="K192">
        <f>('Data Saham'!K192-'Data Saham'!K191)/'Data Saham'!K191</f>
        <v>4.6831955922865015E-2</v>
      </c>
      <c r="L192">
        <f>('Data Saham'!L192-'Data Saham'!L191)/'Data Saham'!L191</f>
        <v>-3.5046728971962616E-3</v>
      </c>
      <c r="M192">
        <f>('Data Saham'!M192-'Data Saham'!M191)/'Data Saham'!M191</f>
        <v>2.9801324503311258E-2</v>
      </c>
      <c r="N192">
        <f>('Data Saham'!N192-'Data Saham'!N191)/'Data Saham'!N191</f>
        <v>-3.9301310043668124E-2</v>
      </c>
      <c r="O192">
        <f>('Data Saham'!O192-'Data Saham'!O191)/'Data Saham'!O191</f>
        <v>-1.3404825737265416E-2</v>
      </c>
      <c r="P192">
        <f>('Data Saham'!P192-'Data Saham'!P191)/'Data Saham'!P191</f>
        <v>2.7027027027027029E-2</v>
      </c>
      <c r="Q192">
        <f>('Data Saham'!Q192-'Data Saham'!Q191)/'Data Saham'!Q191</f>
        <v>-4.1558441558441558E-2</v>
      </c>
      <c r="R192">
        <f>('Data Saham'!R192-'Data Saham'!R191)/'Data Saham'!R191</f>
        <v>0</v>
      </c>
      <c r="S192">
        <f>('Data Saham'!S192-'Data Saham'!S191)/'Data Saham'!S191</f>
        <v>1.1037527593818985E-2</v>
      </c>
      <c r="T192">
        <f>('Data Saham'!T192-'Data Saham'!T191)/'Data Saham'!T191</f>
        <v>-2.5270758122743681E-2</v>
      </c>
      <c r="U192">
        <f>('Data Saham'!U192-'Data Saham'!U191)/'Data Saham'!U191</f>
        <v>-3.272727272727273E-2</v>
      </c>
      <c r="V192">
        <f>('Data Saham'!V192-'Data Saham'!V191)/'Data Saham'!V191</f>
        <v>3.2976827094474151E-2</v>
      </c>
      <c r="W192">
        <f>('Data Saham'!W192-'Data Saham'!W191)/'Data Saham'!W191</f>
        <v>-1.7094017094017096E-2</v>
      </c>
      <c r="X192">
        <f>('Data Saham'!X192-'Data Saham'!X191)/'Data Saham'!X191</f>
        <v>-8.0321285140562242E-3</v>
      </c>
      <c r="Y192">
        <f>('Data Saham'!Y192-'Data Saham'!Y191)/'Data Saham'!Y191</f>
        <v>2.617801047120419E-3</v>
      </c>
      <c r="Z192">
        <f>('Data Saham'!Z192-'Data Saham'!Z191)/'Data Saham'!Z191</f>
        <v>1.9417475728155338E-2</v>
      </c>
      <c r="AA192">
        <f>('Data Saham'!AA192-'Data Saham'!AA191)/'Data Saham'!AA191</f>
        <v>-2.4489795918367346E-2</v>
      </c>
      <c r="AB192">
        <f>('Data Saham'!AB192-'Data Saham'!AB191)/'Data Saham'!AB191</f>
        <v>-1.5151515151515152E-2</v>
      </c>
      <c r="AC192">
        <f>('Data Saham'!AC192-'Data Saham'!AC191)/'Data Saham'!AC191</f>
        <v>0</v>
      </c>
      <c r="AD192">
        <f>('Data Saham'!AD192-'Data Saham'!AD191)/'Data Saham'!AD191</f>
        <v>0</v>
      </c>
      <c r="AE192">
        <f>('Data Saham'!AE192-'Data Saham'!AE191)/'Data Saham'!AE191</f>
        <v>0</v>
      </c>
      <c r="AF192">
        <f>('Data Saham'!AF192-'Data Saham'!AF191)/'Data Saham'!AF191</f>
        <v>1.7341040462427744E-2</v>
      </c>
    </row>
    <row r="193" spans="1:32" x14ac:dyDescent="0.3">
      <c r="A193" s="4" t="s">
        <v>115</v>
      </c>
      <c r="B193">
        <f>('Data Saham'!B193-'Data Saham'!B192)/'Data Saham'!B192</f>
        <v>-1.0036898656333637E-3</v>
      </c>
      <c r="C193">
        <f>('Data Saham'!C193-'Data Saham'!C192)/'Data Saham'!C192</f>
        <v>-1.5290519877675841E-2</v>
      </c>
      <c r="D193">
        <f>('Data Saham'!D193-'Data Saham'!D192)/'Data Saham'!D192</f>
        <v>-2.6455026455026454E-3</v>
      </c>
      <c r="E193">
        <f>('Data Saham'!E193-'Data Saham'!E192)/'Data Saham'!E192</f>
        <v>4.8543689320388345E-3</v>
      </c>
      <c r="F193">
        <f>('Data Saham'!F193-'Data Saham'!F192)/'Data Saham'!F192</f>
        <v>-9.1324200913242004E-3</v>
      </c>
      <c r="G193">
        <f>('Data Saham'!G193-'Data Saham'!G192)/'Data Saham'!G192</f>
        <v>-1.4450867052023121E-2</v>
      </c>
      <c r="H193">
        <f>('Data Saham'!H193-'Data Saham'!H192)/'Data Saham'!H192</f>
        <v>3.8461538461538464E-3</v>
      </c>
      <c r="I193">
        <f>('Data Saham'!I193-'Data Saham'!I192)/'Data Saham'!I192</f>
        <v>2.1212121212121213E-2</v>
      </c>
      <c r="J193">
        <f>('Data Saham'!J193-'Data Saham'!J192)/'Data Saham'!J192</f>
        <v>-1.8181818181818181E-2</v>
      </c>
      <c r="K193">
        <f>('Data Saham'!K193-'Data Saham'!K192)/'Data Saham'!K192</f>
        <v>0</v>
      </c>
      <c r="L193">
        <f>('Data Saham'!L193-'Data Saham'!L192)/'Data Saham'!L192</f>
        <v>1.1723329425556858E-2</v>
      </c>
      <c r="M193">
        <f>('Data Saham'!M193-'Data Saham'!M192)/'Data Saham'!M192</f>
        <v>-1.2861736334405145E-2</v>
      </c>
      <c r="N193">
        <f>('Data Saham'!N193-'Data Saham'!N192)/'Data Saham'!N192</f>
        <v>-4.5454545454545452E-3</v>
      </c>
      <c r="O193">
        <f>('Data Saham'!O193-'Data Saham'!O192)/'Data Saham'!O192</f>
        <v>1.0869565217391304E-2</v>
      </c>
      <c r="P193">
        <f>('Data Saham'!P193-'Data Saham'!P192)/'Data Saham'!P192</f>
        <v>1.7543859649122806E-2</v>
      </c>
      <c r="Q193">
        <f>('Data Saham'!Q193-'Data Saham'!Q192)/'Data Saham'!Q192</f>
        <v>5.6910569105691054E-2</v>
      </c>
      <c r="R193">
        <f>('Data Saham'!R193-'Data Saham'!R192)/'Data Saham'!R192</f>
        <v>-2.0408163265306121E-2</v>
      </c>
      <c r="S193">
        <f>('Data Saham'!S193-'Data Saham'!S192)/'Data Saham'!S192</f>
        <v>1.3100436681222707E-2</v>
      </c>
      <c r="T193">
        <f>('Data Saham'!T193-'Data Saham'!T192)/'Data Saham'!T192</f>
        <v>0</v>
      </c>
      <c r="U193">
        <f>('Data Saham'!U193-'Data Saham'!U192)/'Data Saham'!U192</f>
        <v>3.7593984962406013E-3</v>
      </c>
      <c r="V193">
        <f>('Data Saham'!V193-'Data Saham'!V192)/'Data Saham'!V192</f>
        <v>2.8472821397756688E-2</v>
      </c>
      <c r="W193">
        <f>('Data Saham'!W193-'Data Saham'!W192)/'Data Saham'!W192</f>
        <v>1.7391304347826087E-2</v>
      </c>
      <c r="X193">
        <f>('Data Saham'!X193-'Data Saham'!X192)/'Data Saham'!X192</f>
        <v>-4.048582995951417E-3</v>
      </c>
      <c r="Y193">
        <f>('Data Saham'!Y193-'Data Saham'!Y192)/'Data Saham'!Y192</f>
        <v>2.6109660574412533E-3</v>
      </c>
      <c r="Z193">
        <f>('Data Saham'!Z193-'Data Saham'!Z192)/'Data Saham'!Z192</f>
        <v>-9.5238095238095247E-3</v>
      </c>
      <c r="AA193">
        <f>('Data Saham'!AA193-'Data Saham'!AA192)/'Data Saham'!AA192</f>
        <v>-1.2552301255230125E-2</v>
      </c>
      <c r="AB193">
        <f>('Data Saham'!AB193-'Data Saham'!AB192)/'Data Saham'!AB192</f>
        <v>0</v>
      </c>
      <c r="AC193">
        <f>('Data Saham'!AC193-'Data Saham'!AC192)/'Data Saham'!AC192</f>
        <v>-1.2195121951219513E-2</v>
      </c>
      <c r="AD193">
        <f>('Data Saham'!AD193-'Data Saham'!AD192)/'Data Saham'!AD192</f>
        <v>5.1813471502590676E-3</v>
      </c>
      <c r="AE193">
        <f>('Data Saham'!AE193-'Data Saham'!AE192)/'Data Saham'!AE192</f>
        <v>-5.7803468208092483E-3</v>
      </c>
      <c r="AF193">
        <f>('Data Saham'!AF193-'Data Saham'!AF192)/'Data Saham'!AF192</f>
        <v>0</v>
      </c>
    </row>
    <row r="194" spans="1:32" x14ac:dyDescent="0.3">
      <c r="A194" s="3" t="s">
        <v>116</v>
      </c>
      <c r="B194">
        <f>('Data Saham'!B194-'Data Saham'!B193)/'Data Saham'!B193</f>
        <v>4.215086735079171E-3</v>
      </c>
      <c r="C194">
        <f>('Data Saham'!C194-'Data Saham'!C193)/'Data Saham'!C193</f>
        <v>1.5527950310559006E-2</v>
      </c>
      <c r="D194">
        <f>('Data Saham'!D194-'Data Saham'!D193)/'Data Saham'!D193</f>
        <v>-2.6525198938992041E-3</v>
      </c>
      <c r="E194">
        <f>('Data Saham'!E194-'Data Saham'!E193)/'Data Saham'!E193</f>
        <v>-1.4492753623188406E-2</v>
      </c>
      <c r="F194">
        <f>('Data Saham'!F194-'Data Saham'!F193)/'Data Saham'!F193</f>
        <v>-2.304147465437788E-3</v>
      </c>
      <c r="G194">
        <f>('Data Saham'!G194-'Data Saham'!G193)/'Data Saham'!G193</f>
        <v>1.7595307917888565E-2</v>
      </c>
      <c r="H194">
        <f>('Data Saham'!H194-'Data Saham'!H193)/'Data Saham'!H193</f>
        <v>7.6628352490421452E-3</v>
      </c>
      <c r="I194">
        <f>('Data Saham'!I194-'Data Saham'!I193)/'Data Saham'!I193</f>
        <v>-8.9020771513353119E-3</v>
      </c>
      <c r="J194">
        <f>('Data Saham'!J194-'Data Saham'!J193)/'Data Saham'!J193</f>
        <v>1.4814814814814815E-2</v>
      </c>
      <c r="K194">
        <f>('Data Saham'!K194-'Data Saham'!K193)/'Data Saham'!K193</f>
        <v>-2.631578947368421E-3</v>
      </c>
      <c r="L194">
        <f>('Data Saham'!L194-'Data Saham'!L193)/'Data Saham'!L193</f>
        <v>-1.1587485515643105E-3</v>
      </c>
      <c r="M194">
        <f>('Data Saham'!M194-'Data Saham'!M193)/'Data Saham'!M193</f>
        <v>3.9087947882736153E-2</v>
      </c>
      <c r="N194">
        <f>('Data Saham'!N194-'Data Saham'!N193)/'Data Saham'!N193</f>
        <v>3.1963470319634701E-2</v>
      </c>
      <c r="O194">
        <f>('Data Saham'!O194-'Data Saham'!O193)/'Data Saham'!O193</f>
        <v>2.4193548387096774E-2</v>
      </c>
      <c r="P194">
        <f>('Data Saham'!P194-'Data Saham'!P193)/'Data Saham'!P193</f>
        <v>0</v>
      </c>
      <c r="Q194">
        <f>('Data Saham'!Q194-'Data Saham'!Q193)/'Data Saham'!Q193</f>
        <v>-3.5897435897435895E-2</v>
      </c>
      <c r="R194">
        <f>('Data Saham'!R194-'Data Saham'!R193)/'Data Saham'!R193</f>
        <v>2.0833333333333332E-2</v>
      </c>
      <c r="S194">
        <f>('Data Saham'!S194-'Data Saham'!S193)/'Data Saham'!S193</f>
        <v>-1.9396551724137932E-2</v>
      </c>
      <c r="T194">
        <f>('Data Saham'!T194-'Data Saham'!T193)/'Data Saham'!T193</f>
        <v>-1.8518518518518517E-2</v>
      </c>
      <c r="U194">
        <f>('Data Saham'!U194-'Data Saham'!U193)/'Data Saham'!U193</f>
        <v>1.1235955056179775E-2</v>
      </c>
      <c r="V194">
        <f>('Data Saham'!V194-'Data Saham'!V193)/'Data Saham'!V193</f>
        <v>5.8724832214765103E-3</v>
      </c>
      <c r="W194">
        <f>('Data Saham'!W194-'Data Saham'!W193)/'Data Saham'!W193</f>
        <v>-1.9943019943019943E-2</v>
      </c>
      <c r="X194">
        <f>('Data Saham'!X194-'Data Saham'!X193)/'Data Saham'!X193</f>
        <v>8.130081300813009E-3</v>
      </c>
      <c r="Y194">
        <f>('Data Saham'!Y194-'Data Saham'!Y193)/'Data Saham'!Y193</f>
        <v>2.34375E-2</v>
      </c>
      <c r="Z194">
        <f>('Data Saham'!Z194-'Data Saham'!Z193)/'Data Saham'!Z193</f>
        <v>-4.807692307692308E-3</v>
      </c>
      <c r="AA194">
        <f>('Data Saham'!AA194-'Data Saham'!AA193)/'Data Saham'!AA193</f>
        <v>2.1186440677966101E-2</v>
      </c>
      <c r="AB194">
        <f>('Data Saham'!AB194-'Data Saham'!AB193)/'Data Saham'!AB193</f>
        <v>-1.5384615384615385E-2</v>
      </c>
      <c r="AC194">
        <f>('Data Saham'!AC194-'Data Saham'!AC193)/'Data Saham'!AC193</f>
        <v>-4.3209876543209874E-2</v>
      </c>
      <c r="AD194">
        <f>('Data Saham'!AD194-'Data Saham'!AD193)/'Data Saham'!AD193</f>
        <v>-1.5463917525773196E-2</v>
      </c>
      <c r="AE194">
        <f>('Data Saham'!AE194-'Data Saham'!AE193)/'Data Saham'!AE193</f>
        <v>5.8139534883720929E-3</v>
      </c>
      <c r="AF194">
        <f>('Data Saham'!AF194-'Data Saham'!AF193)/'Data Saham'!AF193</f>
        <v>-1.1363636363636364E-2</v>
      </c>
    </row>
    <row r="195" spans="1:32" x14ac:dyDescent="0.3">
      <c r="A195" s="4" t="s">
        <v>117</v>
      </c>
      <c r="B195">
        <f>('Data Saham'!B195-'Data Saham'!B194)/'Data Saham'!B194</f>
        <v>-7.0623560001109769E-3</v>
      </c>
      <c r="C195">
        <f>('Data Saham'!C195-'Data Saham'!C194)/'Data Saham'!C194</f>
        <v>-1.834862385321101E-2</v>
      </c>
      <c r="D195">
        <f>('Data Saham'!D195-'Data Saham'!D194)/'Data Saham'!D194</f>
        <v>2.6595744680851063E-3</v>
      </c>
      <c r="E195">
        <f>('Data Saham'!E195-'Data Saham'!E194)/'Data Saham'!E194</f>
        <v>-9.8039215686274508E-3</v>
      </c>
      <c r="F195">
        <f>('Data Saham'!F195-'Data Saham'!F194)/'Data Saham'!F194</f>
        <v>-9.2378752886836026E-3</v>
      </c>
      <c r="G195">
        <f>('Data Saham'!G195-'Data Saham'!G194)/'Data Saham'!G194</f>
        <v>0</v>
      </c>
      <c r="H195">
        <f>('Data Saham'!H195-'Data Saham'!H194)/'Data Saham'!H194</f>
        <v>-1.1406844106463879E-2</v>
      </c>
      <c r="I195">
        <f>('Data Saham'!I195-'Data Saham'!I194)/'Data Saham'!I194</f>
        <v>-1.1976047904191617E-2</v>
      </c>
      <c r="J195">
        <f>('Data Saham'!J195-'Data Saham'!J194)/'Data Saham'!J194</f>
        <v>-7.2992700729927005E-3</v>
      </c>
      <c r="K195">
        <f>('Data Saham'!K195-'Data Saham'!K194)/'Data Saham'!K194</f>
        <v>5.2770448548812663E-3</v>
      </c>
      <c r="L195">
        <f>('Data Saham'!L195-'Data Saham'!L194)/'Data Saham'!L194</f>
        <v>1.5081206496519721E-2</v>
      </c>
      <c r="M195">
        <f>('Data Saham'!M195-'Data Saham'!M194)/'Data Saham'!M194</f>
        <v>0</v>
      </c>
      <c r="N195">
        <f>('Data Saham'!N195-'Data Saham'!N194)/'Data Saham'!N194</f>
        <v>-1.3274336283185841E-2</v>
      </c>
      <c r="O195">
        <f>('Data Saham'!O195-'Data Saham'!O194)/'Data Saham'!O194</f>
        <v>-1.3123359580052493E-2</v>
      </c>
      <c r="P195">
        <f>('Data Saham'!P195-'Data Saham'!P194)/'Data Saham'!P194</f>
        <v>8.6206896551724137E-3</v>
      </c>
      <c r="Q195">
        <f>('Data Saham'!Q195-'Data Saham'!Q194)/'Data Saham'!Q194</f>
        <v>-5.3191489361702126E-3</v>
      </c>
      <c r="R195">
        <f>('Data Saham'!R195-'Data Saham'!R194)/'Data Saham'!R194</f>
        <v>-8.1632653061224497E-3</v>
      </c>
      <c r="S195">
        <f>('Data Saham'!S195-'Data Saham'!S194)/'Data Saham'!S194</f>
        <v>-4.3956043956043956E-3</v>
      </c>
      <c r="T195">
        <f>('Data Saham'!T195-'Data Saham'!T194)/'Data Saham'!T194</f>
        <v>1.509433962264151E-2</v>
      </c>
      <c r="U195">
        <f>('Data Saham'!U195-'Data Saham'!U194)/'Data Saham'!U194</f>
        <v>-2.5925925925925925E-2</v>
      </c>
      <c r="V195">
        <f>('Data Saham'!V195-'Data Saham'!V194)/'Data Saham'!V194</f>
        <v>-5.8381984987489572E-3</v>
      </c>
      <c r="W195">
        <f>('Data Saham'!W195-'Data Saham'!W194)/'Data Saham'!W194</f>
        <v>-4.6511627906976744E-2</v>
      </c>
      <c r="X195">
        <f>('Data Saham'!X195-'Data Saham'!X194)/'Data Saham'!X194</f>
        <v>8.0645161290322578E-3</v>
      </c>
      <c r="Y195">
        <f>('Data Saham'!Y195-'Data Saham'!Y194)/'Data Saham'!Y194</f>
        <v>-5.0890585241730284E-3</v>
      </c>
      <c r="Z195">
        <f>('Data Saham'!Z195-'Data Saham'!Z194)/'Data Saham'!Z194</f>
        <v>-4.830917874396135E-3</v>
      </c>
      <c r="AA195">
        <f>('Data Saham'!AA195-'Data Saham'!AA194)/'Data Saham'!AA194</f>
        <v>-2.0746887966804978E-2</v>
      </c>
      <c r="AB195">
        <f>('Data Saham'!AB195-'Data Saham'!AB194)/'Data Saham'!AB194</f>
        <v>0</v>
      </c>
      <c r="AC195">
        <f>('Data Saham'!AC195-'Data Saham'!AC194)/'Data Saham'!AC194</f>
        <v>1.2903225806451613E-2</v>
      </c>
      <c r="AD195">
        <f>('Data Saham'!AD195-'Data Saham'!AD194)/'Data Saham'!AD194</f>
        <v>0</v>
      </c>
      <c r="AE195">
        <f>('Data Saham'!AE195-'Data Saham'!AE194)/'Data Saham'!AE194</f>
        <v>-5.7803468208092483E-3</v>
      </c>
      <c r="AF195">
        <f>('Data Saham'!AF195-'Data Saham'!AF194)/'Data Saham'!AF194</f>
        <v>-1.7241379310344827E-2</v>
      </c>
    </row>
    <row r="196" spans="1:32" x14ac:dyDescent="0.3">
      <c r="A196" s="3" t="s">
        <v>118</v>
      </c>
      <c r="B196">
        <f>('Data Saham'!B196-'Data Saham'!B195)/'Data Saham'!B195</f>
        <v>-5.4596623326399508E-3</v>
      </c>
      <c r="C196">
        <f>('Data Saham'!C196-'Data Saham'!C195)/'Data Saham'!C195</f>
        <v>0</v>
      </c>
      <c r="D196">
        <f>('Data Saham'!D196-'Data Saham'!D195)/'Data Saham'!D195</f>
        <v>0</v>
      </c>
      <c r="E196">
        <f>('Data Saham'!E196-'Data Saham'!E195)/'Data Saham'!E195</f>
        <v>0</v>
      </c>
      <c r="F196">
        <f>('Data Saham'!F196-'Data Saham'!F195)/'Data Saham'!F195</f>
        <v>-4.662004662004662E-3</v>
      </c>
      <c r="G196">
        <f>('Data Saham'!G196-'Data Saham'!G195)/'Data Saham'!G195</f>
        <v>-2.881844380403458E-3</v>
      </c>
      <c r="H196">
        <f>('Data Saham'!H196-'Data Saham'!H195)/'Data Saham'!H195</f>
        <v>1.9230769230769232E-2</v>
      </c>
      <c r="I196">
        <f>('Data Saham'!I196-'Data Saham'!I195)/'Data Saham'!I195</f>
        <v>0</v>
      </c>
      <c r="J196">
        <f>('Data Saham'!J196-'Data Saham'!J195)/'Data Saham'!J195</f>
        <v>0</v>
      </c>
      <c r="K196">
        <f>('Data Saham'!K196-'Data Saham'!K195)/'Data Saham'!K195</f>
        <v>-7.874015748031496E-3</v>
      </c>
      <c r="L196">
        <f>('Data Saham'!L196-'Data Saham'!L195)/'Data Saham'!L195</f>
        <v>5.7142857142857143E-3</v>
      </c>
      <c r="M196">
        <f>('Data Saham'!M196-'Data Saham'!M195)/'Data Saham'!M195</f>
        <v>9.4043887147335428E-3</v>
      </c>
      <c r="N196">
        <f>('Data Saham'!N196-'Data Saham'!N195)/'Data Saham'!N195</f>
        <v>-1.3452914798206279E-2</v>
      </c>
      <c r="O196">
        <f>('Data Saham'!O196-'Data Saham'!O195)/'Data Saham'!O195</f>
        <v>5.3191489361702126E-3</v>
      </c>
      <c r="P196">
        <f>('Data Saham'!P196-'Data Saham'!P195)/'Data Saham'!P195</f>
        <v>0</v>
      </c>
      <c r="Q196">
        <f>('Data Saham'!Q196-'Data Saham'!Q195)/'Data Saham'!Q195</f>
        <v>2.6737967914438501E-3</v>
      </c>
      <c r="R196">
        <f>('Data Saham'!R196-'Data Saham'!R195)/'Data Saham'!R195</f>
        <v>-4.11522633744856E-3</v>
      </c>
      <c r="S196">
        <f>('Data Saham'!S196-'Data Saham'!S195)/'Data Saham'!S195</f>
        <v>1.3245033112582781E-2</v>
      </c>
      <c r="T196">
        <f>('Data Saham'!T196-'Data Saham'!T195)/'Data Saham'!T195</f>
        <v>-1.4869888475836431E-2</v>
      </c>
      <c r="U196">
        <f>('Data Saham'!U196-'Data Saham'!U195)/'Data Saham'!U195</f>
        <v>1.5209125475285171E-2</v>
      </c>
      <c r="V196">
        <f>('Data Saham'!V196-'Data Saham'!V195)/'Data Saham'!V195</f>
        <v>-5.0335570469798654E-3</v>
      </c>
      <c r="W196">
        <f>('Data Saham'!W196-'Data Saham'!W195)/'Data Saham'!W195</f>
        <v>-4.573170731707317E-2</v>
      </c>
      <c r="X196">
        <f>('Data Saham'!X196-'Data Saham'!X195)/'Data Saham'!X195</f>
        <v>0</v>
      </c>
      <c r="Y196">
        <f>('Data Saham'!Y196-'Data Saham'!Y195)/'Data Saham'!Y195</f>
        <v>2.5575447570332483E-3</v>
      </c>
      <c r="Z196">
        <f>('Data Saham'!Z196-'Data Saham'!Z195)/'Data Saham'!Z195</f>
        <v>0</v>
      </c>
      <c r="AA196">
        <f>('Data Saham'!AA196-'Data Saham'!AA195)/'Data Saham'!AA195</f>
        <v>8.4745762711864406E-3</v>
      </c>
      <c r="AB196">
        <f>('Data Saham'!AB196-'Data Saham'!AB195)/'Data Saham'!AB195</f>
        <v>1.5625E-2</v>
      </c>
      <c r="AC196">
        <f>('Data Saham'!AC196-'Data Saham'!AC195)/'Data Saham'!AC195</f>
        <v>6.369426751592357E-3</v>
      </c>
      <c r="AD196">
        <f>('Data Saham'!AD196-'Data Saham'!AD195)/'Data Saham'!AD195</f>
        <v>-1.0471204188481676E-2</v>
      </c>
      <c r="AE196">
        <f>('Data Saham'!AE196-'Data Saham'!AE195)/'Data Saham'!AE195</f>
        <v>-5.8139534883720929E-3</v>
      </c>
      <c r="AF196">
        <f>('Data Saham'!AF196-'Data Saham'!AF195)/'Data Saham'!AF195</f>
        <v>-1.1695906432748537E-2</v>
      </c>
    </row>
    <row r="197" spans="1:32" x14ac:dyDescent="0.3">
      <c r="A197" s="4" t="s">
        <v>119</v>
      </c>
      <c r="B197">
        <f>('Data Saham'!B197-'Data Saham'!B196)/'Data Saham'!B196</f>
        <v>1.245621000924118E-2</v>
      </c>
      <c r="C197">
        <f>('Data Saham'!C197-'Data Saham'!C196)/'Data Saham'!C196</f>
        <v>0</v>
      </c>
      <c r="D197">
        <f>('Data Saham'!D197-'Data Saham'!D196)/'Data Saham'!D196</f>
        <v>2.6525198938992041E-3</v>
      </c>
      <c r="E197">
        <f>('Data Saham'!E197-'Data Saham'!E196)/'Data Saham'!E196</f>
        <v>4.9504950495049506E-3</v>
      </c>
      <c r="F197">
        <f>('Data Saham'!F197-'Data Saham'!F196)/'Data Saham'!F196</f>
        <v>-2.34192037470726E-3</v>
      </c>
      <c r="G197">
        <f>('Data Saham'!G197-'Data Saham'!G196)/'Data Saham'!G196</f>
        <v>8.670520231213872E-3</v>
      </c>
      <c r="H197">
        <f>('Data Saham'!H197-'Data Saham'!H196)/'Data Saham'!H196</f>
        <v>7.5471698113207548E-3</v>
      </c>
      <c r="I197">
        <f>('Data Saham'!I197-'Data Saham'!I196)/'Data Saham'!I196</f>
        <v>6.0606060606060606E-3</v>
      </c>
      <c r="J197">
        <f>('Data Saham'!J197-'Data Saham'!J196)/'Data Saham'!J196</f>
        <v>-3.6764705882352941E-3</v>
      </c>
      <c r="K197">
        <f>('Data Saham'!K197-'Data Saham'!K196)/'Data Saham'!K196</f>
        <v>2.9100529100529099E-2</v>
      </c>
      <c r="L197">
        <f>('Data Saham'!L197-'Data Saham'!L196)/'Data Saham'!L196</f>
        <v>-1.1363636363636363E-3</v>
      </c>
      <c r="M197">
        <f>('Data Saham'!M197-'Data Saham'!M196)/'Data Saham'!M196</f>
        <v>2.4844720496894408E-2</v>
      </c>
      <c r="N197">
        <f>('Data Saham'!N197-'Data Saham'!N196)/'Data Saham'!N196</f>
        <v>5.4545454545454543E-2</v>
      </c>
      <c r="O197">
        <f>('Data Saham'!O197-'Data Saham'!O196)/'Data Saham'!O196</f>
        <v>5.2910052910052907E-3</v>
      </c>
      <c r="P197">
        <f>('Data Saham'!P197-'Data Saham'!P196)/'Data Saham'!P196</f>
        <v>1.7094017094017096E-2</v>
      </c>
      <c r="Q197">
        <f>('Data Saham'!Q197-'Data Saham'!Q196)/'Data Saham'!Q196</f>
        <v>2.1333333333333333E-2</v>
      </c>
      <c r="R197">
        <f>('Data Saham'!R197-'Data Saham'!R196)/'Data Saham'!R196</f>
        <v>1.6528925619834711E-2</v>
      </c>
      <c r="S197">
        <f>('Data Saham'!S197-'Data Saham'!S196)/'Data Saham'!S196</f>
        <v>-1.0893246187363835E-2</v>
      </c>
      <c r="T197">
        <f>('Data Saham'!T197-'Data Saham'!T196)/'Data Saham'!T196</f>
        <v>-7.5471698113207548E-3</v>
      </c>
      <c r="U197">
        <f>('Data Saham'!U197-'Data Saham'!U196)/'Data Saham'!U196</f>
        <v>-1.8726591760299626E-2</v>
      </c>
      <c r="V197">
        <f>('Data Saham'!V197-'Data Saham'!V196)/'Data Saham'!V196</f>
        <v>-1.6863406408094434E-3</v>
      </c>
      <c r="W197">
        <f>('Data Saham'!W197-'Data Saham'!W196)/'Data Saham'!W196</f>
        <v>4.7923322683706068E-2</v>
      </c>
      <c r="X197">
        <f>('Data Saham'!X197-'Data Saham'!X196)/'Data Saham'!X196</f>
        <v>0</v>
      </c>
      <c r="Y197">
        <f>('Data Saham'!Y197-'Data Saham'!Y196)/'Data Saham'!Y196</f>
        <v>-2.5510204081632651E-3</v>
      </c>
      <c r="Z197">
        <f>('Data Saham'!Z197-'Data Saham'!Z196)/'Data Saham'!Z196</f>
        <v>0</v>
      </c>
      <c r="AA197">
        <f>('Data Saham'!AA197-'Data Saham'!AA196)/'Data Saham'!AA196</f>
        <v>-1.2605042016806723E-2</v>
      </c>
      <c r="AB197">
        <f>('Data Saham'!AB197-'Data Saham'!AB196)/'Data Saham'!AB196</f>
        <v>-1.5384615384615385E-2</v>
      </c>
      <c r="AC197">
        <f>('Data Saham'!AC197-'Data Saham'!AC196)/'Data Saham'!AC196</f>
        <v>0</v>
      </c>
      <c r="AD197">
        <f>('Data Saham'!AD197-'Data Saham'!AD196)/'Data Saham'!AD196</f>
        <v>3.1746031746031744E-2</v>
      </c>
      <c r="AE197">
        <f>('Data Saham'!AE197-'Data Saham'!AE196)/'Data Saham'!AE196</f>
        <v>0</v>
      </c>
      <c r="AF197">
        <f>('Data Saham'!AF197-'Data Saham'!AF196)/'Data Saham'!AF196</f>
        <v>0</v>
      </c>
    </row>
    <row r="198" spans="1:32" x14ac:dyDescent="0.3">
      <c r="A198" s="3" t="s">
        <v>120</v>
      </c>
      <c r="B198">
        <f>('Data Saham'!B198-'Data Saham'!B197)/'Data Saham'!B197</f>
        <v>3.1003232202644193E-4</v>
      </c>
      <c r="C198">
        <f>('Data Saham'!C198-'Data Saham'!C197)/'Data Saham'!C197</f>
        <v>6.2305295950155761E-3</v>
      </c>
      <c r="D198">
        <f>('Data Saham'!D198-'Data Saham'!D197)/'Data Saham'!D197</f>
        <v>-3.1746031746031744E-2</v>
      </c>
      <c r="E198">
        <f>('Data Saham'!E198-'Data Saham'!E197)/'Data Saham'!E197</f>
        <v>4.9261083743842365E-3</v>
      </c>
      <c r="F198">
        <f>('Data Saham'!F198-'Data Saham'!F197)/'Data Saham'!F197</f>
        <v>2.5821596244131457E-2</v>
      </c>
      <c r="G198">
        <f>('Data Saham'!G198-'Data Saham'!G197)/'Data Saham'!G197</f>
        <v>-2.8653295128939827E-3</v>
      </c>
      <c r="H198">
        <f>('Data Saham'!H198-'Data Saham'!H197)/'Data Saham'!H197</f>
        <v>3.7453183520599251E-3</v>
      </c>
      <c r="I198">
        <f>('Data Saham'!I198-'Data Saham'!I197)/'Data Saham'!I197</f>
        <v>-1.2048192771084338E-2</v>
      </c>
      <c r="J198">
        <f>('Data Saham'!J198-'Data Saham'!J197)/'Data Saham'!J197</f>
        <v>0</v>
      </c>
      <c r="K198">
        <f>('Data Saham'!K198-'Data Saham'!K197)/'Data Saham'!K197</f>
        <v>-6.9408740359897178E-2</v>
      </c>
      <c r="L198">
        <f>('Data Saham'!L198-'Data Saham'!L197)/'Data Saham'!L197</f>
        <v>-4.5506257110352671E-3</v>
      </c>
      <c r="M198">
        <f>('Data Saham'!M198-'Data Saham'!M197)/'Data Saham'!M197</f>
        <v>-4.5454545454545456E-2</v>
      </c>
      <c r="N198">
        <f>('Data Saham'!N198-'Data Saham'!N197)/'Data Saham'!N197</f>
        <v>-1.7241379310344827E-2</v>
      </c>
      <c r="O198">
        <f>('Data Saham'!O198-'Data Saham'!O197)/'Data Saham'!O197</f>
        <v>5.263157894736842E-3</v>
      </c>
      <c r="P198">
        <f>('Data Saham'!P198-'Data Saham'!P197)/'Data Saham'!P197</f>
        <v>-1.680672268907563E-2</v>
      </c>
      <c r="Q198">
        <f>('Data Saham'!Q198-'Data Saham'!Q197)/'Data Saham'!Q197</f>
        <v>-2.0887728459530026E-2</v>
      </c>
      <c r="R198">
        <f>('Data Saham'!R198-'Data Saham'!R197)/'Data Saham'!R197</f>
        <v>-2.032520325203252E-2</v>
      </c>
      <c r="S198">
        <f>('Data Saham'!S198-'Data Saham'!S197)/'Data Saham'!S197</f>
        <v>-6.6079295154185024E-3</v>
      </c>
      <c r="T198">
        <f>('Data Saham'!T198-'Data Saham'!T197)/'Data Saham'!T197</f>
        <v>-3.8022813688212928E-3</v>
      </c>
      <c r="U198">
        <f>('Data Saham'!U198-'Data Saham'!U197)/'Data Saham'!U197</f>
        <v>7.6335877862595417E-3</v>
      </c>
      <c r="V198">
        <f>('Data Saham'!V198-'Data Saham'!V197)/'Data Saham'!V197</f>
        <v>-3.3783783783783786E-3</v>
      </c>
      <c r="W198">
        <f>('Data Saham'!W198-'Data Saham'!W197)/'Data Saham'!W197</f>
        <v>-3.0487804878048782E-3</v>
      </c>
      <c r="X198">
        <f>('Data Saham'!X198-'Data Saham'!X197)/'Data Saham'!X197</f>
        <v>8.0000000000000002E-3</v>
      </c>
      <c r="Y198">
        <f>('Data Saham'!Y198-'Data Saham'!Y197)/'Data Saham'!Y197</f>
        <v>1.0230179028132993E-2</v>
      </c>
      <c r="Z198">
        <f>('Data Saham'!Z198-'Data Saham'!Z197)/'Data Saham'!Z197</f>
        <v>-4.8543689320388345E-3</v>
      </c>
      <c r="AA198">
        <f>('Data Saham'!AA198-'Data Saham'!AA197)/'Data Saham'!AA197</f>
        <v>-8.5106382978723406E-3</v>
      </c>
      <c r="AB198">
        <f>('Data Saham'!AB198-'Data Saham'!AB197)/'Data Saham'!AB197</f>
        <v>0</v>
      </c>
      <c r="AC198">
        <f>('Data Saham'!AC198-'Data Saham'!AC197)/'Data Saham'!AC197</f>
        <v>0</v>
      </c>
      <c r="AD198">
        <f>('Data Saham'!AD198-'Data Saham'!AD197)/'Data Saham'!AD197</f>
        <v>-2.0512820512820513E-2</v>
      </c>
      <c r="AE198">
        <f>('Data Saham'!AE198-'Data Saham'!AE197)/'Data Saham'!AE197</f>
        <v>-1.1695906432748537E-2</v>
      </c>
      <c r="AF198">
        <f>('Data Saham'!AF198-'Data Saham'!AF197)/'Data Saham'!AF197</f>
        <v>-1.7751479289940829E-2</v>
      </c>
    </row>
    <row r="199" spans="1:32" x14ac:dyDescent="0.3">
      <c r="A199" s="2">
        <v>46054</v>
      </c>
      <c r="B199">
        <f>('Data Saham'!B199-'Data Saham'!B198)/'Data Saham'!B198</f>
        <v>1.1702405706527244E-2</v>
      </c>
      <c r="C199">
        <f>('Data Saham'!C199-'Data Saham'!C198)/'Data Saham'!C198</f>
        <v>-6.1919504643962852E-3</v>
      </c>
      <c r="D199">
        <f>('Data Saham'!D199-'Data Saham'!D198)/'Data Saham'!D198</f>
        <v>-5.4644808743169399E-3</v>
      </c>
      <c r="E199">
        <f>('Data Saham'!E199-'Data Saham'!E198)/'Data Saham'!E198</f>
        <v>-4.9019607843137254E-3</v>
      </c>
      <c r="F199">
        <f>('Data Saham'!F199-'Data Saham'!F198)/'Data Saham'!F198</f>
        <v>-2.5171624713958809E-2</v>
      </c>
      <c r="G199">
        <f>('Data Saham'!G199-'Data Saham'!G198)/'Data Saham'!G198</f>
        <v>-2.8735632183908046E-3</v>
      </c>
      <c r="H199">
        <f>('Data Saham'!H199-'Data Saham'!H198)/'Data Saham'!H198</f>
        <v>1.4925373134328358E-2</v>
      </c>
      <c r="I199">
        <f>('Data Saham'!I199-'Data Saham'!I198)/'Data Saham'!I198</f>
        <v>-1.524390243902439E-2</v>
      </c>
      <c r="J199">
        <f>('Data Saham'!J199-'Data Saham'!J198)/'Data Saham'!J198</f>
        <v>-1.4760147601476014E-2</v>
      </c>
      <c r="K199">
        <f>('Data Saham'!K199-'Data Saham'!K198)/'Data Saham'!K198</f>
        <v>5.5248618784530384E-3</v>
      </c>
      <c r="L199">
        <f>('Data Saham'!L199-'Data Saham'!L198)/'Data Saham'!L198</f>
        <v>6.8571428571428568E-3</v>
      </c>
      <c r="M199">
        <f>('Data Saham'!M199-'Data Saham'!M198)/'Data Saham'!M198</f>
        <v>1.9047619047619049E-2</v>
      </c>
      <c r="N199">
        <f>('Data Saham'!N199-'Data Saham'!N198)/'Data Saham'!N198</f>
        <v>2.1929824561403508E-2</v>
      </c>
      <c r="O199">
        <f>('Data Saham'!O199-'Data Saham'!O198)/'Data Saham'!O198</f>
        <v>1.0471204188481676E-2</v>
      </c>
      <c r="P199">
        <f>('Data Saham'!P199-'Data Saham'!P198)/'Data Saham'!P198</f>
        <v>0</v>
      </c>
      <c r="Q199">
        <f>('Data Saham'!Q199-'Data Saham'!Q198)/'Data Saham'!Q198</f>
        <v>0</v>
      </c>
      <c r="R199">
        <f>('Data Saham'!R199-'Data Saham'!R198)/'Data Saham'!R198</f>
        <v>0</v>
      </c>
      <c r="S199">
        <f>('Data Saham'!S199-'Data Saham'!S198)/'Data Saham'!S198</f>
        <v>6.6518847006651885E-3</v>
      </c>
      <c r="T199">
        <f>('Data Saham'!T199-'Data Saham'!T198)/'Data Saham'!T198</f>
        <v>0.10687022900763359</v>
      </c>
      <c r="U199">
        <f>('Data Saham'!U199-'Data Saham'!U198)/'Data Saham'!U198</f>
        <v>7.575757575757576E-3</v>
      </c>
      <c r="V199">
        <f>('Data Saham'!V199-'Data Saham'!V198)/'Data Saham'!V198</f>
        <v>2.0338983050847456E-2</v>
      </c>
      <c r="W199">
        <f>('Data Saham'!W199-'Data Saham'!W198)/'Data Saham'!W198</f>
        <v>-2.4464831804281346E-2</v>
      </c>
      <c r="X199">
        <f>('Data Saham'!X199-'Data Saham'!X198)/'Data Saham'!X198</f>
        <v>1.5873015873015872E-2</v>
      </c>
      <c r="Y199">
        <f>('Data Saham'!Y199-'Data Saham'!Y198)/'Data Saham'!Y198</f>
        <v>5.0632911392405064E-3</v>
      </c>
      <c r="Z199">
        <f>('Data Saham'!Z199-'Data Saham'!Z198)/'Data Saham'!Z198</f>
        <v>0</v>
      </c>
      <c r="AA199">
        <f>('Data Saham'!AA199-'Data Saham'!AA198)/'Data Saham'!AA198</f>
        <v>1.2875536480686695E-2</v>
      </c>
      <c r="AB199">
        <f>('Data Saham'!AB199-'Data Saham'!AB198)/'Data Saham'!AB198</f>
        <v>7.8125E-2</v>
      </c>
      <c r="AC199">
        <f>('Data Saham'!AC199-'Data Saham'!AC198)/'Data Saham'!AC198</f>
        <v>-1.2658227848101266E-2</v>
      </c>
      <c r="AD199">
        <f>('Data Saham'!AD199-'Data Saham'!AD198)/'Data Saham'!AD198</f>
        <v>5.235602094240838E-3</v>
      </c>
      <c r="AE199">
        <f>('Data Saham'!AE199-'Data Saham'!AE198)/'Data Saham'!AE198</f>
        <v>5.9171597633136093E-3</v>
      </c>
      <c r="AF199">
        <f>('Data Saham'!AF199-'Data Saham'!AF198)/'Data Saham'!AF198</f>
        <v>-6.024096385542169E-3</v>
      </c>
    </row>
    <row r="200" spans="1:32" x14ac:dyDescent="0.3">
      <c r="A200" s="1">
        <v>46143</v>
      </c>
      <c r="B200">
        <f>('Data Saham'!B200-'Data Saham'!B199)/'Data Saham'!B199</f>
        <v>1.2695284592250151E-2</v>
      </c>
      <c r="C200">
        <f>('Data Saham'!C200-'Data Saham'!C199)/'Data Saham'!C199</f>
        <v>6.2305295950155761E-3</v>
      </c>
      <c r="D200">
        <f>('Data Saham'!D200-'Data Saham'!D199)/'Data Saham'!D199</f>
        <v>-2.7472527472527475E-3</v>
      </c>
      <c r="E200">
        <f>('Data Saham'!E200-'Data Saham'!E199)/'Data Saham'!E199</f>
        <v>-4.9261083743842365E-3</v>
      </c>
      <c r="F200">
        <f>('Data Saham'!F200-'Data Saham'!F199)/'Data Saham'!F199</f>
        <v>-7.0422535211267607E-3</v>
      </c>
      <c r="G200">
        <f>('Data Saham'!G200-'Data Saham'!G199)/'Data Saham'!G199</f>
        <v>3.1700288184438041E-2</v>
      </c>
      <c r="H200">
        <f>('Data Saham'!H200-'Data Saham'!H199)/'Data Saham'!H199</f>
        <v>1.1029411764705883E-2</v>
      </c>
      <c r="I200">
        <f>('Data Saham'!I200-'Data Saham'!I199)/'Data Saham'!I199</f>
        <v>3.0959752321981426E-3</v>
      </c>
      <c r="J200">
        <f>('Data Saham'!J200-'Data Saham'!J199)/'Data Saham'!J199</f>
        <v>2.6217228464419477E-2</v>
      </c>
      <c r="K200">
        <f>('Data Saham'!K200-'Data Saham'!K199)/'Data Saham'!K199</f>
        <v>1.098901098901099E-2</v>
      </c>
      <c r="L200">
        <f>('Data Saham'!L200-'Data Saham'!L199)/'Data Saham'!L199</f>
        <v>-4.5402951191827468E-3</v>
      </c>
      <c r="M200">
        <f>('Data Saham'!M200-'Data Saham'!M199)/'Data Saham'!M199</f>
        <v>5.6074766355140186E-2</v>
      </c>
      <c r="N200">
        <f>('Data Saham'!N200-'Data Saham'!N199)/'Data Saham'!N199</f>
        <v>6.4377682403433473E-2</v>
      </c>
      <c r="O200">
        <f>('Data Saham'!O200-'Data Saham'!O199)/'Data Saham'!O199</f>
        <v>1.2953367875647668E-2</v>
      </c>
      <c r="P200">
        <f>('Data Saham'!P200-'Data Saham'!P199)/'Data Saham'!P199</f>
        <v>-1.7094017094017096E-2</v>
      </c>
      <c r="Q200">
        <f>('Data Saham'!Q200-'Data Saham'!Q199)/'Data Saham'!Q199</f>
        <v>1.8666666666666668E-2</v>
      </c>
      <c r="R200">
        <f>('Data Saham'!R200-'Data Saham'!R199)/'Data Saham'!R199</f>
        <v>1.6597510373443983E-2</v>
      </c>
      <c r="S200">
        <f>('Data Saham'!S200-'Data Saham'!S199)/'Data Saham'!S199</f>
        <v>6.6079295154185024E-3</v>
      </c>
      <c r="T200">
        <f>('Data Saham'!T200-'Data Saham'!T199)/'Data Saham'!T199</f>
        <v>-1.7241379310344827E-2</v>
      </c>
      <c r="U200">
        <f>('Data Saham'!U200-'Data Saham'!U199)/'Data Saham'!U199</f>
        <v>-3.7593984962406013E-3</v>
      </c>
      <c r="V200">
        <f>('Data Saham'!V200-'Data Saham'!V199)/'Data Saham'!V199</f>
        <v>2.3255813953488372E-2</v>
      </c>
      <c r="W200">
        <f>('Data Saham'!W200-'Data Saham'!W199)/'Data Saham'!W199</f>
        <v>0</v>
      </c>
      <c r="X200">
        <f>('Data Saham'!X200-'Data Saham'!X199)/'Data Saham'!X199</f>
        <v>1.5625E-2</v>
      </c>
      <c r="Y200">
        <f>('Data Saham'!Y200-'Data Saham'!Y199)/'Data Saham'!Y199</f>
        <v>7.556675062972292E-3</v>
      </c>
      <c r="Z200">
        <f>('Data Saham'!Z200-'Data Saham'!Z199)/'Data Saham'!Z199</f>
        <v>4.8780487804878049E-3</v>
      </c>
      <c r="AA200">
        <f>('Data Saham'!AA200-'Data Saham'!AA199)/'Data Saham'!AA199</f>
        <v>4.2372881355932203E-3</v>
      </c>
      <c r="AB200">
        <f>('Data Saham'!AB200-'Data Saham'!AB199)/'Data Saham'!AB199</f>
        <v>-1.4492753623188406E-2</v>
      </c>
      <c r="AC200">
        <f>('Data Saham'!AC200-'Data Saham'!AC199)/'Data Saham'!AC199</f>
        <v>1.282051282051282E-2</v>
      </c>
      <c r="AD200">
        <f>('Data Saham'!AD200-'Data Saham'!AD199)/'Data Saham'!AD199</f>
        <v>5.208333333333333E-3</v>
      </c>
      <c r="AE200">
        <f>('Data Saham'!AE200-'Data Saham'!AE199)/'Data Saham'!AE199</f>
        <v>5.8823529411764705E-3</v>
      </c>
      <c r="AF200">
        <f>('Data Saham'!AF200-'Data Saham'!AF199)/'Data Saham'!AF199</f>
        <v>6.0606060606060606E-3</v>
      </c>
    </row>
    <row r="201" spans="1:32" x14ac:dyDescent="0.3">
      <c r="A201" s="2">
        <v>46174</v>
      </c>
      <c r="B201">
        <f>('Data Saham'!B201-'Data Saham'!B200)/'Data Saham'!B200</f>
        <v>8.4003165074910992E-3</v>
      </c>
      <c r="C201">
        <f>('Data Saham'!C201-'Data Saham'!C200)/'Data Saham'!C200</f>
        <v>1.238390092879257E-2</v>
      </c>
      <c r="D201">
        <f>('Data Saham'!D201-'Data Saham'!D200)/'Data Saham'!D200</f>
        <v>1.3774104683195593E-2</v>
      </c>
      <c r="E201">
        <f>('Data Saham'!E201-'Data Saham'!E200)/'Data Saham'!E200</f>
        <v>-3.3663366336633666E-2</v>
      </c>
      <c r="F201">
        <f>('Data Saham'!F201-'Data Saham'!F200)/'Data Saham'!F200</f>
        <v>2.3640661938534278E-3</v>
      </c>
      <c r="G201">
        <f>('Data Saham'!G201-'Data Saham'!G200)/'Data Saham'!G200</f>
        <v>-1.6759776536312849E-2</v>
      </c>
      <c r="H201">
        <f>('Data Saham'!H201-'Data Saham'!H200)/'Data Saham'!H200</f>
        <v>3.6363636363636364E-3</v>
      </c>
      <c r="I201">
        <f>('Data Saham'!I201-'Data Saham'!I200)/'Data Saham'!I200</f>
        <v>0</v>
      </c>
      <c r="J201">
        <f>('Data Saham'!J201-'Data Saham'!J200)/'Data Saham'!J200</f>
        <v>2.1897810218978103E-2</v>
      </c>
      <c r="K201">
        <f>('Data Saham'!K201-'Data Saham'!K200)/'Data Saham'!K200</f>
        <v>1.358695652173913E-2</v>
      </c>
      <c r="L201">
        <f>('Data Saham'!L201-'Data Saham'!L200)/'Data Saham'!L200</f>
        <v>2.2805017103762829E-3</v>
      </c>
      <c r="M201">
        <f>('Data Saham'!M201-'Data Saham'!M200)/'Data Saham'!M200</f>
        <v>1.7699115044247787E-2</v>
      </c>
      <c r="N201">
        <f>('Data Saham'!N201-'Data Saham'!N200)/'Data Saham'!N200</f>
        <v>8.8709677419354843E-2</v>
      </c>
      <c r="O201">
        <f>('Data Saham'!O201-'Data Saham'!O200)/'Data Saham'!O200</f>
        <v>-2.8132992327365727E-2</v>
      </c>
      <c r="P201">
        <f>('Data Saham'!P201-'Data Saham'!P200)/'Data Saham'!P200</f>
        <v>-1.7391304347826087E-2</v>
      </c>
      <c r="Q201">
        <f>('Data Saham'!Q201-'Data Saham'!Q200)/'Data Saham'!Q200</f>
        <v>-5.235602094240838E-3</v>
      </c>
      <c r="R201">
        <f>('Data Saham'!R201-'Data Saham'!R200)/'Data Saham'!R200</f>
        <v>-2.4489795918367346E-2</v>
      </c>
      <c r="S201">
        <f>('Data Saham'!S201-'Data Saham'!S200)/'Data Saham'!S200</f>
        <v>2.1881838074398249E-3</v>
      </c>
      <c r="T201">
        <f>('Data Saham'!T201-'Data Saham'!T200)/'Data Saham'!T200</f>
        <v>-3.8596491228070177E-2</v>
      </c>
      <c r="U201">
        <f>('Data Saham'!U201-'Data Saham'!U200)/'Data Saham'!U200</f>
        <v>-1.509433962264151E-2</v>
      </c>
      <c r="V201">
        <f>('Data Saham'!V201-'Data Saham'!V200)/'Data Saham'!V200</f>
        <v>1.5422077922077922E-2</v>
      </c>
      <c r="W201">
        <f>('Data Saham'!W201-'Data Saham'!W200)/'Data Saham'!W200</f>
        <v>-1.2539184952978056E-2</v>
      </c>
      <c r="X201">
        <f>('Data Saham'!X201-'Data Saham'!X200)/'Data Saham'!X200</f>
        <v>-1.1538461538461539E-2</v>
      </c>
      <c r="Y201">
        <f>('Data Saham'!Y201-'Data Saham'!Y200)/'Data Saham'!Y200</f>
        <v>-2.5000000000000001E-3</v>
      </c>
      <c r="Z201">
        <f>('Data Saham'!Z201-'Data Saham'!Z200)/'Data Saham'!Z200</f>
        <v>9.7087378640776691E-3</v>
      </c>
      <c r="AA201">
        <f>('Data Saham'!AA201-'Data Saham'!AA200)/'Data Saham'!AA200</f>
        <v>-8.4388185654008432E-3</v>
      </c>
      <c r="AB201">
        <f>('Data Saham'!AB201-'Data Saham'!AB200)/'Data Saham'!AB200</f>
        <v>0</v>
      </c>
      <c r="AC201">
        <f>('Data Saham'!AC201-'Data Saham'!AC200)/'Data Saham'!AC200</f>
        <v>3.1645569620253167E-2</v>
      </c>
      <c r="AD201">
        <f>('Data Saham'!AD201-'Data Saham'!AD200)/'Data Saham'!AD200</f>
        <v>1.5544041450777202E-2</v>
      </c>
      <c r="AE201">
        <f>('Data Saham'!AE201-'Data Saham'!AE200)/'Data Saham'!AE200</f>
        <v>1.7543859649122806E-2</v>
      </c>
      <c r="AF201">
        <f>('Data Saham'!AF201-'Data Saham'!AF200)/'Data Saham'!AF200</f>
        <v>1.8072289156626505E-2</v>
      </c>
    </row>
    <row r="202" spans="1:32" x14ac:dyDescent="0.3">
      <c r="A202" s="1">
        <v>46204</v>
      </c>
      <c r="B202">
        <f>('Data Saham'!B202-'Data Saham'!B201)/'Data Saham'!B201</f>
        <v>1.2536925162391136E-3</v>
      </c>
      <c r="C202">
        <f>('Data Saham'!C202-'Data Saham'!C201)/'Data Saham'!C201</f>
        <v>-3.0581039755351682E-3</v>
      </c>
      <c r="D202">
        <f>('Data Saham'!D202-'Data Saham'!D201)/'Data Saham'!D201</f>
        <v>5.434782608695652E-3</v>
      </c>
      <c r="E202">
        <f>('Data Saham'!E202-'Data Saham'!E201)/'Data Saham'!E201</f>
        <v>-1.4344262295081968E-2</v>
      </c>
      <c r="F202">
        <f>('Data Saham'!F202-'Data Saham'!F201)/'Data Saham'!F201</f>
        <v>-9.433962264150943E-3</v>
      </c>
      <c r="G202">
        <f>('Data Saham'!G202-'Data Saham'!G201)/'Data Saham'!G201</f>
        <v>5.681818181818182E-3</v>
      </c>
      <c r="H202">
        <f>('Data Saham'!H202-'Data Saham'!H201)/'Data Saham'!H201</f>
        <v>1.8115942028985508E-2</v>
      </c>
      <c r="I202">
        <f>('Data Saham'!I202-'Data Saham'!I201)/'Data Saham'!I201</f>
        <v>-6.1728395061728392E-3</v>
      </c>
      <c r="J202">
        <f>('Data Saham'!J202-'Data Saham'!J201)/'Data Saham'!J201</f>
        <v>-3.9285714285714285E-2</v>
      </c>
      <c r="K202">
        <f>('Data Saham'!K202-'Data Saham'!K201)/'Data Saham'!K201</f>
        <v>7.7747989276139406E-2</v>
      </c>
      <c r="L202">
        <f>('Data Saham'!L202-'Data Saham'!L201)/'Data Saham'!L201</f>
        <v>2.2753128555176336E-3</v>
      </c>
      <c r="M202">
        <f>('Data Saham'!M202-'Data Saham'!M201)/'Data Saham'!M201</f>
        <v>0.11594202898550725</v>
      </c>
      <c r="N202">
        <f>('Data Saham'!N202-'Data Saham'!N201)/'Data Saham'!N201</f>
        <v>7.4074074074074077E-3</v>
      </c>
      <c r="O202">
        <f>('Data Saham'!O202-'Data Saham'!O201)/'Data Saham'!O201</f>
        <v>2.368421052631579E-2</v>
      </c>
      <c r="P202">
        <f>('Data Saham'!P202-'Data Saham'!P201)/'Data Saham'!P201</f>
        <v>0</v>
      </c>
      <c r="Q202">
        <f>('Data Saham'!Q202-'Data Saham'!Q201)/'Data Saham'!Q201</f>
        <v>5.2631578947368418E-2</v>
      </c>
      <c r="R202">
        <f>('Data Saham'!R202-'Data Saham'!R201)/'Data Saham'!R201</f>
        <v>0</v>
      </c>
      <c r="S202">
        <f>('Data Saham'!S202-'Data Saham'!S201)/'Data Saham'!S201</f>
        <v>-6.5502183406113534E-3</v>
      </c>
      <c r="T202">
        <f>('Data Saham'!T202-'Data Saham'!T201)/'Data Saham'!T201</f>
        <v>-6.9343065693430656E-2</v>
      </c>
      <c r="U202">
        <f>('Data Saham'!U202-'Data Saham'!U201)/'Data Saham'!U201</f>
        <v>7.6628352490421452E-3</v>
      </c>
      <c r="V202">
        <f>('Data Saham'!V202-'Data Saham'!V201)/'Data Saham'!V201</f>
        <v>7.1942446043165471E-3</v>
      </c>
      <c r="W202">
        <f>('Data Saham'!W202-'Data Saham'!W201)/'Data Saham'!W201</f>
        <v>-3.1746031746031744E-2</v>
      </c>
      <c r="X202">
        <f>('Data Saham'!X202-'Data Saham'!X201)/'Data Saham'!X201</f>
        <v>-1.556420233463035E-2</v>
      </c>
      <c r="Y202">
        <f>('Data Saham'!Y202-'Data Saham'!Y201)/'Data Saham'!Y201</f>
        <v>0</v>
      </c>
      <c r="Z202">
        <f>('Data Saham'!Z202-'Data Saham'!Z201)/'Data Saham'!Z201</f>
        <v>-9.6153846153846159E-3</v>
      </c>
      <c r="AA202">
        <f>('Data Saham'!AA202-'Data Saham'!AA201)/'Data Saham'!AA201</f>
        <v>-4.2553191489361703E-3</v>
      </c>
      <c r="AB202">
        <f>('Data Saham'!AB202-'Data Saham'!AB201)/'Data Saham'!AB201</f>
        <v>-1.4705882352941176E-2</v>
      </c>
      <c r="AC202">
        <f>('Data Saham'!AC202-'Data Saham'!AC201)/'Data Saham'!AC201</f>
        <v>3.0674846625766871E-2</v>
      </c>
      <c r="AD202">
        <f>('Data Saham'!AD202-'Data Saham'!AD201)/'Data Saham'!AD201</f>
        <v>-1.020408163265306E-2</v>
      </c>
      <c r="AE202">
        <f>('Data Saham'!AE202-'Data Saham'!AE201)/'Data Saham'!AE201</f>
        <v>-1.1494252873563218E-2</v>
      </c>
      <c r="AF202">
        <f>('Data Saham'!AF202-'Data Saham'!AF201)/'Data Saham'!AF201</f>
        <v>-5.9171597633136093E-3</v>
      </c>
    </row>
    <row r="203" spans="1:32" x14ac:dyDescent="0.3">
      <c r="A203" s="2">
        <v>46235</v>
      </c>
      <c r="B203">
        <f>('Data Saham'!B203-'Data Saham'!B202)/'Data Saham'!B202</f>
        <v>-2.1621476588099854E-3</v>
      </c>
      <c r="C203">
        <f>('Data Saham'!C203-'Data Saham'!C202)/'Data Saham'!C202</f>
        <v>-1.2269938650306749E-2</v>
      </c>
      <c r="D203">
        <f>('Data Saham'!D203-'Data Saham'!D202)/'Data Saham'!D202</f>
        <v>2.7027027027027029E-3</v>
      </c>
      <c r="E203">
        <f>('Data Saham'!E203-'Data Saham'!E202)/'Data Saham'!E202</f>
        <v>0</v>
      </c>
      <c r="F203">
        <f>('Data Saham'!F203-'Data Saham'!F202)/'Data Saham'!F202</f>
        <v>2.3809523809523812E-3</v>
      </c>
      <c r="G203">
        <f>('Data Saham'!G203-'Data Saham'!G202)/'Data Saham'!G202</f>
        <v>-2.8248587570621469E-3</v>
      </c>
      <c r="H203">
        <f>('Data Saham'!H203-'Data Saham'!H202)/'Data Saham'!H202</f>
        <v>-3.5587188612099642E-3</v>
      </c>
      <c r="I203">
        <f>('Data Saham'!I203-'Data Saham'!I202)/'Data Saham'!I202</f>
        <v>-3.105590062111801E-3</v>
      </c>
      <c r="J203">
        <f>('Data Saham'!J203-'Data Saham'!J202)/'Data Saham'!J202</f>
        <v>-1.4869888475836431E-2</v>
      </c>
      <c r="K203">
        <f>('Data Saham'!K203-'Data Saham'!K202)/'Data Saham'!K202</f>
        <v>9.9502487562189053E-3</v>
      </c>
      <c r="L203">
        <f>('Data Saham'!L203-'Data Saham'!L202)/'Data Saham'!L202</f>
        <v>-1.1350737797956867E-3</v>
      </c>
      <c r="M203">
        <f>('Data Saham'!M203-'Data Saham'!M202)/'Data Saham'!M202</f>
        <v>-9.350649350649351E-2</v>
      </c>
      <c r="N203">
        <f>('Data Saham'!N203-'Data Saham'!N202)/'Data Saham'!N202</f>
        <v>-5.8823529411764705E-2</v>
      </c>
      <c r="O203">
        <f>('Data Saham'!O203-'Data Saham'!O202)/'Data Saham'!O202</f>
        <v>7.7120822622107968E-3</v>
      </c>
      <c r="P203">
        <f>('Data Saham'!P203-'Data Saham'!P202)/'Data Saham'!P202</f>
        <v>-1.7699115044247787E-2</v>
      </c>
      <c r="Q203">
        <f>('Data Saham'!Q203-'Data Saham'!Q202)/'Data Saham'!Q202</f>
        <v>7.4999999999999997E-2</v>
      </c>
      <c r="R203">
        <f>('Data Saham'!R203-'Data Saham'!R202)/'Data Saham'!R202</f>
        <v>-4.1841004184100415E-3</v>
      </c>
      <c r="S203">
        <f>('Data Saham'!S203-'Data Saham'!S202)/'Data Saham'!S202</f>
        <v>-1.098901098901099E-2</v>
      </c>
      <c r="T203">
        <f>('Data Saham'!T203-'Data Saham'!T202)/'Data Saham'!T202</f>
        <v>-3.9215686274509803E-3</v>
      </c>
      <c r="U203">
        <f>('Data Saham'!U203-'Data Saham'!U202)/'Data Saham'!U202</f>
        <v>-7.6045627376425855E-3</v>
      </c>
      <c r="V203">
        <f>('Data Saham'!V203-'Data Saham'!V202)/'Data Saham'!V202</f>
        <v>4.7619047619047623E-3</v>
      </c>
      <c r="W203">
        <f>('Data Saham'!W203-'Data Saham'!W202)/'Data Saham'!W202</f>
        <v>1.3114754098360656E-2</v>
      </c>
      <c r="X203">
        <f>('Data Saham'!X203-'Data Saham'!X202)/'Data Saham'!X202</f>
        <v>-1.5810276679841896E-2</v>
      </c>
      <c r="Y203">
        <f>('Data Saham'!Y203-'Data Saham'!Y202)/'Data Saham'!Y202</f>
        <v>-1.0025062656641603E-2</v>
      </c>
      <c r="Z203">
        <f>('Data Saham'!Z203-'Data Saham'!Z202)/'Data Saham'!Z202</f>
        <v>0</v>
      </c>
      <c r="AA203">
        <f>('Data Saham'!AA203-'Data Saham'!AA202)/'Data Saham'!AA202</f>
        <v>-2.1367521367521368E-2</v>
      </c>
      <c r="AB203">
        <f>('Data Saham'!AB203-'Data Saham'!AB202)/'Data Saham'!AB202</f>
        <v>-1.4925373134328358E-2</v>
      </c>
      <c r="AC203">
        <f>('Data Saham'!AC203-'Data Saham'!AC202)/'Data Saham'!AC202</f>
        <v>-2.976190476190476E-2</v>
      </c>
      <c r="AD203">
        <f>('Data Saham'!AD203-'Data Saham'!AD202)/'Data Saham'!AD202</f>
        <v>-1.5463917525773196E-2</v>
      </c>
      <c r="AE203">
        <f>('Data Saham'!AE203-'Data Saham'!AE202)/'Data Saham'!AE202</f>
        <v>5.8139534883720929E-3</v>
      </c>
      <c r="AF203">
        <f>('Data Saham'!AF203-'Data Saham'!AF202)/'Data Saham'!AF202</f>
        <v>-5.9523809523809521E-3</v>
      </c>
    </row>
    <row r="204" spans="1:32" x14ac:dyDescent="0.3">
      <c r="A204" s="1">
        <v>46266</v>
      </c>
      <c r="B204">
        <f>('Data Saham'!B204-'Data Saham'!B203)/'Data Saham'!B203</f>
        <v>1.2637989932183578E-3</v>
      </c>
      <c r="C204">
        <f>('Data Saham'!C204-'Data Saham'!C203)/'Data Saham'!C203</f>
        <v>9.316770186335404E-3</v>
      </c>
      <c r="D204">
        <f>('Data Saham'!D204-'Data Saham'!D203)/'Data Saham'!D203</f>
        <v>-8.0862533692722376E-3</v>
      </c>
      <c r="E204">
        <f>('Data Saham'!E204-'Data Saham'!E203)/'Data Saham'!E203</f>
        <v>-1.0395010395010396E-2</v>
      </c>
      <c r="F204">
        <f>('Data Saham'!F204-'Data Saham'!F203)/'Data Saham'!F203</f>
        <v>-7.1258907363420431E-3</v>
      </c>
      <c r="G204">
        <f>('Data Saham'!G204-'Data Saham'!G203)/'Data Saham'!G203</f>
        <v>-2.2662889518413599E-2</v>
      </c>
      <c r="H204">
        <f>('Data Saham'!H204-'Data Saham'!H203)/'Data Saham'!H203</f>
        <v>-1.7857142857142856E-2</v>
      </c>
      <c r="I204">
        <f>('Data Saham'!I204-'Data Saham'!I203)/'Data Saham'!I203</f>
        <v>-3.1152647975077881E-3</v>
      </c>
      <c r="J204">
        <f>('Data Saham'!J204-'Data Saham'!J203)/'Data Saham'!J203</f>
        <v>-3.7735849056603774E-3</v>
      </c>
      <c r="K204">
        <f>('Data Saham'!K204-'Data Saham'!K203)/'Data Saham'!K203</f>
        <v>3.4482758620689655E-2</v>
      </c>
      <c r="L204">
        <f>('Data Saham'!L204-'Data Saham'!L203)/'Data Saham'!L203</f>
        <v>-3.4090909090909089E-3</v>
      </c>
      <c r="M204">
        <f>('Data Saham'!M204-'Data Saham'!M203)/'Data Saham'!M203</f>
        <v>4.0114613180515762E-2</v>
      </c>
      <c r="N204">
        <f>('Data Saham'!N204-'Data Saham'!N203)/'Data Saham'!N203</f>
        <v>5.46875E-2</v>
      </c>
      <c r="O204">
        <f>('Data Saham'!O204-'Data Saham'!O203)/'Data Saham'!O203</f>
        <v>7.6530612244897957E-3</v>
      </c>
      <c r="P204">
        <f>('Data Saham'!P204-'Data Saham'!P203)/'Data Saham'!P203</f>
        <v>2.7027027027027029E-2</v>
      </c>
      <c r="Q204">
        <f>('Data Saham'!Q204-'Data Saham'!Q203)/'Data Saham'!Q203</f>
        <v>-9.3023255813953487E-3</v>
      </c>
      <c r="R204">
        <f>('Data Saham'!R204-'Data Saham'!R203)/'Data Saham'!R203</f>
        <v>-4.2016806722689074E-3</v>
      </c>
      <c r="S204">
        <f>('Data Saham'!S204-'Data Saham'!S203)/'Data Saham'!S203</f>
        <v>-2.2222222222222222E-3</v>
      </c>
      <c r="T204">
        <f>('Data Saham'!T204-'Data Saham'!T203)/'Data Saham'!T203</f>
        <v>1.968503937007874E-2</v>
      </c>
      <c r="U204">
        <f>('Data Saham'!U204-'Data Saham'!U203)/'Data Saham'!U203</f>
        <v>7.6628352490421452E-3</v>
      </c>
      <c r="V204">
        <f>('Data Saham'!V204-'Data Saham'!V203)/'Data Saham'!V203</f>
        <v>-4.7393364928909956E-3</v>
      </c>
      <c r="W204">
        <f>('Data Saham'!W204-'Data Saham'!W203)/'Data Saham'!W203</f>
        <v>3.2362459546925568E-3</v>
      </c>
      <c r="X204">
        <f>('Data Saham'!X204-'Data Saham'!X203)/'Data Saham'!X203</f>
        <v>-8.0321285140562242E-3</v>
      </c>
      <c r="Y204">
        <f>('Data Saham'!Y204-'Data Saham'!Y203)/'Data Saham'!Y203</f>
        <v>-1.0126582278481013E-2</v>
      </c>
      <c r="Z204">
        <f>('Data Saham'!Z204-'Data Saham'!Z203)/'Data Saham'!Z203</f>
        <v>4.8543689320388345E-3</v>
      </c>
      <c r="AA204">
        <f>('Data Saham'!AA204-'Data Saham'!AA203)/'Data Saham'!AA203</f>
        <v>0</v>
      </c>
      <c r="AB204">
        <f>('Data Saham'!AB204-'Data Saham'!AB203)/'Data Saham'!AB203</f>
        <v>0</v>
      </c>
      <c r="AC204">
        <f>('Data Saham'!AC204-'Data Saham'!AC203)/'Data Saham'!AC203</f>
        <v>-1.2269938650306749E-2</v>
      </c>
      <c r="AD204">
        <f>('Data Saham'!AD204-'Data Saham'!AD203)/'Data Saham'!AD203</f>
        <v>5.7591623036649213E-2</v>
      </c>
      <c r="AE204">
        <f>('Data Saham'!AE204-'Data Saham'!AE203)/'Data Saham'!AE203</f>
        <v>1.7341040462427744E-2</v>
      </c>
      <c r="AF204">
        <f>('Data Saham'!AF204-'Data Saham'!AF203)/'Data Saham'!AF203</f>
        <v>3.5928143712574849E-2</v>
      </c>
    </row>
    <row r="205" spans="1:32" x14ac:dyDescent="0.3">
      <c r="A205" s="2">
        <v>46357</v>
      </c>
      <c r="B205">
        <f>('Data Saham'!B205-'Data Saham'!B204)/'Data Saham'!B204</f>
        <v>-5.8220270232467791E-3</v>
      </c>
      <c r="C205">
        <f>('Data Saham'!C205-'Data Saham'!C204)/'Data Saham'!C204</f>
        <v>-1.2307692307692308E-2</v>
      </c>
      <c r="D205">
        <f>('Data Saham'!D205-'Data Saham'!D204)/'Data Saham'!D204</f>
        <v>5.434782608695652E-3</v>
      </c>
      <c r="E205">
        <f>('Data Saham'!E205-'Data Saham'!E204)/'Data Saham'!E204</f>
        <v>2.1008403361344537E-3</v>
      </c>
      <c r="F205">
        <f>('Data Saham'!F205-'Data Saham'!F204)/'Data Saham'!F204</f>
        <v>9.5693779904306216E-3</v>
      </c>
      <c r="G205">
        <f>('Data Saham'!G205-'Data Saham'!G204)/'Data Saham'!G204</f>
        <v>2.0289855072463767E-2</v>
      </c>
      <c r="H205">
        <f>('Data Saham'!H205-'Data Saham'!H204)/'Data Saham'!H204</f>
        <v>1.8181818181818181E-2</v>
      </c>
      <c r="I205">
        <f>('Data Saham'!I205-'Data Saham'!I204)/'Data Saham'!I204</f>
        <v>-1.2500000000000001E-2</v>
      </c>
      <c r="J205">
        <f>('Data Saham'!J205-'Data Saham'!J204)/'Data Saham'!J204</f>
        <v>0</v>
      </c>
      <c r="K205">
        <f>('Data Saham'!K205-'Data Saham'!K204)/'Data Saham'!K204</f>
        <v>2.3809523809523808E-2</v>
      </c>
      <c r="L205">
        <f>('Data Saham'!L205-'Data Saham'!L204)/'Data Saham'!L204</f>
        <v>-3.4207525655644243E-3</v>
      </c>
      <c r="M205">
        <f>('Data Saham'!M205-'Data Saham'!M204)/'Data Saham'!M204</f>
        <v>5.5096418732782371E-2</v>
      </c>
      <c r="N205">
        <f>('Data Saham'!N205-'Data Saham'!N204)/'Data Saham'!N204</f>
        <v>7.0370370370370375E-2</v>
      </c>
      <c r="O205">
        <f>('Data Saham'!O205-'Data Saham'!O204)/'Data Saham'!O204</f>
        <v>-5.0632911392405064E-3</v>
      </c>
      <c r="P205">
        <f>('Data Saham'!P205-'Data Saham'!P204)/'Data Saham'!P204</f>
        <v>-1.7543859649122806E-2</v>
      </c>
      <c r="Q205">
        <f>('Data Saham'!Q205-'Data Saham'!Q204)/'Data Saham'!Q204</f>
        <v>-5.8685446009389672E-2</v>
      </c>
      <c r="R205">
        <f>('Data Saham'!R205-'Data Saham'!R204)/'Data Saham'!R204</f>
        <v>2.9535864978902954E-2</v>
      </c>
      <c r="S205">
        <f>('Data Saham'!S205-'Data Saham'!S204)/'Data Saham'!S204</f>
        <v>-2.2271714922048997E-3</v>
      </c>
      <c r="T205">
        <f>('Data Saham'!T205-'Data Saham'!T204)/'Data Saham'!T204</f>
        <v>3.8610038610038611E-3</v>
      </c>
      <c r="U205">
        <f>('Data Saham'!U205-'Data Saham'!U204)/'Data Saham'!U204</f>
        <v>7.6045627376425855E-3</v>
      </c>
      <c r="V205">
        <f>('Data Saham'!V205-'Data Saham'!V204)/'Data Saham'!V204</f>
        <v>-4.7619047619047623E-3</v>
      </c>
      <c r="W205">
        <f>('Data Saham'!W205-'Data Saham'!W204)/'Data Saham'!W204</f>
        <v>-7.0967741935483872E-2</v>
      </c>
      <c r="X205">
        <f>('Data Saham'!X205-'Data Saham'!X204)/'Data Saham'!X204</f>
        <v>8.0971659919028341E-3</v>
      </c>
      <c r="Y205">
        <f>('Data Saham'!Y205-'Data Saham'!Y204)/'Data Saham'!Y204</f>
        <v>-7.6726342710997444E-3</v>
      </c>
      <c r="Z205">
        <f>('Data Saham'!Z205-'Data Saham'!Z204)/'Data Saham'!Z204</f>
        <v>-4.830917874396135E-3</v>
      </c>
      <c r="AA205">
        <f>('Data Saham'!AA205-'Data Saham'!AA204)/'Data Saham'!AA204</f>
        <v>8.7336244541484712E-3</v>
      </c>
      <c r="AB205">
        <f>('Data Saham'!AB205-'Data Saham'!AB204)/'Data Saham'!AB204</f>
        <v>0</v>
      </c>
      <c r="AC205">
        <f>('Data Saham'!AC205-'Data Saham'!AC204)/'Data Saham'!AC204</f>
        <v>-1.2422360248447204E-2</v>
      </c>
      <c r="AD205">
        <f>('Data Saham'!AD205-'Data Saham'!AD204)/'Data Saham'!AD204</f>
        <v>-1.4851485148514851E-2</v>
      </c>
      <c r="AE205">
        <f>('Data Saham'!AE205-'Data Saham'!AE204)/'Data Saham'!AE204</f>
        <v>0.10227272727272728</v>
      </c>
      <c r="AF205">
        <f>('Data Saham'!AF205-'Data Saham'!AF204)/'Data Saham'!AF204</f>
        <v>0</v>
      </c>
    </row>
    <row r="206" spans="1:32" x14ac:dyDescent="0.3">
      <c r="A206" s="3" t="s">
        <v>121</v>
      </c>
      <c r="B206">
        <f>('Data Saham'!B206-'Data Saham'!B205)/'Data Saham'!B205</f>
        <v>7.1561062138142716E-3</v>
      </c>
      <c r="C206">
        <f>('Data Saham'!C206-'Data Saham'!C205)/'Data Saham'!C205</f>
        <v>6.2305295950155761E-3</v>
      </c>
      <c r="D206">
        <f>('Data Saham'!D206-'Data Saham'!D205)/'Data Saham'!D205</f>
        <v>5.4054054054054057E-3</v>
      </c>
      <c r="E206">
        <f>('Data Saham'!E206-'Data Saham'!E205)/'Data Saham'!E205</f>
        <v>1.0482180293501049E-2</v>
      </c>
      <c r="F206">
        <f>('Data Saham'!F206-'Data Saham'!F205)/'Data Saham'!F205</f>
        <v>2.843601895734597E-2</v>
      </c>
      <c r="G206">
        <f>('Data Saham'!G206-'Data Saham'!G205)/'Data Saham'!G205</f>
        <v>2.8409090909090908E-2</v>
      </c>
      <c r="H206">
        <f>('Data Saham'!H206-'Data Saham'!H205)/'Data Saham'!H205</f>
        <v>4.2857142857142858E-2</v>
      </c>
      <c r="I206">
        <f>('Data Saham'!I206-'Data Saham'!I205)/'Data Saham'!I205</f>
        <v>9.4936708860759497E-3</v>
      </c>
      <c r="J206">
        <f>('Data Saham'!J206-'Data Saham'!J205)/'Data Saham'!J205</f>
        <v>1.5151515151515152E-2</v>
      </c>
      <c r="K206">
        <f>('Data Saham'!K206-'Data Saham'!K205)/'Data Saham'!K205</f>
        <v>6.5116279069767441E-2</v>
      </c>
      <c r="L206">
        <f>('Data Saham'!L206-'Data Saham'!L205)/'Data Saham'!L205</f>
        <v>6.8649885583524023E-3</v>
      </c>
      <c r="M206">
        <f>('Data Saham'!M206-'Data Saham'!M205)/'Data Saham'!M205</f>
        <v>1.3054830287206266E-2</v>
      </c>
      <c r="N206">
        <f>('Data Saham'!N206-'Data Saham'!N205)/'Data Saham'!N205</f>
        <v>7.9584775086505188E-2</v>
      </c>
      <c r="O206">
        <f>('Data Saham'!O206-'Data Saham'!O205)/'Data Saham'!O205</f>
        <v>7.6335877862595417E-3</v>
      </c>
      <c r="P206">
        <f>('Data Saham'!P206-'Data Saham'!P205)/'Data Saham'!P205</f>
        <v>-8.9285714285714281E-3</v>
      </c>
      <c r="Q206">
        <f>('Data Saham'!Q206-'Data Saham'!Q205)/'Data Saham'!Q205</f>
        <v>-2.4937655860349128E-2</v>
      </c>
      <c r="R206">
        <f>('Data Saham'!R206-'Data Saham'!R205)/'Data Saham'!R205</f>
        <v>8.1967213114754103E-3</v>
      </c>
      <c r="S206">
        <f>('Data Saham'!S206-'Data Saham'!S205)/'Data Saham'!S205</f>
        <v>8.9285714285714281E-3</v>
      </c>
      <c r="T206">
        <f>('Data Saham'!T206-'Data Saham'!T205)/'Data Saham'!T205</f>
        <v>5.3846153846153849E-2</v>
      </c>
      <c r="U206">
        <f>('Data Saham'!U206-'Data Saham'!U205)/'Data Saham'!U205</f>
        <v>-7.5471698113207548E-3</v>
      </c>
      <c r="V206">
        <f>('Data Saham'!V206-'Data Saham'!V205)/'Data Saham'!V205</f>
        <v>3.189792663476874E-3</v>
      </c>
      <c r="W206">
        <f>('Data Saham'!W206-'Data Saham'!W205)/'Data Saham'!W205</f>
        <v>-2.4305555555555556E-2</v>
      </c>
      <c r="X206">
        <f>('Data Saham'!X206-'Data Saham'!X205)/'Data Saham'!X205</f>
        <v>-4.0160642570281121E-3</v>
      </c>
      <c r="Y206">
        <f>('Data Saham'!Y206-'Data Saham'!Y205)/'Data Saham'!Y205</f>
        <v>1.804123711340206E-2</v>
      </c>
      <c r="Z206">
        <f>('Data Saham'!Z206-'Data Saham'!Z205)/'Data Saham'!Z205</f>
        <v>-4.8543689320388345E-3</v>
      </c>
      <c r="AA206">
        <f>('Data Saham'!AA206-'Data Saham'!AA205)/'Data Saham'!AA205</f>
        <v>-4.329004329004329E-3</v>
      </c>
      <c r="AB206">
        <f>('Data Saham'!AB206-'Data Saham'!AB205)/'Data Saham'!AB205</f>
        <v>1.5151515151515152E-2</v>
      </c>
      <c r="AC206">
        <f>('Data Saham'!AC206-'Data Saham'!AC205)/'Data Saham'!AC205</f>
        <v>6.2893081761006293E-3</v>
      </c>
      <c r="AD206">
        <f>('Data Saham'!AD206-'Data Saham'!AD205)/'Data Saham'!AD205</f>
        <v>0</v>
      </c>
      <c r="AE206">
        <f>('Data Saham'!AE206-'Data Saham'!AE205)/'Data Saham'!AE205</f>
        <v>-4.1237113402061855E-2</v>
      </c>
      <c r="AF206">
        <f>('Data Saham'!AF206-'Data Saham'!AF205)/'Data Saham'!AF205</f>
        <v>5.7803468208092483E-3</v>
      </c>
    </row>
    <row r="207" spans="1:32" x14ac:dyDescent="0.3">
      <c r="A207" s="4" t="s">
        <v>122</v>
      </c>
      <c r="B207">
        <f>('Data Saham'!B207-'Data Saham'!B206)/'Data Saham'!B206</f>
        <v>9.4185487746276577E-3</v>
      </c>
      <c r="C207">
        <f>('Data Saham'!C207-'Data Saham'!C206)/'Data Saham'!C206</f>
        <v>-9.2879256965944269E-3</v>
      </c>
      <c r="D207">
        <f>('Data Saham'!D207-'Data Saham'!D206)/'Data Saham'!D206</f>
        <v>0</v>
      </c>
      <c r="E207">
        <f>('Data Saham'!E207-'Data Saham'!E206)/'Data Saham'!E206</f>
        <v>4.1493775933609959E-3</v>
      </c>
      <c r="F207">
        <f>('Data Saham'!F207-'Data Saham'!F206)/'Data Saham'!F206</f>
        <v>4.608294930875576E-3</v>
      </c>
      <c r="G207">
        <f>('Data Saham'!G207-'Data Saham'!G206)/'Data Saham'!G206</f>
        <v>8.2872928176795577E-3</v>
      </c>
      <c r="H207">
        <f>('Data Saham'!H207-'Data Saham'!H206)/'Data Saham'!H206</f>
        <v>-2.3972602739726026E-2</v>
      </c>
      <c r="I207">
        <f>('Data Saham'!I207-'Data Saham'!I206)/'Data Saham'!I206</f>
        <v>-3.134796238244514E-3</v>
      </c>
      <c r="J207">
        <f>('Data Saham'!J207-'Data Saham'!J206)/'Data Saham'!J206</f>
        <v>3.7313432835820895E-3</v>
      </c>
      <c r="K207">
        <f>('Data Saham'!K207-'Data Saham'!K206)/'Data Saham'!K206</f>
        <v>-2.6200873362445413E-2</v>
      </c>
      <c r="L207">
        <f>('Data Saham'!L207-'Data Saham'!L206)/'Data Saham'!L206</f>
        <v>6.8181818181818179E-3</v>
      </c>
      <c r="M207">
        <f>('Data Saham'!M207-'Data Saham'!M206)/'Data Saham'!M206</f>
        <v>5.4123711340206188E-2</v>
      </c>
      <c r="N207">
        <f>('Data Saham'!N207-'Data Saham'!N206)/'Data Saham'!N206</f>
        <v>-1.9230769230769232E-2</v>
      </c>
      <c r="O207">
        <f>('Data Saham'!O207-'Data Saham'!O206)/'Data Saham'!O206</f>
        <v>2.5252525252525252E-2</v>
      </c>
      <c r="P207">
        <f>('Data Saham'!P207-'Data Saham'!P206)/'Data Saham'!P206</f>
        <v>-9.0090090090090089E-3</v>
      </c>
      <c r="Q207">
        <f>('Data Saham'!Q207-'Data Saham'!Q206)/'Data Saham'!Q206</f>
        <v>5.1150895140664961E-2</v>
      </c>
      <c r="R207">
        <f>('Data Saham'!R207-'Data Saham'!R206)/'Data Saham'!R206</f>
        <v>0</v>
      </c>
      <c r="S207">
        <f>('Data Saham'!S207-'Data Saham'!S206)/'Data Saham'!S206</f>
        <v>6.6371681415929203E-3</v>
      </c>
      <c r="T207">
        <f>('Data Saham'!T207-'Data Saham'!T206)/'Data Saham'!T206</f>
        <v>-4.7445255474452552E-2</v>
      </c>
      <c r="U207">
        <f>('Data Saham'!U207-'Data Saham'!U206)/'Data Saham'!U206</f>
        <v>-7.6045627376425855E-3</v>
      </c>
      <c r="V207">
        <f>('Data Saham'!V207-'Data Saham'!V206)/'Data Saham'!V206</f>
        <v>1.589825119236884E-3</v>
      </c>
      <c r="W207">
        <f>('Data Saham'!W207-'Data Saham'!W206)/'Data Saham'!W206</f>
        <v>7.1174377224199285E-3</v>
      </c>
      <c r="X207">
        <f>('Data Saham'!X207-'Data Saham'!X206)/'Data Saham'!X206</f>
        <v>4.0322580645161289E-3</v>
      </c>
      <c r="Y207">
        <f>('Data Saham'!Y207-'Data Saham'!Y206)/'Data Saham'!Y206</f>
        <v>7.5949367088607592E-3</v>
      </c>
      <c r="Z207">
        <f>('Data Saham'!Z207-'Data Saham'!Z206)/'Data Saham'!Z206</f>
        <v>0</v>
      </c>
      <c r="AA207">
        <f>('Data Saham'!AA207-'Data Saham'!AA206)/'Data Saham'!AA206</f>
        <v>2.6086956521739129E-2</v>
      </c>
      <c r="AB207">
        <f>('Data Saham'!AB207-'Data Saham'!AB206)/'Data Saham'!AB206</f>
        <v>2.9850746268656716E-2</v>
      </c>
      <c r="AC207">
        <f>('Data Saham'!AC207-'Data Saham'!AC206)/'Data Saham'!AC206</f>
        <v>-1.2500000000000001E-2</v>
      </c>
      <c r="AD207">
        <f>('Data Saham'!AD207-'Data Saham'!AD206)/'Data Saham'!AD206</f>
        <v>3.5175879396984924E-2</v>
      </c>
      <c r="AE207">
        <f>('Data Saham'!AE207-'Data Saham'!AE206)/'Data Saham'!AE206</f>
        <v>5.3763440860215058E-3</v>
      </c>
      <c r="AF207">
        <f>('Data Saham'!AF207-'Data Saham'!AF206)/'Data Saham'!AF206</f>
        <v>4.0229885057471264E-2</v>
      </c>
    </row>
    <row r="208" spans="1:32" x14ac:dyDescent="0.3">
      <c r="A208" s="3" t="s">
        <v>123</v>
      </c>
      <c r="B208">
        <f>('Data Saham'!B208-'Data Saham'!B207)/'Data Saham'!B207</f>
        <v>4.7417238485571037E-3</v>
      </c>
      <c r="C208">
        <f>('Data Saham'!C208-'Data Saham'!C207)/'Data Saham'!C207</f>
        <v>9.3749999999999997E-3</v>
      </c>
      <c r="D208">
        <f>('Data Saham'!D208-'Data Saham'!D207)/'Data Saham'!D207</f>
        <v>2.6881720430107527E-2</v>
      </c>
      <c r="E208">
        <f>('Data Saham'!E208-'Data Saham'!E207)/'Data Saham'!E207</f>
        <v>3.0991735537190084E-2</v>
      </c>
      <c r="F208">
        <f>('Data Saham'!F208-'Data Saham'!F207)/'Data Saham'!F207</f>
        <v>4.1284403669724773E-2</v>
      </c>
      <c r="G208">
        <f>('Data Saham'!G208-'Data Saham'!G207)/'Data Saham'!G207</f>
        <v>2.7397260273972603E-3</v>
      </c>
      <c r="H208">
        <f>('Data Saham'!H208-'Data Saham'!H207)/'Data Saham'!H207</f>
        <v>-1.0526315789473684E-2</v>
      </c>
      <c r="I208">
        <f>('Data Saham'!I208-'Data Saham'!I207)/'Data Saham'!I207</f>
        <v>1.2578616352201259E-2</v>
      </c>
      <c r="J208">
        <f>('Data Saham'!J208-'Data Saham'!J207)/'Data Saham'!J207</f>
        <v>3.7174721189591076E-3</v>
      </c>
      <c r="K208">
        <f>('Data Saham'!K208-'Data Saham'!K207)/'Data Saham'!K207</f>
        <v>0</v>
      </c>
      <c r="L208">
        <f>('Data Saham'!L208-'Data Saham'!L207)/'Data Saham'!L207</f>
        <v>5.6433408577878106E-3</v>
      </c>
      <c r="M208">
        <f>('Data Saham'!M208-'Data Saham'!M207)/'Data Saham'!M207</f>
        <v>-9.7799511002444987E-3</v>
      </c>
      <c r="N208">
        <f>('Data Saham'!N208-'Data Saham'!N207)/'Data Saham'!N207</f>
        <v>-2.2875816993464051E-2</v>
      </c>
      <c r="O208">
        <f>('Data Saham'!O208-'Data Saham'!O207)/'Data Saham'!O207</f>
        <v>-4.9261083743842365E-3</v>
      </c>
      <c r="P208">
        <f>('Data Saham'!P208-'Data Saham'!P207)/'Data Saham'!P207</f>
        <v>0</v>
      </c>
      <c r="Q208">
        <f>('Data Saham'!Q208-'Data Saham'!Q207)/'Data Saham'!Q207</f>
        <v>-2.4330900243309004E-2</v>
      </c>
      <c r="R208">
        <f>('Data Saham'!R208-'Data Saham'!R207)/'Data Saham'!R207</f>
        <v>-2.032520325203252E-2</v>
      </c>
      <c r="S208">
        <f>('Data Saham'!S208-'Data Saham'!S207)/'Data Saham'!S207</f>
        <v>4.3956043956043956E-3</v>
      </c>
      <c r="T208">
        <f>('Data Saham'!T208-'Data Saham'!T207)/'Data Saham'!T207</f>
        <v>3.4482758620689655E-2</v>
      </c>
      <c r="U208">
        <f>('Data Saham'!U208-'Data Saham'!U207)/'Data Saham'!U207</f>
        <v>1.1494252873563218E-2</v>
      </c>
      <c r="V208">
        <f>('Data Saham'!V208-'Data Saham'!V207)/'Data Saham'!V207</f>
        <v>-1.4285714285714285E-2</v>
      </c>
      <c r="W208">
        <f>('Data Saham'!W208-'Data Saham'!W207)/'Data Saham'!W207</f>
        <v>0</v>
      </c>
      <c r="X208">
        <f>('Data Saham'!X208-'Data Saham'!X207)/'Data Saham'!X207</f>
        <v>4.0160642570281121E-3</v>
      </c>
      <c r="Y208">
        <f>('Data Saham'!Y208-'Data Saham'!Y207)/'Data Saham'!Y207</f>
        <v>-5.0251256281407036E-3</v>
      </c>
      <c r="Z208">
        <f>('Data Saham'!Z208-'Data Saham'!Z207)/'Data Saham'!Z207</f>
        <v>4.8780487804878049E-3</v>
      </c>
      <c r="AA208">
        <f>('Data Saham'!AA208-'Data Saham'!AA207)/'Data Saham'!AA207</f>
        <v>0</v>
      </c>
      <c r="AB208">
        <f>('Data Saham'!AB208-'Data Saham'!AB207)/'Data Saham'!AB207</f>
        <v>-1.4492753623188406E-2</v>
      </c>
      <c r="AC208">
        <f>('Data Saham'!AC208-'Data Saham'!AC207)/'Data Saham'!AC207</f>
        <v>0</v>
      </c>
      <c r="AD208">
        <f>('Data Saham'!AD208-'Data Saham'!AD207)/'Data Saham'!AD207</f>
        <v>-4.8543689320388345E-3</v>
      </c>
      <c r="AE208">
        <f>('Data Saham'!AE208-'Data Saham'!AE207)/'Data Saham'!AE207</f>
        <v>2.6737967914438502E-2</v>
      </c>
      <c r="AF208">
        <f>('Data Saham'!AF208-'Data Saham'!AF207)/'Data Saham'!AF207</f>
        <v>3.8674033149171269E-2</v>
      </c>
    </row>
    <row r="209" spans="1:32" x14ac:dyDescent="0.3">
      <c r="A209" s="4" t="s">
        <v>124</v>
      </c>
      <c r="B209">
        <f>('Data Saham'!B209-'Data Saham'!B208)/'Data Saham'!B208</f>
        <v>6.4415822535842399E-3</v>
      </c>
      <c r="C209">
        <f>('Data Saham'!C209-'Data Saham'!C208)/'Data Saham'!C208</f>
        <v>6.1919504643962852E-3</v>
      </c>
      <c r="D209">
        <f>('Data Saham'!D209-'Data Saham'!D208)/'Data Saham'!D208</f>
        <v>5.235602094240838E-3</v>
      </c>
      <c r="E209">
        <f>('Data Saham'!E209-'Data Saham'!E208)/'Data Saham'!E208</f>
        <v>2.004008016032064E-3</v>
      </c>
      <c r="F209">
        <f>('Data Saham'!F209-'Data Saham'!F208)/'Data Saham'!F208</f>
        <v>1.7621145374449341E-2</v>
      </c>
      <c r="G209">
        <f>('Data Saham'!G209-'Data Saham'!G208)/'Data Saham'!G208</f>
        <v>-1.092896174863388E-2</v>
      </c>
      <c r="H209">
        <f>('Data Saham'!H209-'Data Saham'!H208)/'Data Saham'!H208</f>
        <v>4.9645390070921988E-2</v>
      </c>
      <c r="I209">
        <f>('Data Saham'!I209-'Data Saham'!I208)/'Data Saham'!I208</f>
        <v>6.2111801242236021E-3</v>
      </c>
      <c r="J209">
        <f>('Data Saham'!J209-'Data Saham'!J208)/'Data Saham'!J208</f>
        <v>1.1111111111111112E-2</v>
      </c>
      <c r="K209">
        <f>('Data Saham'!K209-'Data Saham'!K208)/'Data Saham'!K208</f>
        <v>-2.6905829596412557E-2</v>
      </c>
      <c r="L209">
        <f>('Data Saham'!L209-'Data Saham'!L208)/'Data Saham'!L208</f>
        <v>2.2446689113355782E-3</v>
      </c>
      <c r="M209">
        <f>('Data Saham'!M209-'Data Saham'!M208)/'Data Saham'!M208</f>
        <v>-1.2345679012345678E-2</v>
      </c>
      <c r="N209">
        <f>('Data Saham'!N209-'Data Saham'!N208)/'Data Saham'!N208</f>
        <v>2.3411371237458192E-2</v>
      </c>
      <c r="O209">
        <f>('Data Saham'!O209-'Data Saham'!O208)/'Data Saham'!O208</f>
        <v>9.9009900990099011E-3</v>
      </c>
      <c r="P209">
        <f>('Data Saham'!P209-'Data Saham'!P208)/'Data Saham'!P208</f>
        <v>-9.0909090909090905E-3</v>
      </c>
      <c r="Q209">
        <f>('Data Saham'!Q209-'Data Saham'!Q208)/'Data Saham'!Q208</f>
        <v>-1.7456359102244388E-2</v>
      </c>
      <c r="R209">
        <f>('Data Saham'!R209-'Data Saham'!R208)/'Data Saham'!R208</f>
        <v>8.2987551867219917E-3</v>
      </c>
      <c r="S209">
        <f>('Data Saham'!S209-'Data Saham'!S208)/'Data Saham'!S208</f>
        <v>-3.0634573304157548E-2</v>
      </c>
      <c r="T209">
        <f>('Data Saham'!T209-'Data Saham'!T208)/'Data Saham'!T208</f>
        <v>2.9629629629629631E-2</v>
      </c>
      <c r="U209">
        <f>('Data Saham'!U209-'Data Saham'!U208)/'Data Saham'!U208</f>
        <v>1.1363636363636364E-2</v>
      </c>
      <c r="V209">
        <f>('Data Saham'!V209-'Data Saham'!V208)/'Data Saham'!V208</f>
        <v>1.4492753623188406E-2</v>
      </c>
      <c r="W209">
        <f>('Data Saham'!W209-'Data Saham'!W208)/'Data Saham'!W208</f>
        <v>4.2402826855123678E-2</v>
      </c>
      <c r="X209">
        <f>('Data Saham'!X209-'Data Saham'!X208)/'Data Saham'!X208</f>
        <v>3.5999999999999997E-2</v>
      </c>
      <c r="Y209">
        <f>('Data Saham'!Y209-'Data Saham'!Y208)/'Data Saham'!Y208</f>
        <v>-2.0202020202020204E-2</v>
      </c>
      <c r="Z209">
        <f>('Data Saham'!Z209-'Data Saham'!Z208)/'Data Saham'!Z208</f>
        <v>9.7087378640776691E-3</v>
      </c>
      <c r="AA209">
        <f>('Data Saham'!AA209-'Data Saham'!AA208)/'Data Saham'!AA208</f>
        <v>-4.2372881355932203E-3</v>
      </c>
      <c r="AB209">
        <f>('Data Saham'!AB209-'Data Saham'!AB208)/'Data Saham'!AB208</f>
        <v>-2.9411764705882353E-2</v>
      </c>
      <c r="AC209">
        <f>('Data Saham'!AC209-'Data Saham'!AC208)/'Data Saham'!AC208</f>
        <v>6.3291139240506328E-3</v>
      </c>
      <c r="AD209">
        <f>('Data Saham'!AD209-'Data Saham'!AD208)/'Data Saham'!AD208</f>
        <v>-1.9512195121951219E-2</v>
      </c>
      <c r="AE209">
        <f>('Data Saham'!AE209-'Data Saham'!AE208)/'Data Saham'!AE208</f>
        <v>-2.6041666666666668E-2</v>
      </c>
      <c r="AF209">
        <f>('Data Saham'!AF209-'Data Saham'!AF208)/'Data Saham'!AF208</f>
        <v>-2.6595744680851064E-2</v>
      </c>
    </row>
    <row r="210" spans="1:32" x14ac:dyDescent="0.3">
      <c r="A210" s="3" t="s">
        <v>125</v>
      </c>
      <c r="B210">
        <f>('Data Saham'!B210-'Data Saham'!B209)/'Data Saham'!B209</f>
        <v>9.0870572933480243E-5</v>
      </c>
      <c r="C210">
        <f>('Data Saham'!C210-'Data Saham'!C209)/'Data Saham'!C209</f>
        <v>-1.5384615384615385E-2</v>
      </c>
      <c r="D210">
        <f>('Data Saham'!D210-'Data Saham'!D209)/'Data Saham'!D209</f>
        <v>2.6041666666666665E-3</v>
      </c>
      <c r="E210">
        <f>('Data Saham'!E210-'Data Saham'!E209)/'Data Saham'!E209</f>
        <v>5.0000000000000001E-3</v>
      </c>
      <c r="F210">
        <f>('Data Saham'!F210-'Data Saham'!F209)/'Data Saham'!F209</f>
        <v>-1.0822510822510822E-2</v>
      </c>
      <c r="G210">
        <f>('Data Saham'!G210-'Data Saham'!G209)/'Data Saham'!G209</f>
        <v>-5.5248618784530384E-3</v>
      </c>
      <c r="H210">
        <f>('Data Saham'!H210-'Data Saham'!H209)/'Data Saham'!H209</f>
        <v>-1.6891891891891893E-2</v>
      </c>
      <c r="I210">
        <f>('Data Saham'!I210-'Data Saham'!I209)/'Data Saham'!I209</f>
        <v>3.0864197530864196E-3</v>
      </c>
      <c r="J210">
        <f>('Data Saham'!J210-'Data Saham'!J209)/'Data Saham'!J209</f>
        <v>-1.8315018315018316E-2</v>
      </c>
      <c r="K210">
        <f>('Data Saham'!K210-'Data Saham'!K209)/'Data Saham'!K209</f>
        <v>3.2258064516129031E-2</v>
      </c>
      <c r="L210">
        <f>('Data Saham'!L210-'Data Saham'!L209)/'Data Saham'!L209</f>
        <v>3.3594624860022394E-3</v>
      </c>
      <c r="M210">
        <f>('Data Saham'!M210-'Data Saham'!M209)/'Data Saham'!M209</f>
        <v>0.03</v>
      </c>
      <c r="N210">
        <f>('Data Saham'!N210-'Data Saham'!N209)/'Data Saham'!N209</f>
        <v>4.9019607843137254E-2</v>
      </c>
      <c r="O210">
        <f>('Data Saham'!O210-'Data Saham'!O209)/'Data Saham'!O209</f>
        <v>1.9607843137254902E-2</v>
      </c>
      <c r="P210">
        <f>('Data Saham'!P210-'Data Saham'!P209)/'Data Saham'!P209</f>
        <v>2.7522935779816515E-2</v>
      </c>
      <c r="Q210">
        <f>('Data Saham'!Q210-'Data Saham'!Q209)/'Data Saham'!Q209</f>
        <v>8.3756345177664976E-2</v>
      </c>
      <c r="R210">
        <f>('Data Saham'!R210-'Data Saham'!R209)/'Data Saham'!R209</f>
        <v>-2.0576131687242798E-2</v>
      </c>
      <c r="S210">
        <f>('Data Saham'!S210-'Data Saham'!S209)/'Data Saham'!S209</f>
        <v>-2.257336343115124E-3</v>
      </c>
      <c r="T210">
        <f>('Data Saham'!T210-'Data Saham'!T209)/'Data Saham'!T209</f>
        <v>5.3956834532374098E-2</v>
      </c>
      <c r="U210">
        <f>('Data Saham'!U210-'Data Saham'!U209)/'Data Saham'!U209</f>
        <v>-1.1235955056179775E-2</v>
      </c>
      <c r="V210">
        <f>('Data Saham'!V210-'Data Saham'!V209)/'Data Saham'!V209</f>
        <v>1.507936507936508E-2</v>
      </c>
      <c r="W210">
        <f>('Data Saham'!W210-'Data Saham'!W209)/'Data Saham'!W209</f>
        <v>-1.6949152542372881E-2</v>
      </c>
      <c r="X210">
        <f>('Data Saham'!X210-'Data Saham'!X209)/'Data Saham'!X209</f>
        <v>2.7027027027027029E-2</v>
      </c>
      <c r="Y210">
        <f>('Data Saham'!Y210-'Data Saham'!Y209)/'Data Saham'!Y209</f>
        <v>-5.1546391752577319E-3</v>
      </c>
      <c r="Z210">
        <f>('Data Saham'!Z210-'Data Saham'!Z209)/'Data Saham'!Z209</f>
        <v>4.807692307692308E-3</v>
      </c>
      <c r="AA210">
        <f>('Data Saham'!AA210-'Data Saham'!AA209)/'Data Saham'!AA209</f>
        <v>2.1276595744680851E-2</v>
      </c>
      <c r="AB210">
        <f>('Data Saham'!AB210-'Data Saham'!AB209)/'Data Saham'!AB209</f>
        <v>0</v>
      </c>
      <c r="AC210">
        <f>('Data Saham'!AC210-'Data Saham'!AC209)/'Data Saham'!AC209</f>
        <v>-6.2893081761006293E-3</v>
      </c>
      <c r="AD210">
        <f>('Data Saham'!AD210-'Data Saham'!AD209)/'Data Saham'!AD209</f>
        <v>0</v>
      </c>
      <c r="AE210">
        <f>('Data Saham'!AE210-'Data Saham'!AE209)/'Data Saham'!AE209</f>
        <v>-1.06951871657754E-2</v>
      </c>
      <c r="AF210">
        <f>('Data Saham'!AF210-'Data Saham'!AF209)/'Data Saham'!AF209</f>
        <v>5.4644808743169399E-3</v>
      </c>
    </row>
    <row r="211" spans="1:32" x14ac:dyDescent="0.3">
      <c r="A211" s="4" t="s">
        <v>126</v>
      </c>
      <c r="B211">
        <f>('Data Saham'!B211-'Data Saham'!B210)/'Data Saham'!B210</f>
        <v>-1.3615115986294108E-2</v>
      </c>
      <c r="C211">
        <f>('Data Saham'!C211-'Data Saham'!C210)/'Data Saham'!C210</f>
        <v>-3.7499999999999999E-2</v>
      </c>
      <c r="D211">
        <f>('Data Saham'!D211-'Data Saham'!D210)/'Data Saham'!D210</f>
        <v>-7.7922077922077922E-3</v>
      </c>
      <c r="E211">
        <f>('Data Saham'!E211-'Data Saham'!E210)/'Data Saham'!E210</f>
        <v>-6.965174129353234E-3</v>
      </c>
      <c r="F211">
        <f>('Data Saham'!F211-'Data Saham'!F210)/'Data Saham'!F210</f>
        <v>4.3763676148796497E-3</v>
      </c>
      <c r="G211">
        <f>('Data Saham'!G211-'Data Saham'!G210)/'Data Saham'!G210</f>
        <v>0</v>
      </c>
      <c r="H211">
        <f>('Data Saham'!H211-'Data Saham'!H210)/'Data Saham'!H210</f>
        <v>-9.2783505154639179E-2</v>
      </c>
      <c r="I211">
        <f>('Data Saham'!I211-'Data Saham'!I210)/'Data Saham'!I210</f>
        <v>-3.0769230769230769E-3</v>
      </c>
      <c r="J211">
        <f>('Data Saham'!J211-'Data Saham'!J210)/'Data Saham'!J210</f>
        <v>0</v>
      </c>
      <c r="K211">
        <f>('Data Saham'!K211-'Data Saham'!K210)/'Data Saham'!K210</f>
        <v>8.9285714285714281E-3</v>
      </c>
      <c r="L211">
        <f>('Data Saham'!L211-'Data Saham'!L210)/'Data Saham'!L210</f>
        <v>-4.464285714285714E-3</v>
      </c>
      <c r="M211">
        <f>('Data Saham'!M211-'Data Saham'!M210)/'Data Saham'!M210</f>
        <v>3.640776699029126E-2</v>
      </c>
      <c r="N211">
        <f>('Data Saham'!N211-'Data Saham'!N210)/'Data Saham'!N210</f>
        <v>3.1152647975077882E-2</v>
      </c>
      <c r="O211">
        <f>('Data Saham'!O211-'Data Saham'!O210)/'Data Saham'!O210</f>
        <v>4.807692307692308E-3</v>
      </c>
      <c r="P211">
        <f>('Data Saham'!P211-'Data Saham'!P210)/'Data Saham'!P210</f>
        <v>2.6785714285714284E-2</v>
      </c>
      <c r="Q211">
        <f>('Data Saham'!Q211-'Data Saham'!Q210)/'Data Saham'!Q210</f>
        <v>-2.8103044496487119E-2</v>
      </c>
      <c r="R211">
        <f>('Data Saham'!R211-'Data Saham'!R210)/'Data Saham'!R210</f>
        <v>8.4033613445378148E-3</v>
      </c>
      <c r="S211">
        <f>('Data Saham'!S211-'Data Saham'!S210)/'Data Saham'!S210</f>
        <v>6.7873303167420816E-3</v>
      </c>
      <c r="T211">
        <f>('Data Saham'!T211-'Data Saham'!T210)/'Data Saham'!T210</f>
        <v>0</v>
      </c>
      <c r="U211">
        <f>('Data Saham'!U211-'Data Saham'!U210)/'Data Saham'!U210</f>
        <v>-1.1363636363636364E-2</v>
      </c>
      <c r="V211">
        <f>('Data Saham'!V211-'Data Saham'!V210)/'Data Saham'!V210</f>
        <v>-0.14933541829554339</v>
      </c>
      <c r="W211">
        <f>('Data Saham'!W211-'Data Saham'!W210)/'Data Saham'!W210</f>
        <v>-1.3793103448275862E-2</v>
      </c>
      <c r="X211">
        <f>('Data Saham'!X211-'Data Saham'!X210)/'Data Saham'!X210</f>
        <v>-2.6315789473684209E-2</v>
      </c>
      <c r="Y211">
        <f>('Data Saham'!Y211-'Data Saham'!Y210)/'Data Saham'!Y210</f>
        <v>5.1813471502590676E-3</v>
      </c>
      <c r="Z211">
        <f>('Data Saham'!Z211-'Data Saham'!Z210)/'Data Saham'!Z210</f>
        <v>-1.4354066985645933E-2</v>
      </c>
      <c r="AA211">
        <f>('Data Saham'!AA211-'Data Saham'!AA210)/'Data Saham'!AA210</f>
        <v>8.3333333333333332E-3</v>
      </c>
      <c r="AB211">
        <f>('Data Saham'!AB211-'Data Saham'!AB210)/'Data Saham'!AB210</f>
        <v>-3.0303030303030304E-2</v>
      </c>
      <c r="AC211">
        <f>('Data Saham'!AC211-'Data Saham'!AC210)/'Data Saham'!AC210</f>
        <v>-6.3291139240506328E-3</v>
      </c>
      <c r="AD211">
        <f>('Data Saham'!AD211-'Data Saham'!AD210)/'Data Saham'!AD210</f>
        <v>-1.9900497512437811E-2</v>
      </c>
      <c r="AE211">
        <f>('Data Saham'!AE211-'Data Saham'!AE210)/'Data Saham'!AE210</f>
        <v>0</v>
      </c>
      <c r="AF211">
        <f>('Data Saham'!AF211-'Data Saham'!AF210)/'Data Saham'!AF210</f>
        <v>-4.8913043478260872E-2</v>
      </c>
    </row>
    <row r="212" spans="1:32" x14ac:dyDescent="0.3">
      <c r="A212" s="3" t="s">
        <v>127</v>
      </c>
      <c r="B212">
        <f>('Data Saham'!B212-'Data Saham'!B211)/'Data Saham'!B211</f>
        <v>-2.0143546351798032E-3</v>
      </c>
      <c r="C212">
        <f>('Data Saham'!C212-'Data Saham'!C211)/'Data Saham'!C211</f>
        <v>-6.4935064935064939E-3</v>
      </c>
      <c r="D212">
        <f>('Data Saham'!D212-'Data Saham'!D211)/'Data Saham'!D211</f>
        <v>-2.617801047120419E-3</v>
      </c>
      <c r="E212">
        <f>('Data Saham'!E212-'Data Saham'!E211)/'Data Saham'!E211</f>
        <v>-2.004008016032064E-3</v>
      </c>
      <c r="F212">
        <f>('Data Saham'!F212-'Data Saham'!F211)/'Data Saham'!F211</f>
        <v>0</v>
      </c>
      <c r="G212">
        <f>('Data Saham'!G212-'Data Saham'!G211)/'Data Saham'!G211</f>
        <v>3.888888888888889E-2</v>
      </c>
      <c r="H212">
        <f>('Data Saham'!H212-'Data Saham'!H211)/'Data Saham'!H211</f>
        <v>2.6515151515151516E-2</v>
      </c>
      <c r="I212">
        <f>('Data Saham'!I212-'Data Saham'!I211)/'Data Saham'!I211</f>
        <v>2.7777777777777776E-2</v>
      </c>
      <c r="J212">
        <f>('Data Saham'!J212-'Data Saham'!J211)/'Data Saham'!J211</f>
        <v>7.462686567164179E-3</v>
      </c>
      <c r="K212">
        <f>('Data Saham'!K212-'Data Saham'!K211)/'Data Saham'!K211</f>
        <v>3.9823008849557522E-2</v>
      </c>
      <c r="L212">
        <f>('Data Saham'!L212-'Data Saham'!L211)/'Data Saham'!L211</f>
        <v>1.905829596412556E-2</v>
      </c>
      <c r="M212">
        <f>('Data Saham'!M212-'Data Saham'!M211)/'Data Saham'!M211</f>
        <v>-1.1709601873536301E-2</v>
      </c>
      <c r="N212">
        <f>('Data Saham'!N212-'Data Saham'!N211)/'Data Saham'!N211</f>
        <v>-2.1148036253776436E-2</v>
      </c>
      <c r="O212">
        <f>('Data Saham'!O212-'Data Saham'!O211)/'Data Saham'!O211</f>
        <v>3.3492822966507178E-2</v>
      </c>
      <c r="P212">
        <f>('Data Saham'!P212-'Data Saham'!P211)/'Data Saham'!P211</f>
        <v>7.8260869565217397E-2</v>
      </c>
      <c r="Q212">
        <f>('Data Saham'!Q212-'Data Saham'!Q211)/'Data Saham'!Q211</f>
        <v>3.8554216867469883E-2</v>
      </c>
      <c r="R212">
        <f>('Data Saham'!R212-'Data Saham'!R211)/'Data Saham'!R211</f>
        <v>2.0833333333333332E-2</v>
      </c>
      <c r="S212">
        <f>('Data Saham'!S212-'Data Saham'!S211)/'Data Saham'!S211</f>
        <v>1.1235955056179775E-2</v>
      </c>
      <c r="T212">
        <f>('Data Saham'!T212-'Data Saham'!T211)/'Data Saham'!T211</f>
        <v>-1.7064846416382253E-2</v>
      </c>
      <c r="U212">
        <f>('Data Saham'!U212-'Data Saham'!U211)/'Data Saham'!U211</f>
        <v>1.532567049808429E-2</v>
      </c>
      <c r="V212">
        <f>('Data Saham'!V212-'Data Saham'!V211)/'Data Saham'!V211</f>
        <v>9.1911764705882356E-3</v>
      </c>
      <c r="W212">
        <f>('Data Saham'!W212-'Data Saham'!W211)/'Data Saham'!W211</f>
        <v>-3.8461538461538464E-2</v>
      </c>
      <c r="X212">
        <f>('Data Saham'!X212-'Data Saham'!X211)/'Data Saham'!X211</f>
        <v>1.9305019305019305E-2</v>
      </c>
      <c r="Y212">
        <f>('Data Saham'!Y212-'Data Saham'!Y211)/'Data Saham'!Y211</f>
        <v>5.1546391752577319E-3</v>
      </c>
      <c r="Z212">
        <f>('Data Saham'!Z212-'Data Saham'!Z211)/'Data Saham'!Z211</f>
        <v>9.7087378640776691E-3</v>
      </c>
      <c r="AA212">
        <f>('Data Saham'!AA212-'Data Saham'!AA211)/'Data Saham'!AA211</f>
        <v>4.5454545454545456E-2</v>
      </c>
      <c r="AB212">
        <f>('Data Saham'!AB212-'Data Saham'!AB211)/'Data Saham'!AB211</f>
        <v>-3.125E-2</v>
      </c>
      <c r="AC212">
        <f>('Data Saham'!AC212-'Data Saham'!AC211)/'Data Saham'!AC211</f>
        <v>1.9108280254777069E-2</v>
      </c>
      <c r="AD212">
        <f>('Data Saham'!AD212-'Data Saham'!AD211)/'Data Saham'!AD211</f>
        <v>2.030456852791878E-2</v>
      </c>
      <c r="AE212">
        <f>('Data Saham'!AE212-'Data Saham'!AE211)/'Data Saham'!AE211</f>
        <v>1.0810810810810811E-2</v>
      </c>
      <c r="AF212">
        <f>('Data Saham'!AF212-'Data Saham'!AF211)/'Data Saham'!AF211</f>
        <v>1.7142857142857144E-2</v>
      </c>
    </row>
    <row r="213" spans="1:32" x14ac:dyDescent="0.3">
      <c r="A213" s="4" t="s">
        <v>128</v>
      </c>
      <c r="B213">
        <f>('Data Saham'!B213-'Data Saham'!B212)/'Data Saham'!B212</f>
        <v>-4.5784225849571595E-3</v>
      </c>
      <c r="C213">
        <f>('Data Saham'!C213-'Data Saham'!C212)/'Data Saham'!C212</f>
        <v>0</v>
      </c>
      <c r="D213">
        <f>('Data Saham'!D213-'Data Saham'!D212)/'Data Saham'!D212</f>
        <v>1.0498687664041995E-2</v>
      </c>
      <c r="E213">
        <f>('Data Saham'!E213-'Data Saham'!E212)/'Data Saham'!E212</f>
        <v>2.008032128514056E-3</v>
      </c>
      <c r="F213">
        <f>('Data Saham'!F213-'Data Saham'!F212)/'Data Saham'!F212</f>
        <v>2.1786492374727671E-3</v>
      </c>
      <c r="G213">
        <f>('Data Saham'!G213-'Data Saham'!G212)/'Data Saham'!G212</f>
        <v>8.0213903743315516E-3</v>
      </c>
      <c r="H213">
        <f>('Data Saham'!H213-'Data Saham'!H212)/'Data Saham'!H212</f>
        <v>7.3800738007380072E-3</v>
      </c>
      <c r="I213">
        <f>('Data Saham'!I213-'Data Saham'!I212)/'Data Saham'!I212</f>
        <v>-6.006006006006006E-3</v>
      </c>
      <c r="J213">
        <f>('Data Saham'!J213-'Data Saham'!J212)/'Data Saham'!J212</f>
        <v>1.1111111111111112E-2</v>
      </c>
      <c r="K213">
        <f>('Data Saham'!K213-'Data Saham'!K212)/'Data Saham'!K212</f>
        <v>2.1276595744680851E-2</v>
      </c>
      <c r="L213">
        <f>('Data Saham'!L213-'Data Saham'!L212)/'Data Saham'!L212</f>
        <v>-9.9009900990099011E-3</v>
      </c>
      <c r="M213">
        <f>('Data Saham'!M213-'Data Saham'!M212)/'Data Saham'!M212</f>
        <v>1.6587677725118485E-2</v>
      </c>
      <c r="N213">
        <f>('Data Saham'!N213-'Data Saham'!N212)/'Data Saham'!N212</f>
        <v>1.8518518518518517E-2</v>
      </c>
      <c r="O213">
        <f>('Data Saham'!O213-'Data Saham'!O212)/'Data Saham'!O212</f>
        <v>5.0925925925925923E-2</v>
      </c>
      <c r="P213">
        <f>('Data Saham'!P213-'Data Saham'!P212)/'Data Saham'!P212</f>
        <v>8.0645161290322578E-3</v>
      </c>
      <c r="Q213">
        <f>('Data Saham'!Q213-'Data Saham'!Q212)/'Data Saham'!Q212</f>
        <v>1.1600928074245939E-2</v>
      </c>
      <c r="R213">
        <f>('Data Saham'!R213-'Data Saham'!R212)/'Data Saham'!R212</f>
        <v>-4.0816326530612249E-3</v>
      </c>
      <c r="S213">
        <f>('Data Saham'!S213-'Data Saham'!S212)/'Data Saham'!S212</f>
        <v>-3.111111111111111E-2</v>
      </c>
      <c r="T213">
        <f>('Data Saham'!T213-'Data Saham'!T212)/'Data Saham'!T212</f>
        <v>6.9444444444444441E-3</v>
      </c>
      <c r="U213">
        <f>('Data Saham'!U213-'Data Saham'!U212)/'Data Saham'!U212</f>
        <v>3.0188679245283019E-2</v>
      </c>
      <c r="V213">
        <f>('Data Saham'!V213-'Data Saham'!V212)/'Data Saham'!V212</f>
        <v>-6.375227686703097E-3</v>
      </c>
      <c r="W213">
        <f>('Data Saham'!W213-'Data Saham'!W212)/'Data Saham'!W212</f>
        <v>-5.8181818181818182E-2</v>
      </c>
      <c r="X213">
        <f>('Data Saham'!X213-'Data Saham'!X212)/'Data Saham'!X212</f>
        <v>-1.1363636363636364E-2</v>
      </c>
      <c r="Y213">
        <f>('Data Saham'!Y213-'Data Saham'!Y212)/'Data Saham'!Y212</f>
        <v>-7.6923076923076927E-3</v>
      </c>
      <c r="Z213">
        <f>('Data Saham'!Z213-'Data Saham'!Z212)/'Data Saham'!Z212</f>
        <v>-4.807692307692308E-3</v>
      </c>
      <c r="AA213">
        <f>('Data Saham'!AA213-'Data Saham'!AA212)/'Data Saham'!AA212</f>
        <v>-7.9051383399209481E-3</v>
      </c>
      <c r="AB213">
        <f>('Data Saham'!AB213-'Data Saham'!AB212)/'Data Saham'!AB212</f>
        <v>-3.2258064516129031E-2</v>
      </c>
      <c r="AC213">
        <f>('Data Saham'!AC213-'Data Saham'!AC212)/'Data Saham'!AC212</f>
        <v>0</v>
      </c>
      <c r="AD213">
        <f>('Data Saham'!AD213-'Data Saham'!AD212)/'Data Saham'!AD212</f>
        <v>0</v>
      </c>
      <c r="AE213">
        <f>('Data Saham'!AE213-'Data Saham'!AE212)/'Data Saham'!AE212</f>
        <v>1.6042780748663103E-2</v>
      </c>
      <c r="AF213">
        <f>('Data Saham'!AF213-'Data Saham'!AF212)/'Data Saham'!AF212</f>
        <v>-1.1235955056179775E-2</v>
      </c>
    </row>
    <row r="214" spans="1:32" x14ac:dyDescent="0.3">
      <c r="A214" s="3" t="s">
        <v>129</v>
      </c>
      <c r="B214">
        <f>('Data Saham'!B214-'Data Saham'!B213)/'Data Saham'!B213</f>
        <v>2.7170118232467295E-3</v>
      </c>
      <c r="C214">
        <f>('Data Saham'!C214-'Data Saham'!C213)/'Data Saham'!C213</f>
        <v>0</v>
      </c>
      <c r="D214">
        <f>('Data Saham'!D214-'Data Saham'!D213)/'Data Saham'!D213</f>
        <v>0</v>
      </c>
      <c r="E214">
        <f>('Data Saham'!E214-'Data Saham'!E213)/'Data Saham'!E213</f>
        <v>-1.6032064128256512E-2</v>
      </c>
      <c r="F214">
        <f>('Data Saham'!F214-'Data Saham'!F213)/'Data Saham'!F213</f>
        <v>-1.5217391304347827E-2</v>
      </c>
      <c r="G214">
        <f>('Data Saham'!G214-'Data Saham'!G213)/'Data Saham'!G213</f>
        <v>2.1220159151193633E-2</v>
      </c>
      <c r="H214">
        <f>('Data Saham'!H214-'Data Saham'!H213)/'Data Saham'!H213</f>
        <v>7.326007326007326E-3</v>
      </c>
      <c r="I214">
        <f>('Data Saham'!I214-'Data Saham'!I213)/'Data Saham'!I213</f>
        <v>1.5105740181268883E-2</v>
      </c>
      <c r="J214">
        <f>('Data Saham'!J214-'Data Saham'!J213)/'Data Saham'!J213</f>
        <v>-3.663003663003663E-3</v>
      </c>
      <c r="K214">
        <f>('Data Saham'!K214-'Data Saham'!K213)/'Data Saham'!K213</f>
        <v>-4.1666666666666666E-3</v>
      </c>
      <c r="L214">
        <f>('Data Saham'!L214-'Data Saham'!L213)/'Data Saham'!L213</f>
        <v>6.6666666666666671E-3</v>
      </c>
      <c r="M214">
        <f>('Data Saham'!M214-'Data Saham'!M213)/'Data Saham'!M213</f>
        <v>0.10955710955710955</v>
      </c>
      <c r="N214">
        <f>('Data Saham'!N214-'Data Saham'!N213)/'Data Saham'!N213</f>
        <v>4.5454545454545456E-2</v>
      </c>
      <c r="O214">
        <f>('Data Saham'!O214-'Data Saham'!O213)/'Data Saham'!O213</f>
        <v>-4.4052863436123352E-3</v>
      </c>
      <c r="P214">
        <f>('Data Saham'!P214-'Data Saham'!P213)/'Data Saham'!P213</f>
        <v>0</v>
      </c>
      <c r="Q214">
        <f>('Data Saham'!Q214-'Data Saham'!Q213)/'Data Saham'!Q213</f>
        <v>0</v>
      </c>
      <c r="R214">
        <f>('Data Saham'!R214-'Data Saham'!R213)/'Data Saham'!R213</f>
        <v>-3.2786885245901641E-2</v>
      </c>
      <c r="S214">
        <f>('Data Saham'!S214-'Data Saham'!S213)/'Data Saham'!S213</f>
        <v>6.8807339449541288E-3</v>
      </c>
      <c r="T214">
        <f>('Data Saham'!T214-'Data Saham'!T213)/'Data Saham'!T213</f>
        <v>-2.0689655172413793E-2</v>
      </c>
      <c r="U214">
        <f>('Data Saham'!U214-'Data Saham'!U213)/'Data Saham'!U213</f>
        <v>-1.4652014652014652E-2</v>
      </c>
      <c r="V214">
        <f>('Data Saham'!V214-'Data Saham'!V213)/'Data Saham'!V213</f>
        <v>0</v>
      </c>
      <c r="W214">
        <f>('Data Saham'!W214-'Data Saham'!W213)/'Data Saham'!W213</f>
        <v>-3.8610038610038611E-3</v>
      </c>
      <c r="X214">
        <f>('Data Saham'!X214-'Data Saham'!X213)/'Data Saham'!X213</f>
        <v>3.8314176245210725E-2</v>
      </c>
      <c r="Y214">
        <f>('Data Saham'!Y214-'Data Saham'!Y213)/'Data Saham'!Y213</f>
        <v>-5.1679586563307496E-3</v>
      </c>
      <c r="Z214">
        <f>('Data Saham'!Z214-'Data Saham'!Z213)/'Data Saham'!Z213</f>
        <v>-4.830917874396135E-3</v>
      </c>
      <c r="AA214">
        <f>('Data Saham'!AA214-'Data Saham'!AA213)/'Data Saham'!AA213</f>
        <v>1.5936254980079681E-2</v>
      </c>
      <c r="AB214">
        <f>('Data Saham'!AB214-'Data Saham'!AB213)/'Data Saham'!AB213</f>
        <v>0</v>
      </c>
      <c r="AC214">
        <f>('Data Saham'!AC214-'Data Saham'!AC213)/'Data Saham'!AC213</f>
        <v>-1.8749999999999999E-2</v>
      </c>
      <c r="AD214">
        <f>('Data Saham'!AD214-'Data Saham'!AD213)/'Data Saham'!AD213</f>
        <v>-4.9751243781094526E-3</v>
      </c>
      <c r="AE214">
        <f>('Data Saham'!AE214-'Data Saham'!AE213)/'Data Saham'!AE213</f>
        <v>-1.5789473684210527E-2</v>
      </c>
      <c r="AF214">
        <f>('Data Saham'!AF214-'Data Saham'!AF213)/'Data Saham'!AF213</f>
        <v>-1.7045454545454544E-2</v>
      </c>
    </row>
    <row r="215" spans="1:32" x14ac:dyDescent="0.3">
      <c r="A215" s="4" t="s">
        <v>130</v>
      </c>
      <c r="B215">
        <f>('Data Saham'!B215-'Data Saham'!B214)/'Data Saham'!B214</f>
        <v>5.4594092919142093E-4</v>
      </c>
      <c r="C215">
        <f>('Data Saham'!C215-'Data Saham'!C214)/'Data Saham'!C214</f>
        <v>-1.9607843137254902E-2</v>
      </c>
      <c r="D215">
        <f>('Data Saham'!D215-'Data Saham'!D214)/'Data Saham'!D214</f>
        <v>-7.7922077922077922E-3</v>
      </c>
      <c r="E215">
        <f>('Data Saham'!E215-'Data Saham'!E214)/'Data Saham'!E214</f>
        <v>-2.0366598778004074E-2</v>
      </c>
      <c r="F215">
        <f>('Data Saham'!F215-'Data Saham'!F214)/'Data Saham'!F214</f>
        <v>-6.6225165562913907E-3</v>
      </c>
      <c r="G215">
        <f>('Data Saham'!G215-'Data Saham'!G214)/'Data Saham'!G214</f>
        <v>2.3376623376623377E-2</v>
      </c>
      <c r="H215">
        <f>('Data Saham'!H215-'Data Saham'!H214)/'Data Saham'!H214</f>
        <v>-8.3636363636363634E-2</v>
      </c>
      <c r="I215">
        <f>('Data Saham'!I215-'Data Saham'!I214)/'Data Saham'!I214</f>
        <v>-2.0833333333333332E-2</v>
      </c>
      <c r="J215">
        <f>('Data Saham'!J215-'Data Saham'!J214)/'Data Saham'!J214</f>
        <v>-1.4705882352941176E-2</v>
      </c>
      <c r="K215">
        <f>('Data Saham'!K215-'Data Saham'!K214)/'Data Saham'!K214</f>
        <v>-4.1841004184100417E-2</v>
      </c>
      <c r="L215">
        <f>('Data Saham'!L215-'Data Saham'!L214)/'Data Saham'!L214</f>
        <v>-1.9867549668874173E-2</v>
      </c>
      <c r="M215">
        <f>('Data Saham'!M215-'Data Saham'!M214)/'Data Saham'!M214</f>
        <v>-3.1512605042016806E-2</v>
      </c>
      <c r="N215">
        <f>('Data Saham'!N215-'Data Saham'!N214)/'Data Saham'!N214</f>
        <v>-6.9565217391304349E-2</v>
      </c>
      <c r="O215">
        <f>('Data Saham'!O215-'Data Saham'!O214)/'Data Saham'!O214</f>
        <v>-4.4247787610619468E-2</v>
      </c>
      <c r="P215">
        <f>('Data Saham'!P215-'Data Saham'!P214)/'Data Saham'!P214</f>
        <v>-0.04</v>
      </c>
      <c r="Q215">
        <f>('Data Saham'!Q215-'Data Saham'!Q214)/'Data Saham'!Q214</f>
        <v>2.9816513761467892E-2</v>
      </c>
      <c r="R215">
        <f>('Data Saham'!R215-'Data Saham'!R214)/'Data Saham'!R214</f>
        <v>-3.8135593220338986E-2</v>
      </c>
      <c r="S215">
        <f>('Data Saham'!S215-'Data Saham'!S214)/'Data Saham'!S214</f>
        <v>-6.8337129840546698E-3</v>
      </c>
      <c r="T215">
        <f>('Data Saham'!T215-'Data Saham'!T214)/'Data Saham'!T214</f>
        <v>1.4084507042253521E-2</v>
      </c>
      <c r="U215">
        <f>('Data Saham'!U215-'Data Saham'!U214)/'Data Saham'!U214</f>
        <v>-1.1152416356877323E-2</v>
      </c>
      <c r="V215">
        <f>('Data Saham'!V215-'Data Saham'!V214)/'Data Saham'!V214</f>
        <v>-5.8661778185151239E-2</v>
      </c>
      <c r="W215">
        <f>('Data Saham'!W215-'Data Saham'!W214)/'Data Saham'!W214</f>
        <v>4.6511627906976744E-2</v>
      </c>
      <c r="X215">
        <f>('Data Saham'!X215-'Data Saham'!X214)/'Data Saham'!X214</f>
        <v>-7.3800738007380072E-3</v>
      </c>
      <c r="Y215">
        <f>('Data Saham'!Y215-'Data Saham'!Y214)/'Data Saham'!Y214</f>
        <v>-2.8571428571428571E-2</v>
      </c>
      <c r="Z215">
        <f>('Data Saham'!Z215-'Data Saham'!Z214)/'Data Saham'!Z214</f>
        <v>-4.8543689320388345E-3</v>
      </c>
      <c r="AA215">
        <f>('Data Saham'!AA215-'Data Saham'!AA214)/'Data Saham'!AA214</f>
        <v>-2.7450980392156862E-2</v>
      </c>
      <c r="AB215">
        <f>('Data Saham'!AB215-'Data Saham'!AB214)/'Data Saham'!AB214</f>
        <v>8.3333333333333329E-2</v>
      </c>
      <c r="AC215">
        <f>('Data Saham'!AC215-'Data Saham'!AC214)/'Data Saham'!AC214</f>
        <v>1.2738853503184714E-2</v>
      </c>
      <c r="AD215">
        <f>('Data Saham'!AD215-'Data Saham'!AD214)/'Data Saham'!AD214</f>
        <v>0</v>
      </c>
      <c r="AE215">
        <f>('Data Saham'!AE215-'Data Saham'!AE214)/'Data Saham'!AE214</f>
        <v>-1.06951871657754E-2</v>
      </c>
      <c r="AF215">
        <f>('Data Saham'!AF215-'Data Saham'!AF214)/'Data Saham'!AF214</f>
        <v>-2.3121387283236993E-2</v>
      </c>
    </row>
    <row r="216" spans="1:32" x14ac:dyDescent="0.3">
      <c r="A216" s="3" t="s">
        <v>131</v>
      </c>
      <c r="B216">
        <f>('Data Saham'!B216-'Data Saham'!B215)/'Data Saham'!B215</f>
        <v>-7.3458029471405534E-2</v>
      </c>
      <c r="C216">
        <f>('Data Saham'!C216-'Data Saham'!C215)/'Data Saham'!C215</f>
        <v>-6.3333333333333339E-2</v>
      </c>
      <c r="D216">
        <f>('Data Saham'!D216-'Data Saham'!D215)/'Data Saham'!D215</f>
        <v>-6.0209424083769635E-2</v>
      </c>
      <c r="E216">
        <f>('Data Saham'!E216-'Data Saham'!E215)/'Data Saham'!E215</f>
        <v>-5.1975051975051978E-2</v>
      </c>
      <c r="F216">
        <f>('Data Saham'!F216-'Data Saham'!F215)/'Data Saham'!F215</f>
        <v>-1.3333333333333334E-2</v>
      </c>
      <c r="G216">
        <f>('Data Saham'!G216-'Data Saham'!G215)/'Data Saham'!G215</f>
        <v>-0.11928934010152284</v>
      </c>
      <c r="H216">
        <f>('Data Saham'!H216-'Data Saham'!H215)/'Data Saham'!H215</f>
        <v>-1.984126984126984E-2</v>
      </c>
      <c r="I216">
        <f>('Data Saham'!I216-'Data Saham'!I215)/'Data Saham'!I215</f>
        <v>-5.4711246200607903E-2</v>
      </c>
      <c r="J216">
        <f>('Data Saham'!J216-'Data Saham'!J215)/'Data Saham'!J215</f>
        <v>2.2388059701492536E-2</v>
      </c>
      <c r="K216">
        <f>('Data Saham'!K216-'Data Saham'!K215)/'Data Saham'!K215</f>
        <v>-3.4934497816593885E-2</v>
      </c>
      <c r="L216">
        <f>('Data Saham'!L216-'Data Saham'!L215)/'Data Saham'!L215</f>
        <v>-1.2387387387387387E-2</v>
      </c>
      <c r="M216">
        <f>('Data Saham'!M216-'Data Saham'!M215)/'Data Saham'!M215</f>
        <v>-4.1214750542299353E-2</v>
      </c>
      <c r="N216">
        <f>('Data Saham'!N216-'Data Saham'!N215)/'Data Saham'!N215</f>
        <v>9.3457943925233638E-3</v>
      </c>
      <c r="O216">
        <f>('Data Saham'!O216-'Data Saham'!O215)/'Data Saham'!O215</f>
        <v>-1.8518518518518517E-2</v>
      </c>
      <c r="P216">
        <f>('Data Saham'!P216-'Data Saham'!P215)/'Data Saham'!P215</f>
        <v>-7.4999999999999997E-2</v>
      </c>
      <c r="Q216">
        <f>('Data Saham'!Q216-'Data Saham'!Q215)/'Data Saham'!Q215</f>
        <v>-0.1492204899777283</v>
      </c>
      <c r="R216">
        <f>('Data Saham'!R216-'Data Saham'!R215)/'Data Saham'!R215</f>
        <v>-3.0837004405286344E-2</v>
      </c>
      <c r="S216">
        <f>('Data Saham'!S216-'Data Saham'!S215)/'Data Saham'!S215</f>
        <v>0</v>
      </c>
      <c r="T216">
        <f>('Data Saham'!T216-'Data Saham'!T215)/'Data Saham'!T215</f>
        <v>-4.5138888888888888E-2</v>
      </c>
      <c r="U216">
        <f>('Data Saham'!U216-'Data Saham'!U215)/'Data Saham'!U215</f>
        <v>-6.0150375939849621E-2</v>
      </c>
      <c r="V216">
        <f>('Data Saham'!V216-'Data Saham'!V215)/'Data Saham'!V215</f>
        <v>-2.8237585199610515E-2</v>
      </c>
      <c r="W216">
        <f>('Data Saham'!W216-'Data Saham'!W215)/'Data Saham'!W215</f>
        <v>-0.14814814814814814</v>
      </c>
      <c r="X216">
        <f>('Data Saham'!X216-'Data Saham'!X215)/'Data Saham'!X215</f>
        <v>-4.8327137546468404E-2</v>
      </c>
      <c r="Y216">
        <f>('Data Saham'!Y216-'Data Saham'!Y215)/'Data Saham'!Y215</f>
        <v>-7.2192513368983954E-2</v>
      </c>
      <c r="Z216">
        <f>('Data Saham'!Z216-'Data Saham'!Z215)/'Data Saham'!Z215</f>
        <v>-3.9024390243902439E-2</v>
      </c>
      <c r="AA216">
        <f>('Data Saham'!AA216-'Data Saham'!AA215)/'Data Saham'!AA215</f>
        <v>-5.2419354838709679E-2</v>
      </c>
      <c r="AB216">
        <f>('Data Saham'!AB216-'Data Saham'!AB215)/'Data Saham'!AB215</f>
        <v>-7.6923076923076927E-2</v>
      </c>
      <c r="AC216">
        <f>('Data Saham'!AC216-'Data Saham'!AC215)/'Data Saham'!AC215</f>
        <v>-6.9182389937106917E-2</v>
      </c>
      <c r="AD216">
        <f>('Data Saham'!AD216-'Data Saham'!AD215)/'Data Saham'!AD215</f>
        <v>-3.5000000000000003E-2</v>
      </c>
      <c r="AE216">
        <f>('Data Saham'!AE216-'Data Saham'!AE215)/'Data Saham'!AE215</f>
        <v>-3.2432432432432434E-2</v>
      </c>
      <c r="AF216">
        <f>('Data Saham'!AF216-'Data Saham'!AF215)/'Data Saham'!AF215</f>
        <v>-4.7337278106508875E-2</v>
      </c>
    </row>
    <row r="217" spans="1:32" x14ac:dyDescent="0.3">
      <c r="A217" s="4" t="s">
        <v>132</v>
      </c>
      <c r="B217">
        <f>('Data Saham'!B217-'Data Saham'!B216)/'Data Saham'!B216</f>
        <v>-1.0619477535165754E-2</v>
      </c>
      <c r="C217">
        <f>('Data Saham'!C217-'Data Saham'!C216)/'Data Saham'!C216</f>
        <v>2.491103202846975E-2</v>
      </c>
      <c r="D217">
        <f>('Data Saham'!D217-'Data Saham'!D216)/'Data Saham'!D216</f>
        <v>5.2924791086350974E-2</v>
      </c>
      <c r="E217">
        <f>('Data Saham'!E217-'Data Saham'!E216)/'Data Saham'!E216</f>
        <v>1.5350877192982455E-2</v>
      </c>
      <c r="F217">
        <f>('Data Saham'!F217-'Data Saham'!F216)/'Data Saham'!F216</f>
        <v>-4.5045045045045045E-3</v>
      </c>
      <c r="G217">
        <f>('Data Saham'!G217-'Data Saham'!G216)/'Data Saham'!G216</f>
        <v>-5.763688760806916E-3</v>
      </c>
      <c r="H217">
        <f>('Data Saham'!H217-'Data Saham'!H216)/'Data Saham'!H216</f>
        <v>4.8582995951417005E-2</v>
      </c>
      <c r="I217">
        <f>('Data Saham'!I217-'Data Saham'!I216)/'Data Saham'!I216</f>
        <v>-1.2861736334405145E-2</v>
      </c>
      <c r="J217">
        <f>('Data Saham'!J217-'Data Saham'!J216)/'Data Saham'!J216</f>
        <v>-1.0948905109489052E-2</v>
      </c>
      <c r="K217">
        <f>('Data Saham'!K217-'Data Saham'!K216)/'Data Saham'!K216</f>
        <v>4.5248868778280547E-3</v>
      </c>
      <c r="L217">
        <f>('Data Saham'!L217-'Data Saham'!L216)/'Data Saham'!L216</f>
        <v>1.2542759407069556E-2</v>
      </c>
      <c r="M217">
        <f>('Data Saham'!M217-'Data Saham'!M216)/'Data Saham'!M216</f>
        <v>-2.2624434389140271E-2</v>
      </c>
      <c r="N217">
        <f>('Data Saham'!N217-'Data Saham'!N216)/'Data Saham'!N216</f>
        <v>-2.1604938271604937E-2</v>
      </c>
      <c r="O217">
        <f>('Data Saham'!O217-'Data Saham'!O216)/'Data Saham'!O216</f>
        <v>-1.8867924528301886E-2</v>
      </c>
      <c r="P217">
        <f>('Data Saham'!P217-'Data Saham'!P216)/'Data Saham'!P216</f>
        <v>-6.3063063063063057E-2</v>
      </c>
      <c r="Q217">
        <f>('Data Saham'!Q217-'Data Saham'!Q216)/'Data Saham'!Q216</f>
        <v>-0.14921465968586387</v>
      </c>
      <c r="R217">
        <f>('Data Saham'!R217-'Data Saham'!R216)/'Data Saham'!R216</f>
        <v>-1.3636363636363636E-2</v>
      </c>
      <c r="S217">
        <f>('Data Saham'!S217-'Data Saham'!S216)/'Data Saham'!S216</f>
        <v>-1.1467889908256881E-2</v>
      </c>
      <c r="T217">
        <f>('Data Saham'!T217-'Data Saham'!T216)/'Data Saham'!T216</f>
        <v>-5.4545454545454543E-2</v>
      </c>
      <c r="U217">
        <f>('Data Saham'!U217-'Data Saham'!U216)/'Data Saham'!U216</f>
        <v>-3.2000000000000001E-2</v>
      </c>
      <c r="V217">
        <f>('Data Saham'!V217-'Data Saham'!V216)/'Data Saham'!V216</f>
        <v>-2.2044088176352707E-2</v>
      </c>
      <c r="W217">
        <f>('Data Saham'!W217-'Data Saham'!W216)/'Data Saham'!W216</f>
        <v>-4.3478260869565216E-2</v>
      </c>
      <c r="X217">
        <f>('Data Saham'!X217-'Data Saham'!X216)/'Data Saham'!X216</f>
        <v>-5.859375E-2</v>
      </c>
      <c r="Y217">
        <f>('Data Saham'!Y217-'Data Saham'!Y216)/'Data Saham'!Y216</f>
        <v>-5.4755043227665709E-2</v>
      </c>
      <c r="Z217">
        <f>('Data Saham'!Z217-'Data Saham'!Z216)/'Data Saham'!Z216</f>
        <v>0</v>
      </c>
      <c r="AA217">
        <f>('Data Saham'!AA217-'Data Saham'!AA216)/'Data Saham'!AA216</f>
        <v>-1.276595744680851E-2</v>
      </c>
      <c r="AB217">
        <f>('Data Saham'!AB217-'Data Saham'!AB216)/'Data Saham'!AB216</f>
        <v>0.05</v>
      </c>
      <c r="AC217">
        <f>('Data Saham'!AC217-'Data Saham'!AC216)/'Data Saham'!AC216</f>
        <v>-4.72972972972973E-2</v>
      </c>
      <c r="AD217">
        <f>('Data Saham'!AD217-'Data Saham'!AD216)/'Data Saham'!AD216</f>
        <v>5.1813471502590676E-3</v>
      </c>
      <c r="AE217">
        <f>('Data Saham'!AE217-'Data Saham'!AE216)/'Data Saham'!AE216</f>
        <v>-1.6759776536312849E-2</v>
      </c>
      <c r="AF217">
        <f>('Data Saham'!AF217-'Data Saham'!AF216)/'Data Saham'!AF216</f>
        <v>-1.8633540372670808E-2</v>
      </c>
    </row>
    <row r="218" spans="1:32" x14ac:dyDescent="0.3">
      <c r="A218" s="3" t="s">
        <v>133</v>
      </c>
      <c r="B218">
        <f>('Data Saham'!B218-'Data Saham'!B217)/'Data Saham'!B217</f>
        <v>1.1832802895945172E-2</v>
      </c>
      <c r="C218">
        <f>('Data Saham'!C218-'Data Saham'!C217)/'Data Saham'!C217</f>
        <v>2.7777777777777776E-2</v>
      </c>
      <c r="D218">
        <f>('Data Saham'!D218-'Data Saham'!D217)/'Data Saham'!D217</f>
        <v>7.9365079365079361E-3</v>
      </c>
      <c r="E218">
        <f>('Data Saham'!E218-'Data Saham'!E217)/'Data Saham'!E217</f>
        <v>4.1036717062634988E-2</v>
      </c>
      <c r="F218">
        <f>('Data Saham'!F218-'Data Saham'!F217)/'Data Saham'!F217</f>
        <v>1.5837104072398189E-2</v>
      </c>
      <c r="G218">
        <f>('Data Saham'!G218-'Data Saham'!G217)/'Data Saham'!G217</f>
        <v>4.3478260869565216E-2</v>
      </c>
      <c r="H218">
        <f>('Data Saham'!H218-'Data Saham'!H217)/'Data Saham'!H217</f>
        <v>-1.9305019305019305E-2</v>
      </c>
      <c r="I218">
        <f>('Data Saham'!I218-'Data Saham'!I217)/'Data Saham'!I217</f>
        <v>3.5830618892508145E-2</v>
      </c>
      <c r="J218">
        <f>('Data Saham'!J218-'Data Saham'!J217)/'Data Saham'!J217</f>
        <v>3.6900369003690036E-3</v>
      </c>
      <c r="K218">
        <f>('Data Saham'!K218-'Data Saham'!K217)/'Data Saham'!K217</f>
        <v>-4.5045045045045045E-3</v>
      </c>
      <c r="L218">
        <f>('Data Saham'!L218-'Data Saham'!L217)/'Data Saham'!L217</f>
        <v>-1.1261261261261261E-2</v>
      </c>
      <c r="M218">
        <f>('Data Saham'!M218-'Data Saham'!M217)/'Data Saham'!M217</f>
        <v>-2.5462962962962962E-2</v>
      </c>
      <c r="N218">
        <f>('Data Saham'!N218-'Data Saham'!N217)/'Data Saham'!N217</f>
        <v>1.2618296529968454E-2</v>
      </c>
      <c r="O218">
        <f>('Data Saham'!O218-'Data Saham'!O217)/'Data Saham'!O217</f>
        <v>1.9230769230769232E-2</v>
      </c>
      <c r="P218">
        <f>('Data Saham'!P218-'Data Saham'!P217)/'Data Saham'!P217</f>
        <v>9.6153846153846159E-3</v>
      </c>
      <c r="Q218">
        <f>('Data Saham'!Q218-'Data Saham'!Q217)/'Data Saham'!Q217</f>
        <v>1.5384615384615385E-2</v>
      </c>
      <c r="R218">
        <f>('Data Saham'!R218-'Data Saham'!R217)/'Data Saham'!R217</f>
        <v>5.5299539170506916E-2</v>
      </c>
      <c r="S218">
        <f>('Data Saham'!S218-'Data Saham'!S217)/'Data Saham'!S217</f>
        <v>2.7842227378190254E-2</v>
      </c>
      <c r="T218">
        <f>('Data Saham'!T218-'Data Saham'!T217)/'Data Saham'!T217</f>
        <v>6.5384615384615388E-2</v>
      </c>
      <c r="U218">
        <f>('Data Saham'!U218-'Data Saham'!U217)/'Data Saham'!U217</f>
        <v>1.2396694214876033E-2</v>
      </c>
      <c r="V218">
        <f>('Data Saham'!V218-'Data Saham'!V217)/'Data Saham'!V217</f>
        <v>6.7622950819672137E-2</v>
      </c>
      <c r="W218">
        <f>('Data Saham'!W218-'Data Saham'!W217)/'Data Saham'!W217</f>
        <v>-1.8181818181818181E-2</v>
      </c>
      <c r="X218">
        <f>('Data Saham'!X218-'Data Saham'!X217)/'Data Saham'!X217</f>
        <v>4.5643153526970952E-2</v>
      </c>
      <c r="Y218">
        <f>('Data Saham'!Y218-'Data Saham'!Y217)/'Data Saham'!Y217</f>
        <v>6.402439024390244E-2</v>
      </c>
      <c r="Z218">
        <f>('Data Saham'!Z218-'Data Saham'!Z217)/'Data Saham'!Z217</f>
        <v>1.5228426395939087E-2</v>
      </c>
      <c r="AA218">
        <f>('Data Saham'!AA218-'Data Saham'!AA217)/'Data Saham'!AA217</f>
        <v>2.1551724137931036E-2</v>
      </c>
      <c r="AB218">
        <f>('Data Saham'!AB218-'Data Saham'!AB217)/'Data Saham'!AB217</f>
        <v>1.5873015873015872E-2</v>
      </c>
      <c r="AC218">
        <f>('Data Saham'!AC218-'Data Saham'!AC217)/'Data Saham'!AC217</f>
        <v>2.8368794326241134E-2</v>
      </c>
      <c r="AD218">
        <f>('Data Saham'!AD218-'Data Saham'!AD217)/'Data Saham'!AD217</f>
        <v>2.0618556701030927E-2</v>
      </c>
      <c r="AE218">
        <f>('Data Saham'!AE218-'Data Saham'!AE217)/'Data Saham'!AE217</f>
        <v>2.2727272727272728E-2</v>
      </c>
      <c r="AF218">
        <f>('Data Saham'!AF218-'Data Saham'!AF217)/'Data Saham'!AF217</f>
        <v>5.0632911392405063E-2</v>
      </c>
    </row>
    <row r="219" spans="1:32" x14ac:dyDescent="0.3">
      <c r="A219" s="2">
        <v>46055</v>
      </c>
      <c r="B219">
        <f>('Data Saham'!B219-'Data Saham'!B218)/'Data Saham'!B218</f>
        <v>-4.8847425029503302E-2</v>
      </c>
      <c r="C219">
        <f>('Data Saham'!C219-'Data Saham'!C218)/'Data Saham'!C218</f>
        <v>2.7027027027027029E-2</v>
      </c>
      <c r="D219">
        <f>('Data Saham'!D219-'Data Saham'!D218)/'Data Saham'!D218</f>
        <v>5.2493438320209973E-3</v>
      </c>
      <c r="E219">
        <f>('Data Saham'!E219-'Data Saham'!E218)/'Data Saham'!E218</f>
        <v>-4.1493775933609959E-3</v>
      </c>
      <c r="F219">
        <f>('Data Saham'!F219-'Data Saham'!F218)/'Data Saham'!F218</f>
        <v>2.2271714922048997E-3</v>
      </c>
      <c r="G219">
        <f>('Data Saham'!G219-'Data Saham'!G218)/'Data Saham'!G218</f>
        <v>-2.7777777777777776E-2</v>
      </c>
      <c r="H219">
        <f>('Data Saham'!H219-'Data Saham'!H218)/'Data Saham'!H218</f>
        <v>-1.1811023622047244E-2</v>
      </c>
      <c r="I219">
        <f>('Data Saham'!I219-'Data Saham'!I218)/'Data Saham'!I218</f>
        <v>5.3459119496855348E-2</v>
      </c>
      <c r="J219">
        <f>('Data Saham'!J219-'Data Saham'!J218)/'Data Saham'!J218</f>
        <v>3.3088235294117647E-2</v>
      </c>
      <c r="K219">
        <f>('Data Saham'!K219-'Data Saham'!K218)/'Data Saham'!K218</f>
        <v>-3.1674208144796379E-2</v>
      </c>
      <c r="L219">
        <f>('Data Saham'!L219-'Data Saham'!L218)/'Data Saham'!L218</f>
        <v>-2.2779043280182231E-3</v>
      </c>
      <c r="M219">
        <f>('Data Saham'!M219-'Data Saham'!M218)/'Data Saham'!M218</f>
        <v>-9.5011876484560567E-2</v>
      </c>
      <c r="N219">
        <f>('Data Saham'!N219-'Data Saham'!N218)/'Data Saham'!N218</f>
        <v>-0.14953271028037382</v>
      </c>
      <c r="O219">
        <f>('Data Saham'!O219-'Data Saham'!O218)/'Data Saham'!O218</f>
        <v>2.8301886792452831E-2</v>
      </c>
      <c r="P219">
        <f>('Data Saham'!P219-'Data Saham'!P218)/'Data Saham'!P218</f>
        <v>9.5238095238095247E-3</v>
      </c>
      <c r="Q219">
        <f>('Data Saham'!Q219-'Data Saham'!Q218)/'Data Saham'!Q218</f>
        <v>-0.11818181818181818</v>
      </c>
      <c r="R219">
        <f>('Data Saham'!R219-'Data Saham'!R218)/'Data Saham'!R218</f>
        <v>-4.3668122270742356E-3</v>
      </c>
      <c r="S219">
        <f>('Data Saham'!S219-'Data Saham'!S218)/'Data Saham'!S218</f>
        <v>2.257336343115124E-3</v>
      </c>
      <c r="T219">
        <f>('Data Saham'!T219-'Data Saham'!T218)/'Data Saham'!T218</f>
        <v>-3.6101083032490974E-2</v>
      </c>
      <c r="U219">
        <f>('Data Saham'!U219-'Data Saham'!U218)/'Data Saham'!U218</f>
        <v>5.3061224489795916E-2</v>
      </c>
      <c r="V219">
        <f>('Data Saham'!V219-'Data Saham'!V218)/'Data Saham'!V218</f>
        <v>-6.1420345489443376E-2</v>
      </c>
      <c r="W219">
        <f>('Data Saham'!W219-'Data Saham'!W218)/'Data Saham'!W218</f>
        <v>-0.14814814814814814</v>
      </c>
      <c r="X219">
        <f>('Data Saham'!X219-'Data Saham'!X218)/'Data Saham'!X218</f>
        <v>-1.5873015873015872E-2</v>
      </c>
      <c r="Y219">
        <f>('Data Saham'!Y219-'Data Saham'!Y218)/'Data Saham'!Y218</f>
        <v>-1.1461318051575931E-2</v>
      </c>
      <c r="Z219">
        <f>('Data Saham'!Z219-'Data Saham'!Z218)/'Data Saham'!Z218</f>
        <v>-0.01</v>
      </c>
      <c r="AA219">
        <f>('Data Saham'!AA219-'Data Saham'!AA218)/'Data Saham'!AA218</f>
        <v>1.6877637130801686E-2</v>
      </c>
      <c r="AB219">
        <f>('Data Saham'!AB219-'Data Saham'!AB218)/'Data Saham'!AB218</f>
        <v>-4.6875E-2</v>
      </c>
      <c r="AC219">
        <f>('Data Saham'!AC219-'Data Saham'!AC218)/'Data Saham'!AC218</f>
        <v>-4.1379310344827586E-2</v>
      </c>
      <c r="AD219">
        <f>('Data Saham'!AD219-'Data Saham'!AD218)/'Data Saham'!AD218</f>
        <v>-3.0303030303030304E-2</v>
      </c>
      <c r="AE219">
        <f>('Data Saham'!AE219-'Data Saham'!AE218)/'Data Saham'!AE218</f>
        <v>0</v>
      </c>
      <c r="AF219">
        <f>('Data Saham'!AF219-'Data Saham'!AF218)/'Data Saham'!AF218</f>
        <v>-2.4096385542168676E-2</v>
      </c>
    </row>
    <row r="220" spans="1:32" x14ac:dyDescent="0.3">
      <c r="A220" s="1">
        <v>46083</v>
      </c>
      <c r="B220">
        <f>('Data Saham'!B220-'Data Saham'!B219)/'Data Saham'!B219</f>
        <v>2.5227415297504878E-2</v>
      </c>
      <c r="C220">
        <f>('Data Saham'!C220-'Data Saham'!C219)/'Data Saham'!C219</f>
        <v>6.5789473684210523E-3</v>
      </c>
      <c r="D220">
        <f>('Data Saham'!D220-'Data Saham'!D219)/'Data Saham'!D219</f>
        <v>-7.832898172323759E-3</v>
      </c>
      <c r="E220">
        <f>('Data Saham'!E220-'Data Saham'!E219)/'Data Saham'!E219</f>
        <v>6.2500000000000003E-3</v>
      </c>
      <c r="F220">
        <f>('Data Saham'!F220-'Data Saham'!F219)/'Data Saham'!F219</f>
        <v>0.02</v>
      </c>
      <c r="G220">
        <f>('Data Saham'!G220-'Data Saham'!G219)/'Data Saham'!G219</f>
        <v>-1.4285714285714285E-2</v>
      </c>
      <c r="H220">
        <f>('Data Saham'!H220-'Data Saham'!H219)/'Data Saham'!H219</f>
        <v>8.3665338645418322E-2</v>
      </c>
      <c r="I220">
        <f>('Data Saham'!I220-'Data Saham'!I219)/'Data Saham'!I219</f>
        <v>2.3880597014925373E-2</v>
      </c>
      <c r="J220">
        <f>('Data Saham'!J220-'Data Saham'!J219)/'Data Saham'!J219</f>
        <v>2.491103202846975E-2</v>
      </c>
      <c r="K220">
        <f>('Data Saham'!K220-'Data Saham'!K219)/'Data Saham'!K219</f>
        <v>4.6728971962616819E-3</v>
      </c>
      <c r="L220">
        <f>('Data Saham'!L220-'Data Saham'!L219)/'Data Saham'!L219</f>
        <v>5.7077625570776253E-3</v>
      </c>
      <c r="M220">
        <f>('Data Saham'!M220-'Data Saham'!M219)/'Data Saham'!M219</f>
        <v>3.1496062992125984E-2</v>
      </c>
      <c r="N220">
        <f>('Data Saham'!N220-'Data Saham'!N219)/'Data Saham'!N219</f>
        <v>8.0586080586080591E-2</v>
      </c>
      <c r="O220">
        <f>('Data Saham'!O220-'Data Saham'!O219)/'Data Saham'!O219</f>
        <v>-9.1743119266055051E-3</v>
      </c>
      <c r="P220">
        <f>('Data Saham'!P220-'Data Saham'!P219)/'Data Saham'!P219</f>
        <v>1.8867924528301886E-2</v>
      </c>
      <c r="Q220">
        <f>('Data Saham'!Q220-'Data Saham'!Q219)/'Data Saham'!Q219</f>
        <v>7.560137457044673E-2</v>
      </c>
      <c r="R220">
        <f>('Data Saham'!R220-'Data Saham'!R219)/'Data Saham'!R219</f>
        <v>8.771929824561403E-3</v>
      </c>
      <c r="S220">
        <f>('Data Saham'!S220-'Data Saham'!S219)/'Data Saham'!S219</f>
        <v>2.0270270270270271E-2</v>
      </c>
      <c r="T220">
        <f>('Data Saham'!T220-'Data Saham'!T219)/'Data Saham'!T219</f>
        <v>4.49438202247191E-2</v>
      </c>
      <c r="U220">
        <f>('Data Saham'!U220-'Data Saham'!U219)/'Data Saham'!U219</f>
        <v>-1.5503875968992248E-2</v>
      </c>
      <c r="V220">
        <f>('Data Saham'!V220-'Data Saham'!V219)/'Data Saham'!V219</f>
        <v>7.0552147239263799E-2</v>
      </c>
      <c r="W220">
        <f>('Data Saham'!W220-'Data Saham'!W219)/'Data Saham'!W219</f>
        <v>7.6086956521739135E-2</v>
      </c>
      <c r="X220">
        <f>('Data Saham'!X220-'Data Saham'!X219)/'Data Saham'!X219</f>
        <v>6.8548387096774188E-2</v>
      </c>
      <c r="Y220">
        <f>('Data Saham'!Y220-'Data Saham'!Y219)/'Data Saham'!Y219</f>
        <v>1.4492753623188406E-2</v>
      </c>
      <c r="Z220">
        <f>('Data Saham'!Z220-'Data Saham'!Z219)/'Data Saham'!Z219</f>
        <v>1.0101010101010102E-2</v>
      </c>
      <c r="AA220">
        <f>('Data Saham'!AA220-'Data Saham'!AA219)/'Data Saham'!AA219</f>
        <v>1.6597510373443983E-2</v>
      </c>
      <c r="AB220">
        <f>('Data Saham'!AB220-'Data Saham'!AB219)/'Data Saham'!AB219</f>
        <v>1.6393442622950821E-2</v>
      </c>
      <c r="AC220">
        <f>('Data Saham'!AC220-'Data Saham'!AC219)/'Data Saham'!AC219</f>
        <v>7.1942446043165471E-3</v>
      </c>
      <c r="AD220">
        <f>('Data Saham'!AD220-'Data Saham'!AD219)/'Data Saham'!AD219</f>
        <v>2.0833333333333332E-2</v>
      </c>
      <c r="AE220">
        <f>('Data Saham'!AE220-'Data Saham'!AE219)/'Data Saham'!AE219</f>
        <v>1.6666666666666666E-2</v>
      </c>
      <c r="AF220">
        <f>('Data Saham'!AF220-'Data Saham'!AF219)/'Data Saham'!AF219</f>
        <v>6.7901234567901231E-2</v>
      </c>
    </row>
    <row r="221" spans="1:32" x14ac:dyDescent="0.3">
      <c r="A221" s="2">
        <v>46114</v>
      </c>
      <c r="B221">
        <f>('Data Saham'!B221-'Data Saham'!B220)/'Data Saham'!B220</f>
        <v>2.9694925270233531E-3</v>
      </c>
      <c r="C221">
        <f>('Data Saham'!C221-'Data Saham'!C220)/'Data Saham'!C220</f>
        <v>1.9607843137254902E-2</v>
      </c>
      <c r="D221">
        <f>('Data Saham'!D221-'Data Saham'!D220)/'Data Saham'!D220</f>
        <v>1.8421052631578946E-2</v>
      </c>
      <c r="E221">
        <f>('Data Saham'!E221-'Data Saham'!E220)/'Data Saham'!E220</f>
        <v>3.5196687370600416E-2</v>
      </c>
      <c r="F221">
        <f>('Data Saham'!F221-'Data Saham'!F220)/'Data Saham'!F220</f>
        <v>8.7145969498910684E-3</v>
      </c>
      <c r="G221">
        <f>('Data Saham'!G221-'Data Saham'!G220)/'Data Saham'!G220</f>
        <v>-3.4782608695652174E-2</v>
      </c>
      <c r="H221">
        <f>('Data Saham'!H221-'Data Saham'!H220)/'Data Saham'!H220</f>
        <v>-1.8382352941176471E-2</v>
      </c>
      <c r="I221">
        <f>('Data Saham'!I221-'Data Saham'!I220)/'Data Saham'!I220</f>
        <v>-3.2069970845481049E-2</v>
      </c>
      <c r="J221">
        <f>('Data Saham'!J221-'Data Saham'!J220)/'Data Saham'!J220</f>
        <v>-2.0833333333333332E-2</v>
      </c>
      <c r="K221">
        <f>('Data Saham'!K221-'Data Saham'!K220)/'Data Saham'!K220</f>
        <v>1.3953488372093023E-2</v>
      </c>
      <c r="L221">
        <f>('Data Saham'!L221-'Data Saham'!L220)/'Data Saham'!L220</f>
        <v>1.1350737797956867E-3</v>
      </c>
      <c r="M221">
        <f>('Data Saham'!M221-'Data Saham'!M220)/'Data Saham'!M220</f>
        <v>1.5267175572519083E-2</v>
      </c>
      <c r="N221">
        <f>('Data Saham'!N221-'Data Saham'!N220)/'Data Saham'!N220</f>
        <v>2.7118644067796609E-2</v>
      </c>
      <c r="O221">
        <f>('Data Saham'!O221-'Data Saham'!O220)/'Data Saham'!O220</f>
        <v>1.8518518518518517E-2</v>
      </c>
      <c r="P221">
        <f>('Data Saham'!P221-'Data Saham'!P220)/'Data Saham'!P220</f>
        <v>-1.8518518518518517E-2</v>
      </c>
      <c r="Q221">
        <f>('Data Saham'!Q221-'Data Saham'!Q220)/'Data Saham'!Q220</f>
        <v>-9.5846645367412137E-3</v>
      </c>
      <c r="R221">
        <f>('Data Saham'!R221-'Data Saham'!R220)/'Data Saham'!R220</f>
        <v>-8.6956521739130436E-3</v>
      </c>
      <c r="S221">
        <f>('Data Saham'!S221-'Data Saham'!S220)/'Data Saham'!S220</f>
        <v>-1.7660044150110375E-2</v>
      </c>
      <c r="T221">
        <f>('Data Saham'!T221-'Data Saham'!T220)/'Data Saham'!T220</f>
        <v>-6.8100358422939072E-2</v>
      </c>
      <c r="U221">
        <f>('Data Saham'!U221-'Data Saham'!U220)/'Data Saham'!U220</f>
        <v>3.937007874015748E-3</v>
      </c>
      <c r="V221">
        <f>('Data Saham'!V221-'Data Saham'!V220)/'Data Saham'!V220</f>
        <v>6.3992359121298956E-2</v>
      </c>
      <c r="W221">
        <f>('Data Saham'!W221-'Data Saham'!W220)/'Data Saham'!W220</f>
        <v>7.575757575757576E-2</v>
      </c>
      <c r="X221">
        <f>('Data Saham'!X221-'Data Saham'!X220)/'Data Saham'!X220</f>
        <v>-2.2641509433962263E-2</v>
      </c>
      <c r="Y221">
        <f>('Data Saham'!Y221-'Data Saham'!Y220)/'Data Saham'!Y220</f>
        <v>-1.1428571428571429E-2</v>
      </c>
      <c r="Z221">
        <f>('Data Saham'!Z221-'Data Saham'!Z220)/'Data Saham'!Z220</f>
        <v>-5.0000000000000001E-3</v>
      </c>
      <c r="AA221">
        <f>('Data Saham'!AA221-'Data Saham'!AA220)/'Data Saham'!AA220</f>
        <v>1.6326530612244899E-2</v>
      </c>
      <c r="AB221">
        <f>('Data Saham'!AB221-'Data Saham'!AB220)/'Data Saham'!AB220</f>
        <v>0</v>
      </c>
      <c r="AC221">
        <f>('Data Saham'!AC221-'Data Saham'!AC220)/'Data Saham'!AC220</f>
        <v>7.1428571428571426E-3</v>
      </c>
      <c r="AD221">
        <f>('Data Saham'!AD221-'Data Saham'!AD220)/'Data Saham'!AD220</f>
        <v>5.1020408163265302E-3</v>
      </c>
      <c r="AE221">
        <f>('Data Saham'!AE221-'Data Saham'!AE220)/'Data Saham'!AE220</f>
        <v>-1.092896174863388E-2</v>
      </c>
      <c r="AF221">
        <f>('Data Saham'!AF221-'Data Saham'!AF220)/'Data Saham'!AF220</f>
        <v>0</v>
      </c>
    </row>
    <row r="222" spans="1:32" x14ac:dyDescent="0.3">
      <c r="A222" s="1">
        <v>46144</v>
      </c>
      <c r="B222">
        <f>('Data Saham'!B222-'Data Saham'!B221)/'Data Saham'!B221</f>
        <v>-5.2585580454465285E-3</v>
      </c>
      <c r="C222">
        <f>('Data Saham'!C222-'Data Saham'!C221)/'Data Saham'!C221</f>
        <v>0</v>
      </c>
      <c r="D222">
        <f>('Data Saham'!D222-'Data Saham'!D221)/'Data Saham'!D221</f>
        <v>-5.1679586563307496E-3</v>
      </c>
      <c r="E222">
        <f>('Data Saham'!E222-'Data Saham'!E221)/'Data Saham'!E221</f>
        <v>0.01</v>
      </c>
      <c r="F222">
        <f>('Data Saham'!F222-'Data Saham'!F221)/'Data Saham'!F221</f>
        <v>-1.2958963282937365E-2</v>
      </c>
      <c r="G222">
        <f>('Data Saham'!G222-'Data Saham'!G221)/'Data Saham'!G221</f>
        <v>-1.2012012012012012E-2</v>
      </c>
      <c r="H222">
        <f>('Data Saham'!H222-'Data Saham'!H221)/'Data Saham'!H221</f>
        <v>4.1198501872659173E-2</v>
      </c>
      <c r="I222">
        <f>('Data Saham'!I222-'Data Saham'!I221)/'Data Saham'!I221</f>
        <v>0</v>
      </c>
      <c r="J222">
        <f>('Data Saham'!J222-'Data Saham'!J221)/'Data Saham'!J221</f>
        <v>-7.0921985815602835E-3</v>
      </c>
      <c r="K222">
        <f>('Data Saham'!K222-'Data Saham'!K221)/'Data Saham'!K221</f>
        <v>-3.669724770642202E-2</v>
      </c>
      <c r="L222">
        <f>('Data Saham'!L222-'Data Saham'!L221)/'Data Saham'!L221</f>
        <v>3.4013605442176869E-3</v>
      </c>
      <c r="M222">
        <f>('Data Saham'!M222-'Data Saham'!M221)/'Data Saham'!M221</f>
        <v>-4.5112781954887216E-2</v>
      </c>
      <c r="N222">
        <f>('Data Saham'!N222-'Data Saham'!N221)/'Data Saham'!N221</f>
        <v>9.9009900990099011E-3</v>
      </c>
      <c r="O222">
        <f>('Data Saham'!O222-'Data Saham'!O221)/'Data Saham'!O221</f>
        <v>0</v>
      </c>
      <c r="P222">
        <f>('Data Saham'!P222-'Data Saham'!P221)/'Data Saham'!P221</f>
        <v>9.433962264150943E-3</v>
      </c>
      <c r="Q222">
        <f>('Data Saham'!Q222-'Data Saham'!Q221)/'Data Saham'!Q221</f>
        <v>-5.8064516129032261E-2</v>
      </c>
      <c r="R222">
        <f>('Data Saham'!R222-'Data Saham'!R221)/'Data Saham'!R221</f>
        <v>-2.1929824561403508E-2</v>
      </c>
      <c r="S222">
        <f>('Data Saham'!S222-'Data Saham'!S221)/'Data Saham'!S221</f>
        <v>1.5730337078651686E-2</v>
      </c>
      <c r="T222">
        <f>('Data Saham'!T222-'Data Saham'!T221)/'Data Saham'!T221</f>
        <v>-3.8461538461538464E-3</v>
      </c>
      <c r="U222">
        <f>('Data Saham'!U222-'Data Saham'!U221)/'Data Saham'!U221</f>
        <v>1.9607843137254902E-2</v>
      </c>
      <c r="V222">
        <f>('Data Saham'!V222-'Data Saham'!V221)/'Data Saham'!V221</f>
        <v>-1.615798922800718E-2</v>
      </c>
      <c r="W222">
        <f>('Data Saham'!W222-'Data Saham'!W221)/'Data Saham'!W221</f>
        <v>-1.4084507042253521E-2</v>
      </c>
      <c r="X222">
        <f>('Data Saham'!X222-'Data Saham'!X221)/'Data Saham'!X221</f>
        <v>-7.7220077220077222E-3</v>
      </c>
      <c r="Y222">
        <f>('Data Saham'!Y222-'Data Saham'!Y221)/'Data Saham'!Y221</f>
        <v>2.3121387283236993E-2</v>
      </c>
      <c r="Z222">
        <f>('Data Saham'!Z222-'Data Saham'!Z221)/'Data Saham'!Z221</f>
        <v>2.0100502512562814E-2</v>
      </c>
      <c r="AA222">
        <f>('Data Saham'!AA222-'Data Saham'!AA221)/'Data Saham'!AA221</f>
        <v>-8.0321285140562242E-3</v>
      </c>
      <c r="AB222">
        <f>('Data Saham'!AB222-'Data Saham'!AB221)/'Data Saham'!AB221</f>
        <v>-3.2258064516129031E-2</v>
      </c>
      <c r="AC222">
        <f>('Data Saham'!AC222-'Data Saham'!AC221)/'Data Saham'!AC221</f>
        <v>0</v>
      </c>
      <c r="AD222">
        <f>('Data Saham'!AD222-'Data Saham'!AD221)/'Data Saham'!AD221</f>
        <v>1.015228426395939E-2</v>
      </c>
      <c r="AE222">
        <f>('Data Saham'!AE222-'Data Saham'!AE221)/'Data Saham'!AE221</f>
        <v>-5.5248618784530384E-3</v>
      </c>
      <c r="AF222">
        <f>('Data Saham'!AF222-'Data Saham'!AF221)/'Data Saham'!AF221</f>
        <v>5.7803468208092483E-3</v>
      </c>
    </row>
    <row r="223" spans="1:32" x14ac:dyDescent="0.3">
      <c r="A223" s="2">
        <v>46175</v>
      </c>
      <c r="B223">
        <f>('Data Saham'!B223-'Data Saham'!B222)/'Data Saham'!B222</f>
        <v>-2.0807316988899132E-2</v>
      </c>
      <c r="C223">
        <f>('Data Saham'!C223-'Data Saham'!C222)/'Data Saham'!C222</f>
        <v>-1.6025641025641024E-2</v>
      </c>
      <c r="D223">
        <f>('Data Saham'!D223-'Data Saham'!D222)/'Data Saham'!D222</f>
        <v>-1.8181818181818181E-2</v>
      </c>
      <c r="E223">
        <f>('Data Saham'!E223-'Data Saham'!E222)/'Data Saham'!E222</f>
        <v>0</v>
      </c>
      <c r="F223">
        <f>('Data Saham'!F223-'Data Saham'!F222)/'Data Saham'!F222</f>
        <v>-8.7527352297592995E-3</v>
      </c>
      <c r="G223">
        <f>('Data Saham'!G223-'Data Saham'!G222)/'Data Saham'!G222</f>
        <v>2.7355623100303952E-2</v>
      </c>
      <c r="H223">
        <f>('Data Saham'!H223-'Data Saham'!H222)/'Data Saham'!H222</f>
        <v>-3.5971223021582732E-2</v>
      </c>
      <c r="I223">
        <f>('Data Saham'!I223-'Data Saham'!I222)/'Data Saham'!I222</f>
        <v>-2.710843373493976E-2</v>
      </c>
      <c r="J223">
        <f>('Data Saham'!J223-'Data Saham'!J222)/'Data Saham'!J222</f>
        <v>-2.1428571428571429E-2</v>
      </c>
      <c r="K223">
        <f>('Data Saham'!K223-'Data Saham'!K222)/'Data Saham'!K222</f>
        <v>-9.5238095238095247E-3</v>
      </c>
      <c r="L223">
        <f>('Data Saham'!L223-'Data Saham'!L222)/'Data Saham'!L222</f>
        <v>-7.9096045197740109E-3</v>
      </c>
      <c r="M223">
        <f>('Data Saham'!M223-'Data Saham'!M222)/'Data Saham'!M222</f>
        <v>-2.6246719160104987E-2</v>
      </c>
      <c r="N223">
        <f>('Data Saham'!N223-'Data Saham'!N222)/'Data Saham'!N222</f>
        <v>-6.8627450980392163E-2</v>
      </c>
      <c r="O223">
        <f>('Data Saham'!O223-'Data Saham'!O222)/'Data Saham'!O222</f>
        <v>1.3636363636363636E-2</v>
      </c>
      <c r="P223">
        <f>('Data Saham'!P223-'Data Saham'!P222)/'Data Saham'!P222</f>
        <v>-1.8691588785046728E-2</v>
      </c>
      <c r="Q223">
        <f>('Data Saham'!Q223-'Data Saham'!Q222)/'Data Saham'!Q222</f>
        <v>-1.0273972602739725E-2</v>
      </c>
      <c r="R223">
        <f>('Data Saham'!R223-'Data Saham'!R222)/'Data Saham'!R222</f>
        <v>4.4843049327354259E-3</v>
      </c>
      <c r="S223">
        <f>('Data Saham'!S223-'Data Saham'!S222)/'Data Saham'!S222</f>
        <v>-6.6371681415929203E-3</v>
      </c>
      <c r="T223">
        <f>('Data Saham'!T223-'Data Saham'!T222)/'Data Saham'!T222</f>
        <v>-3.4749034749034749E-2</v>
      </c>
      <c r="U223">
        <f>('Data Saham'!U223-'Data Saham'!U222)/'Data Saham'!U222</f>
        <v>1.1538461538461539E-2</v>
      </c>
      <c r="V223">
        <f>('Data Saham'!V223-'Data Saham'!V222)/'Data Saham'!V222</f>
        <v>-3.6496350364963501E-2</v>
      </c>
      <c r="W223">
        <f>('Data Saham'!W223-'Data Saham'!W222)/'Data Saham'!W222</f>
        <v>-7.3809523809523811E-2</v>
      </c>
      <c r="X223">
        <f>('Data Saham'!X223-'Data Saham'!X222)/'Data Saham'!X222</f>
        <v>-1.1673151750972763E-2</v>
      </c>
      <c r="Y223">
        <f>('Data Saham'!Y223-'Data Saham'!Y222)/'Data Saham'!Y222</f>
        <v>2.2598870056497175E-2</v>
      </c>
      <c r="Z223">
        <f>('Data Saham'!Z223-'Data Saham'!Z222)/'Data Saham'!Z222</f>
        <v>-4.9261083743842365E-3</v>
      </c>
      <c r="AA223">
        <f>('Data Saham'!AA223-'Data Saham'!AA222)/'Data Saham'!AA222</f>
        <v>-1.6194331983805668E-2</v>
      </c>
      <c r="AB223">
        <f>('Data Saham'!AB223-'Data Saham'!AB222)/'Data Saham'!AB222</f>
        <v>0</v>
      </c>
      <c r="AC223">
        <f>('Data Saham'!AC223-'Data Saham'!AC222)/'Data Saham'!AC222</f>
        <v>-2.1276595744680851E-2</v>
      </c>
      <c r="AD223">
        <f>('Data Saham'!AD223-'Data Saham'!AD222)/'Data Saham'!AD222</f>
        <v>-3.015075376884422E-2</v>
      </c>
      <c r="AE223">
        <f>('Data Saham'!AE223-'Data Saham'!AE222)/'Data Saham'!AE222</f>
        <v>-5.5555555555555558E-3</v>
      </c>
      <c r="AF223">
        <f>('Data Saham'!AF223-'Data Saham'!AF222)/'Data Saham'!AF222</f>
        <v>-2.8735632183908046E-2</v>
      </c>
    </row>
    <row r="224" spans="1:32" x14ac:dyDescent="0.3">
      <c r="A224" s="1">
        <v>46267</v>
      </c>
      <c r="B224">
        <f>('Data Saham'!B224-'Data Saham'!B223)/'Data Saham'!B223</f>
        <v>1.2174774361520565E-2</v>
      </c>
      <c r="C224">
        <f>('Data Saham'!C224-'Data Saham'!C223)/'Data Saham'!C223</f>
        <v>-2.2801302931596091E-2</v>
      </c>
      <c r="D224">
        <f>('Data Saham'!D224-'Data Saham'!D223)/'Data Saham'!D223</f>
        <v>-2.6455026455026454E-3</v>
      </c>
      <c r="E224">
        <f>('Data Saham'!E224-'Data Saham'!E223)/'Data Saham'!E223</f>
        <v>-9.9009900990099011E-3</v>
      </c>
      <c r="F224">
        <f>('Data Saham'!F224-'Data Saham'!F223)/'Data Saham'!F223</f>
        <v>-2.2075055187637969E-3</v>
      </c>
      <c r="G224">
        <f>('Data Saham'!G224-'Data Saham'!G223)/'Data Saham'!G223</f>
        <v>-8.8757396449704144E-3</v>
      </c>
      <c r="H224">
        <f>('Data Saham'!H224-'Data Saham'!H223)/'Data Saham'!H223</f>
        <v>-7.462686567164179E-3</v>
      </c>
      <c r="I224">
        <f>('Data Saham'!I224-'Data Saham'!I223)/'Data Saham'!I223</f>
        <v>0</v>
      </c>
      <c r="J224">
        <f>('Data Saham'!J224-'Data Saham'!J223)/'Data Saham'!J223</f>
        <v>-3.6496350364963502E-3</v>
      </c>
      <c r="K224">
        <f>('Data Saham'!K224-'Data Saham'!K223)/'Data Saham'!K223</f>
        <v>2.403846153846154E-2</v>
      </c>
      <c r="L224">
        <f>('Data Saham'!L224-'Data Saham'!L223)/'Data Saham'!L223</f>
        <v>3.4168564920273349E-3</v>
      </c>
      <c r="M224">
        <f>('Data Saham'!M224-'Data Saham'!M223)/'Data Saham'!M223</f>
        <v>4.8517520215633422E-2</v>
      </c>
      <c r="N224">
        <f>('Data Saham'!N224-'Data Saham'!N223)/'Data Saham'!N223</f>
        <v>6.6666666666666666E-2</v>
      </c>
      <c r="O224">
        <f>('Data Saham'!O224-'Data Saham'!O223)/'Data Saham'!O223</f>
        <v>-4.4843049327354259E-3</v>
      </c>
      <c r="P224">
        <f>('Data Saham'!P224-'Data Saham'!P223)/'Data Saham'!P223</f>
        <v>9.5238095238095247E-3</v>
      </c>
      <c r="Q224">
        <f>('Data Saham'!Q224-'Data Saham'!Q223)/'Data Saham'!Q223</f>
        <v>1.384083044982699E-2</v>
      </c>
      <c r="R224">
        <f>('Data Saham'!R224-'Data Saham'!R223)/'Data Saham'!R223</f>
        <v>-1.3392857142857142E-2</v>
      </c>
      <c r="S224">
        <f>('Data Saham'!S224-'Data Saham'!S223)/'Data Saham'!S223</f>
        <v>8.9086859688195987E-3</v>
      </c>
      <c r="T224">
        <f>('Data Saham'!T224-'Data Saham'!T223)/'Data Saham'!T223</f>
        <v>0.02</v>
      </c>
      <c r="U224">
        <f>('Data Saham'!U224-'Data Saham'!U223)/'Data Saham'!U223</f>
        <v>-2.2813688212927757E-2</v>
      </c>
      <c r="V224">
        <f>('Data Saham'!V224-'Data Saham'!V223)/'Data Saham'!V223</f>
        <v>2.2727272727272728E-2</v>
      </c>
      <c r="W224">
        <f>('Data Saham'!W224-'Data Saham'!W223)/'Data Saham'!W223</f>
        <v>2.570694087403599E-2</v>
      </c>
      <c r="X224">
        <f>('Data Saham'!X224-'Data Saham'!X223)/'Data Saham'!X223</f>
        <v>-3.937007874015748E-3</v>
      </c>
      <c r="Y224">
        <f>('Data Saham'!Y224-'Data Saham'!Y223)/'Data Saham'!Y223</f>
        <v>6.0773480662983423E-2</v>
      </c>
      <c r="Z224">
        <f>('Data Saham'!Z224-'Data Saham'!Z223)/'Data Saham'!Z223</f>
        <v>0</v>
      </c>
      <c r="AA224">
        <f>('Data Saham'!AA224-'Data Saham'!AA223)/'Data Saham'!AA223</f>
        <v>-1.2345679012345678E-2</v>
      </c>
      <c r="AB224">
        <f>('Data Saham'!AB224-'Data Saham'!AB223)/'Data Saham'!AB223</f>
        <v>0</v>
      </c>
      <c r="AC224">
        <f>('Data Saham'!AC224-'Data Saham'!AC223)/'Data Saham'!AC223</f>
        <v>0</v>
      </c>
      <c r="AD224">
        <f>('Data Saham'!AD224-'Data Saham'!AD223)/'Data Saham'!AD223</f>
        <v>5.1813471502590676E-3</v>
      </c>
      <c r="AE224">
        <f>('Data Saham'!AE224-'Data Saham'!AE223)/'Data Saham'!AE223</f>
        <v>2.23463687150838E-2</v>
      </c>
      <c r="AF224">
        <f>('Data Saham'!AF224-'Data Saham'!AF223)/'Data Saham'!AF223</f>
        <v>-1.1834319526627219E-2</v>
      </c>
    </row>
    <row r="225" spans="1:32" x14ac:dyDescent="0.3">
      <c r="A225" s="2">
        <v>46297</v>
      </c>
      <c r="B225">
        <f>('Data Saham'!B225-'Data Saham'!B224)/'Data Saham'!B224</f>
        <v>1.2434215195216045E-2</v>
      </c>
      <c r="C225">
        <f>('Data Saham'!C225-'Data Saham'!C224)/'Data Saham'!C224</f>
        <v>-3.3333333333333335E-3</v>
      </c>
      <c r="D225">
        <f>('Data Saham'!D225-'Data Saham'!D224)/'Data Saham'!D224</f>
        <v>2.6525198938992041E-3</v>
      </c>
      <c r="E225">
        <f>('Data Saham'!E225-'Data Saham'!E224)/'Data Saham'!E224</f>
        <v>0.02</v>
      </c>
      <c r="F225">
        <f>('Data Saham'!F225-'Data Saham'!F224)/'Data Saham'!F224</f>
        <v>-2.2123893805309734E-3</v>
      </c>
      <c r="G225">
        <f>('Data Saham'!G225-'Data Saham'!G224)/'Data Saham'!G224</f>
        <v>1.4925373134328358E-2</v>
      </c>
      <c r="H225">
        <f>('Data Saham'!H225-'Data Saham'!H224)/'Data Saham'!H224</f>
        <v>3.007518796992481E-2</v>
      </c>
      <c r="I225">
        <f>('Data Saham'!I225-'Data Saham'!I224)/'Data Saham'!I224</f>
        <v>6.1919504643962852E-3</v>
      </c>
      <c r="J225">
        <f>('Data Saham'!J225-'Data Saham'!J224)/'Data Saham'!J224</f>
        <v>1.098901098901099E-2</v>
      </c>
      <c r="K225">
        <f>('Data Saham'!K225-'Data Saham'!K224)/'Data Saham'!K224</f>
        <v>1.8779342723004695E-2</v>
      </c>
      <c r="L225">
        <f>('Data Saham'!L225-'Data Saham'!L224)/'Data Saham'!L224</f>
        <v>3.4052213393870601E-3</v>
      </c>
      <c r="M225">
        <f>('Data Saham'!M225-'Data Saham'!M224)/'Data Saham'!M224</f>
        <v>0</v>
      </c>
      <c r="N225">
        <f>('Data Saham'!N225-'Data Saham'!N224)/'Data Saham'!N224</f>
        <v>1.6447368421052631E-2</v>
      </c>
      <c r="O225">
        <f>('Data Saham'!O225-'Data Saham'!O224)/'Data Saham'!O224</f>
        <v>0</v>
      </c>
      <c r="P225">
        <f>('Data Saham'!P225-'Data Saham'!P224)/'Data Saham'!P224</f>
        <v>-9.433962264150943E-3</v>
      </c>
      <c r="Q225">
        <f>('Data Saham'!Q225-'Data Saham'!Q224)/'Data Saham'!Q224</f>
        <v>-1.0238907849829351E-2</v>
      </c>
      <c r="R225">
        <f>('Data Saham'!R225-'Data Saham'!R224)/'Data Saham'!R224</f>
        <v>4.5248868778280547E-3</v>
      </c>
      <c r="S225">
        <f>('Data Saham'!S225-'Data Saham'!S224)/'Data Saham'!S224</f>
        <v>-1.7660044150110375E-2</v>
      </c>
      <c r="T225">
        <f>('Data Saham'!T225-'Data Saham'!T224)/'Data Saham'!T224</f>
        <v>1.1764705882352941E-2</v>
      </c>
      <c r="U225">
        <f>('Data Saham'!U225-'Data Saham'!U224)/'Data Saham'!U224</f>
        <v>8.9494163424124515E-2</v>
      </c>
      <c r="V225">
        <f>('Data Saham'!V225-'Data Saham'!V224)/'Data Saham'!V224</f>
        <v>1.7592592592592594E-2</v>
      </c>
      <c r="W225">
        <f>('Data Saham'!W225-'Data Saham'!W224)/'Data Saham'!W224</f>
        <v>1.7543859649122806E-2</v>
      </c>
      <c r="X225">
        <f>('Data Saham'!X225-'Data Saham'!X224)/'Data Saham'!X224</f>
        <v>3.1620553359683792E-2</v>
      </c>
      <c r="Y225">
        <f>('Data Saham'!Y225-'Data Saham'!Y224)/'Data Saham'!Y224</f>
        <v>1.5625E-2</v>
      </c>
      <c r="Z225">
        <f>('Data Saham'!Z225-'Data Saham'!Z224)/'Data Saham'!Z224</f>
        <v>4.9504950495049506E-3</v>
      </c>
      <c r="AA225">
        <f>('Data Saham'!AA225-'Data Saham'!AA224)/'Data Saham'!AA224</f>
        <v>0</v>
      </c>
      <c r="AB225">
        <f>('Data Saham'!AB225-'Data Saham'!AB224)/'Data Saham'!AB224</f>
        <v>-1.6666666666666666E-2</v>
      </c>
      <c r="AC225">
        <f>('Data Saham'!AC225-'Data Saham'!AC224)/'Data Saham'!AC224</f>
        <v>8.6956521739130432E-2</v>
      </c>
      <c r="AD225">
        <f>('Data Saham'!AD225-'Data Saham'!AD224)/'Data Saham'!AD224</f>
        <v>1.0309278350515464E-2</v>
      </c>
      <c r="AE225">
        <f>('Data Saham'!AE225-'Data Saham'!AE224)/'Data Saham'!AE224</f>
        <v>-5.4644808743169399E-3</v>
      </c>
      <c r="AF225">
        <f>('Data Saham'!AF225-'Data Saham'!AF224)/'Data Saham'!AF224</f>
        <v>5.9880239520958087E-3</v>
      </c>
    </row>
    <row r="226" spans="1:32" x14ac:dyDescent="0.3">
      <c r="A226" s="1">
        <v>46328</v>
      </c>
      <c r="B226">
        <f>('Data Saham'!B226-'Data Saham'!B225)/'Data Saham'!B225</f>
        <v>1.9581295024189111E-2</v>
      </c>
      <c r="C226">
        <f>('Data Saham'!C226-'Data Saham'!C225)/'Data Saham'!C225</f>
        <v>-3.3444816053511705E-3</v>
      </c>
      <c r="D226">
        <f>('Data Saham'!D226-'Data Saham'!D225)/'Data Saham'!D225</f>
        <v>5.2910052910052907E-3</v>
      </c>
      <c r="E226">
        <f>('Data Saham'!E226-'Data Saham'!E225)/'Data Saham'!E225</f>
        <v>-1.4705882352941176E-2</v>
      </c>
      <c r="F226">
        <f>('Data Saham'!F226-'Data Saham'!F225)/'Data Saham'!F225</f>
        <v>-6.6518847006651885E-3</v>
      </c>
      <c r="G226">
        <f>('Data Saham'!G226-'Data Saham'!G225)/'Data Saham'!G225</f>
        <v>3.8235294117647062E-2</v>
      </c>
      <c r="H226">
        <f>('Data Saham'!H226-'Data Saham'!H225)/'Data Saham'!H225</f>
        <v>-1.4598540145985401E-2</v>
      </c>
      <c r="I226">
        <f>('Data Saham'!I226-'Data Saham'!I225)/'Data Saham'!I225</f>
        <v>6.1538461538461538E-3</v>
      </c>
      <c r="J226">
        <f>('Data Saham'!J226-'Data Saham'!J225)/'Data Saham'!J225</f>
        <v>-2.8985507246376812E-2</v>
      </c>
      <c r="K226">
        <f>('Data Saham'!K226-'Data Saham'!K225)/'Data Saham'!K225</f>
        <v>2.3041474654377881E-2</v>
      </c>
      <c r="L226">
        <f>('Data Saham'!L226-'Data Saham'!L225)/'Data Saham'!L225</f>
        <v>6.7873303167420816E-3</v>
      </c>
      <c r="M226">
        <f>('Data Saham'!M226-'Data Saham'!M225)/'Data Saham'!M225</f>
        <v>2.570694087403599E-2</v>
      </c>
      <c r="N226">
        <f>('Data Saham'!N226-'Data Saham'!N225)/'Data Saham'!N225</f>
        <v>2.2653721682847898E-2</v>
      </c>
      <c r="O226">
        <f>('Data Saham'!O226-'Data Saham'!O225)/'Data Saham'!O225</f>
        <v>4.5045045045045045E-3</v>
      </c>
      <c r="P226">
        <f>('Data Saham'!P226-'Data Saham'!P225)/'Data Saham'!P225</f>
        <v>0</v>
      </c>
      <c r="Q226">
        <f>('Data Saham'!Q226-'Data Saham'!Q225)/'Data Saham'!Q225</f>
        <v>3.793103448275862E-2</v>
      </c>
      <c r="R226">
        <f>('Data Saham'!R226-'Data Saham'!R225)/'Data Saham'!R225</f>
        <v>-4.5045045045045045E-3</v>
      </c>
      <c r="S226">
        <f>('Data Saham'!S226-'Data Saham'!S225)/'Data Saham'!S225</f>
        <v>6.7415730337078653E-3</v>
      </c>
      <c r="T226">
        <f>('Data Saham'!T226-'Data Saham'!T225)/'Data Saham'!T225</f>
        <v>0</v>
      </c>
      <c r="U226">
        <f>('Data Saham'!U226-'Data Saham'!U225)/'Data Saham'!U225</f>
        <v>1.0714285714285714E-2</v>
      </c>
      <c r="V226">
        <f>('Data Saham'!V226-'Data Saham'!V225)/'Data Saham'!V225</f>
        <v>3.5486806187443133E-2</v>
      </c>
      <c r="W226">
        <f>('Data Saham'!W226-'Data Saham'!W225)/'Data Saham'!W225</f>
        <v>0.12315270935960591</v>
      </c>
      <c r="X226">
        <f>('Data Saham'!X226-'Data Saham'!X225)/'Data Saham'!X225</f>
        <v>-7.6628352490421452E-3</v>
      </c>
      <c r="Y226">
        <f>('Data Saham'!Y226-'Data Saham'!Y225)/'Data Saham'!Y225</f>
        <v>-1.0256410256410256E-2</v>
      </c>
      <c r="Z226">
        <f>('Data Saham'!Z226-'Data Saham'!Z225)/'Data Saham'!Z225</f>
        <v>4.9261083743842365E-3</v>
      </c>
      <c r="AA226">
        <f>('Data Saham'!AA226-'Data Saham'!AA225)/'Data Saham'!AA225</f>
        <v>0.10833333333333334</v>
      </c>
      <c r="AB226">
        <f>('Data Saham'!AB226-'Data Saham'!AB225)/'Data Saham'!AB225</f>
        <v>1.6949152542372881E-2</v>
      </c>
      <c r="AC226">
        <f>('Data Saham'!AC226-'Data Saham'!AC225)/'Data Saham'!AC225</f>
        <v>0</v>
      </c>
      <c r="AD226">
        <f>('Data Saham'!AD226-'Data Saham'!AD225)/'Data Saham'!AD225</f>
        <v>1.020408163265306E-2</v>
      </c>
      <c r="AE226">
        <f>('Data Saham'!AE226-'Data Saham'!AE225)/'Data Saham'!AE225</f>
        <v>0</v>
      </c>
      <c r="AF226">
        <f>('Data Saham'!AF226-'Data Saham'!AF225)/'Data Saham'!AF225</f>
        <v>5.9523809523809521E-3</v>
      </c>
    </row>
    <row r="227" spans="1:32" x14ac:dyDescent="0.3">
      <c r="A227" s="2">
        <v>46358</v>
      </c>
      <c r="B227">
        <f>('Data Saham'!B227-'Data Saham'!B226)/'Data Saham'!B226</f>
        <v>-3.0901088774894837E-3</v>
      </c>
      <c r="C227">
        <f>('Data Saham'!C227-'Data Saham'!C226)/'Data Saham'!C226</f>
        <v>-1.6778523489932886E-2</v>
      </c>
      <c r="D227">
        <f>('Data Saham'!D227-'Data Saham'!D226)/'Data Saham'!D226</f>
        <v>-2.631578947368421E-3</v>
      </c>
      <c r="E227">
        <f>('Data Saham'!E227-'Data Saham'!E226)/'Data Saham'!E226</f>
        <v>9.9502487562189053E-3</v>
      </c>
      <c r="F227">
        <f>('Data Saham'!F227-'Data Saham'!F226)/'Data Saham'!F226</f>
        <v>6.6964285714285711E-3</v>
      </c>
      <c r="G227">
        <f>('Data Saham'!G227-'Data Saham'!G226)/'Data Saham'!G226</f>
        <v>8.4985835694051E-3</v>
      </c>
      <c r="H227">
        <f>('Data Saham'!H227-'Data Saham'!H226)/'Data Saham'!H226</f>
        <v>3.7037037037037038E-3</v>
      </c>
      <c r="I227">
        <f>('Data Saham'!I227-'Data Saham'!I226)/'Data Saham'!I226</f>
        <v>3.0581039755351682E-3</v>
      </c>
      <c r="J227">
        <f>('Data Saham'!J227-'Data Saham'!J226)/'Data Saham'!J226</f>
        <v>1.1194029850746268E-2</v>
      </c>
      <c r="K227">
        <f>('Data Saham'!K227-'Data Saham'!K226)/'Data Saham'!K226</f>
        <v>0</v>
      </c>
      <c r="L227">
        <f>('Data Saham'!L227-'Data Saham'!L226)/'Data Saham'!L226</f>
        <v>-1.0112359550561797E-2</v>
      </c>
      <c r="M227">
        <f>('Data Saham'!M227-'Data Saham'!M226)/'Data Saham'!M226</f>
        <v>3.2581453634085211E-2</v>
      </c>
      <c r="N227">
        <f>('Data Saham'!N227-'Data Saham'!N226)/'Data Saham'!N226</f>
        <v>9.4936708860759497E-3</v>
      </c>
      <c r="O227">
        <f>('Data Saham'!O227-'Data Saham'!O226)/'Data Saham'!O226</f>
        <v>-4.4843049327354259E-3</v>
      </c>
      <c r="P227">
        <f>('Data Saham'!P227-'Data Saham'!P226)/'Data Saham'!P226</f>
        <v>0</v>
      </c>
      <c r="Q227">
        <f>('Data Saham'!Q227-'Data Saham'!Q226)/'Data Saham'!Q226</f>
        <v>0</v>
      </c>
      <c r="R227">
        <f>('Data Saham'!R227-'Data Saham'!R226)/'Data Saham'!R226</f>
        <v>-4.5248868778280547E-3</v>
      </c>
      <c r="S227">
        <f>('Data Saham'!S227-'Data Saham'!S226)/'Data Saham'!S226</f>
        <v>-1.5625E-2</v>
      </c>
      <c r="T227">
        <f>('Data Saham'!T227-'Data Saham'!T226)/'Data Saham'!T226</f>
        <v>-1.1627906976744186E-2</v>
      </c>
      <c r="U227">
        <f>('Data Saham'!U227-'Data Saham'!U226)/'Data Saham'!U226</f>
        <v>0.13074204946996468</v>
      </c>
      <c r="V227">
        <f>('Data Saham'!V227-'Data Saham'!V226)/'Data Saham'!V226</f>
        <v>1.054481546572935E-2</v>
      </c>
      <c r="W227">
        <f>('Data Saham'!W227-'Data Saham'!W226)/'Data Saham'!W226</f>
        <v>-3.5087719298245612E-2</v>
      </c>
      <c r="X227">
        <f>('Data Saham'!X227-'Data Saham'!X226)/'Data Saham'!X226</f>
        <v>-7.7220077220077222E-3</v>
      </c>
      <c r="Y227">
        <f>('Data Saham'!Y227-'Data Saham'!Y226)/'Data Saham'!Y226</f>
        <v>-2.3316062176165803E-2</v>
      </c>
      <c r="Z227">
        <f>('Data Saham'!Z227-'Data Saham'!Z226)/'Data Saham'!Z226</f>
        <v>-1.4705882352941176E-2</v>
      </c>
      <c r="AA227">
        <f>('Data Saham'!AA227-'Data Saham'!AA226)/'Data Saham'!AA226</f>
        <v>-2.6315789473684209E-2</v>
      </c>
      <c r="AB227">
        <f>('Data Saham'!AB227-'Data Saham'!AB226)/'Data Saham'!AB226</f>
        <v>0</v>
      </c>
      <c r="AC227">
        <f>('Data Saham'!AC227-'Data Saham'!AC226)/'Data Saham'!AC226</f>
        <v>-1.3333333333333334E-2</v>
      </c>
      <c r="AD227">
        <f>('Data Saham'!AD227-'Data Saham'!AD226)/'Data Saham'!AD226</f>
        <v>0</v>
      </c>
      <c r="AE227">
        <f>('Data Saham'!AE227-'Data Saham'!AE226)/'Data Saham'!AE226</f>
        <v>2.197802197802198E-2</v>
      </c>
      <c r="AF227">
        <f>('Data Saham'!AF227-'Data Saham'!AF226)/'Data Saham'!AF226</f>
        <v>-5.9171597633136093E-3</v>
      </c>
    </row>
    <row r="228" spans="1:32" x14ac:dyDescent="0.3">
      <c r="A228" s="3" t="s">
        <v>134</v>
      </c>
      <c r="B228">
        <f>('Data Saham'!B228-'Data Saham'!B227)/'Data Saham'!B227</f>
        <v>-6.4219905993091551E-3</v>
      </c>
      <c r="C228">
        <f>('Data Saham'!C228-'Data Saham'!C227)/'Data Saham'!C227</f>
        <v>-1.7064846416382253E-2</v>
      </c>
      <c r="D228">
        <f>('Data Saham'!D228-'Data Saham'!D227)/'Data Saham'!D227</f>
        <v>-2.6385224274406332E-3</v>
      </c>
      <c r="E228">
        <f>('Data Saham'!E228-'Data Saham'!E227)/'Data Saham'!E227</f>
        <v>0</v>
      </c>
      <c r="F228">
        <f>('Data Saham'!F228-'Data Saham'!F227)/'Data Saham'!F227</f>
        <v>-6.6518847006651885E-3</v>
      </c>
      <c r="G228">
        <f>('Data Saham'!G228-'Data Saham'!G227)/'Data Saham'!G227</f>
        <v>-3.0898876404494381E-2</v>
      </c>
      <c r="H228">
        <f>('Data Saham'!H228-'Data Saham'!H227)/'Data Saham'!H227</f>
        <v>-1.8450184501845018E-2</v>
      </c>
      <c r="I228">
        <f>('Data Saham'!I228-'Data Saham'!I227)/'Data Saham'!I227</f>
        <v>0</v>
      </c>
      <c r="J228">
        <f>('Data Saham'!J228-'Data Saham'!J227)/'Data Saham'!J227</f>
        <v>-1.4760147601476014E-2</v>
      </c>
      <c r="K228">
        <f>('Data Saham'!K228-'Data Saham'!K227)/'Data Saham'!K227</f>
        <v>0</v>
      </c>
      <c r="L228">
        <f>('Data Saham'!L228-'Data Saham'!L227)/'Data Saham'!L227</f>
        <v>7.9455164585698068E-3</v>
      </c>
      <c r="M228">
        <f>('Data Saham'!M228-'Data Saham'!M227)/'Data Saham'!M227</f>
        <v>-1.6990291262135922E-2</v>
      </c>
      <c r="N228">
        <f>('Data Saham'!N228-'Data Saham'!N227)/'Data Saham'!N227</f>
        <v>9.4043887147335428E-3</v>
      </c>
      <c r="O228">
        <f>('Data Saham'!O228-'Data Saham'!O227)/'Data Saham'!O227</f>
        <v>-4.0540540540540543E-2</v>
      </c>
      <c r="P228">
        <f>('Data Saham'!P228-'Data Saham'!P227)/'Data Saham'!P227</f>
        <v>0</v>
      </c>
      <c r="Q228">
        <f>('Data Saham'!Q228-'Data Saham'!Q227)/'Data Saham'!Q227</f>
        <v>-5.3156146179401995E-2</v>
      </c>
      <c r="R228">
        <f>('Data Saham'!R228-'Data Saham'!R227)/'Data Saham'!R227</f>
        <v>-1.8181818181818181E-2</v>
      </c>
      <c r="S228">
        <f>('Data Saham'!S228-'Data Saham'!S227)/'Data Saham'!S227</f>
        <v>-2.4943310657596373E-2</v>
      </c>
      <c r="T228">
        <f>('Data Saham'!T228-'Data Saham'!T227)/'Data Saham'!T227</f>
        <v>3.9215686274509803E-3</v>
      </c>
      <c r="U228">
        <f>('Data Saham'!U228-'Data Saham'!U227)/'Data Saham'!U227</f>
        <v>-5.9374999999999997E-2</v>
      </c>
      <c r="V228">
        <f>('Data Saham'!V228-'Data Saham'!V227)/'Data Saham'!V227</f>
        <v>2.2608695652173914E-2</v>
      </c>
      <c r="W228">
        <f>('Data Saham'!W228-'Data Saham'!W227)/'Data Saham'!W227</f>
        <v>-2.2727272727272728E-2</v>
      </c>
      <c r="X228">
        <f>('Data Saham'!X228-'Data Saham'!X227)/'Data Saham'!X227</f>
        <v>-3.8910505836575876E-3</v>
      </c>
      <c r="Y228">
        <f>('Data Saham'!Y228-'Data Saham'!Y227)/'Data Saham'!Y227</f>
        <v>-2.1220159151193633E-2</v>
      </c>
      <c r="Z228">
        <f>('Data Saham'!Z228-'Data Saham'!Z227)/'Data Saham'!Z227</f>
        <v>-9.9502487562189053E-3</v>
      </c>
      <c r="AA228">
        <f>('Data Saham'!AA228-'Data Saham'!AA227)/'Data Saham'!AA227</f>
        <v>2.3166023166023165E-2</v>
      </c>
      <c r="AB228">
        <f>('Data Saham'!AB228-'Data Saham'!AB227)/'Data Saham'!AB227</f>
        <v>-1.6666666666666666E-2</v>
      </c>
      <c r="AC228">
        <f>('Data Saham'!AC228-'Data Saham'!AC227)/'Data Saham'!AC227</f>
        <v>6.7567567567567571E-3</v>
      </c>
      <c r="AD228">
        <f>('Data Saham'!AD228-'Data Saham'!AD227)/'Data Saham'!AD227</f>
        <v>5.0505050505050509E-3</v>
      </c>
      <c r="AE228">
        <f>('Data Saham'!AE228-'Data Saham'!AE227)/'Data Saham'!AE227</f>
        <v>-1.0752688172043012E-2</v>
      </c>
      <c r="AF228">
        <f>('Data Saham'!AF228-'Data Saham'!AF227)/'Data Saham'!AF227</f>
        <v>-1.1904761904761904E-2</v>
      </c>
    </row>
    <row r="229" spans="1:32" x14ac:dyDescent="0.3">
      <c r="A229" s="4" t="s">
        <v>135</v>
      </c>
      <c r="B229">
        <f>('Data Saham'!B229-'Data Saham'!B228)/'Data Saham'!B228</f>
        <v>1.1928492365691717E-2</v>
      </c>
      <c r="C229">
        <f>('Data Saham'!C229-'Data Saham'!C228)/'Data Saham'!C228</f>
        <v>1.0416666666666666E-2</v>
      </c>
      <c r="D229">
        <f>('Data Saham'!D229-'Data Saham'!D228)/'Data Saham'!D228</f>
        <v>1.3227513227513227E-2</v>
      </c>
      <c r="E229">
        <f>('Data Saham'!E229-'Data Saham'!E228)/'Data Saham'!E228</f>
        <v>3.9408866995073892E-2</v>
      </c>
      <c r="F229">
        <f>('Data Saham'!F229-'Data Saham'!F228)/'Data Saham'!F228</f>
        <v>2.232142857142857E-3</v>
      </c>
      <c r="G229">
        <f>('Data Saham'!G229-'Data Saham'!G228)/'Data Saham'!G228</f>
        <v>1.1594202898550725E-2</v>
      </c>
      <c r="H229">
        <f>('Data Saham'!H229-'Data Saham'!H228)/'Data Saham'!H228</f>
        <v>7.5187969924812026E-3</v>
      </c>
      <c r="I229">
        <f>('Data Saham'!I229-'Data Saham'!I228)/'Data Saham'!I228</f>
        <v>0</v>
      </c>
      <c r="J229">
        <f>('Data Saham'!J229-'Data Saham'!J228)/'Data Saham'!J228</f>
        <v>1.1235955056179775E-2</v>
      </c>
      <c r="K229">
        <f>('Data Saham'!K229-'Data Saham'!K228)/'Data Saham'!K228</f>
        <v>1.3513513513513514E-2</v>
      </c>
      <c r="L229">
        <f>('Data Saham'!L229-'Data Saham'!L228)/'Data Saham'!L228</f>
        <v>6.7567567567567571E-3</v>
      </c>
      <c r="M229">
        <f>('Data Saham'!M229-'Data Saham'!M228)/'Data Saham'!M228</f>
        <v>0</v>
      </c>
      <c r="N229">
        <f>('Data Saham'!N229-'Data Saham'!N228)/'Data Saham'!N228</f>
        <v>2.1739130434782608E-2</v>
      </c>
      <c r="O229">
        <f>('Data Saham'!O229-'Data Saham'!O228)/'Data Saham'!O228</f>
        <v>1.4084507042253521E-2</v>
      </c>
      <c r="P229">
        <f>('Data Saham'!P229-'Data Saham'!P228)/'Data Saham'!P228</f>
        <v>0</v>
      </c>
      <c r="Q229">
        <f>('Data Saham'!Q229-'Data Saham'!Q228)/'Data Saham'!Q228</f>
        <v>1.4035087719298246E-2</v>
      </c>
      <c r="R229">
        <f>('Data Saham'!R229-'Data Saham'!R228)/'Data Saham'!R228</f>
        <v>0</v>
      </c>
      <c r="S229">
        <f>('Data Saham'!S229-'Data Saham'!S228)/'Data Saham'!S228</f>
        <v>-6.9767441860465115E-3</v>
      </c>
      <c r="T229">
        <f>('Data Saham'!T229-'Data Saham'!T228)/'Data Saham'!T228</f>
        <v>0</v>
      </c>
      <c r="U229">
        <f>('Data Saham'!U229-'Data Saham'!U228)/'Data Saham'!U228</f>
        <v>-1.9933554817275746E-2</v>
      </c>
      <c r="V229">
        <f>('Data Saham'!V229-'Data Saham'!V228)/'Data Saham'!V228</f>
        <v>1.9557823129251702E-2</v>
      </c>
      <c r="W229">
        <f>('Data Saham'!W229-'Data Saham'!W228)/'Data Saham'!W228</f>
        <v>0</v>
      </c>
      <c r="X229">
        <f>('Data Saham'!X229-'Data Saham'!X228)/'Data Saham'!X228</f>
        <v>1.5625E-2</v>
      </c>
      <c r="Y229">
        <f>('Data Saham'!Y229-'Data Saham'!Y228)/'Data Saham'!Y228</f>
        <v>3.5230352303523033E-2</v>
      </c>
      <c r="Z229">
        <f>('Data Saham'!Z229-'Data Saham'!Z228)/'Data Saham'!Z228</f>
        <v>5.0251256281407036E-3</v>
      </c>
      <c r="AA229">
        <f>('Data Saham'!AA229-'Data Saham'!AA228)/'Data Saham'!AA228</f>
        <v>-3.7735849056603774E-3</v>
      </c>
      <c r="AB229">
        <f>('Data Saham'!AB229-'Data Saham'!AB228)/'Data Saham'!AB228</f>
        <v>1.6949152542372881E-2</v>
      </c>
      <c r="AC229">
        <f>('Data Saham'!AC229-'Data Saham'!AC228)/'Data Saham'!AC228</f>
        <v>6.7114093959731542E-3</v>
      </c>
      <c r="AD229">
        <f>('Data Saham'!AD229-'Data Saham'!AD228)/'Data Saham'!AD228</f>
        <v>0</v>
      </c>
      <c r="AE229">
        <f>('Data Saham'!AE229-'Data Saham'!AE228)/'Data Saham'!AE228</f>
        <v>-5.434782608695652E-3</v>
      </c>
      <c r="AF229">
        <f>('Data Saham'!AF229-'Data Saham'!AF228)/'Data Saham'!AF228</f>
        <v>-1.2048192771084338E-2</v>
      </c>
    </row>
    <row r="230" spans="1:32" x14ac:dyDescent="0.3">
      <c r="A230" s="3" t="s">
        <v>136</v>
      </c>
      <c r="B230">
        <f>('Data Saham'!B230-'Data Saham'!B229)/'Data Saham'!B229</f>
        <v>-4.3500601066396045E-3</v>
      </c>
      <c r="C230">
        <f>('Data Saham'!C230-'Data Saham'!C229)/'Data Saham'!C229</f>
        <v>-1.3745704467353952E-2</v>
      </c>
      <c r="D230">
        <f>('Data Saham'!D230-'Data Saham'!D229)/'Data Saham'!D229</f>
        <v>-1.5665796344647518E-2</v>
      </c>
      <c r="E230">
        <f>('Data Saham'!E230-'Data Saham'!E229)/'Data Saham'!E229</f>
        <v>-3.7914691943127965E-2</v>
      </c>
      <c r="F230">
        <f>('Data Saham'!F230-'Data Saham'!F229)/'Data Saham'!F229</f>
        <v>-8.9086859688195987E-3</v>
      </c>
      <c r="G230">
        <f>('Data Saham'!G230-'Data Saham'!G229)/'Data Saham'!G229</f>
        <v>-2.8653295128939827E-3</v>
      </c>
      <c r="H230">
        <f>('Data Saham'!H230-'Data Saham'!H229)/'Data Saham'!H229</f>
        <v>-1.4925373134328358E-2</v>
      </c>
      <c r="I230">
        <f>('Data Saham'!I230-'Data Saham'!I229)/'Data Saham'!I229</f>
        <v>-9.1463414634146336E-3</v>
      </c>
      <c r="J230">
        <f>('Data Saham'!J230-'Data Saham'!J229)/'Data Saham'!J229</f>
        <v>-3.7037037037037038E-3</v>
      </c>
      <c r="K230">
        <f>('Data Saham'!K230-'Data Saham'!K229)/'Data Saham'!K229</f>
        <v>2.2222222222222223E-2</v>
      </c>
      <c r="L230">
        <f>('Data Saham'!L230-'Data Saham'!L229)/'Data Saham'!L229</f>
        <v>1.1185682326621925E-2</v>
      </c>
      <c r="M230">
        <f>('Data Saham'!M230-'Data Saham'!M229)/'Data Saham'!M229</f>
        <v>4.4444444444444446E-2</v>
      </c>
      <c r="N230">
        <f>('Data Saham'!N230-'Data Saham'!N229)/'Data Saham'!N229</f>
        <v>7.29483282674772E-2</v>
      </c>
      <c r="O230">
        <f>('Data Saham'!O230-'Data Saham'!O229)/'Data Saham'!O229</f>
        <v>9.2592592592592587E-3</v>
      </c>
      <c r="P230">
        <f>('Data Saham'!P230-'Data Saham'!P229)/'Data Saham'!P229</f>
        <v>-1.9047619047619049E-2</v>
      </c>
      <c r="Q230">
        <f>('Data Saham'!Q230-'Data Saham'!Q229)/'Data Saham'!Q229</f>
        <v>-1.0380622837370242E-2</v>
      </c>
      <c r="R230">
        <f>('Data Saham'!R230-'Data Saham'!R229)/'Data Saham'!R229</f>
        <v>0</v>
      </c>
      <c r="S230">
        <f>('Data Saham'!S230-'Data Saham'!S229)/'Data Saham'!S229</f>
        <v>0</v>
      </c>
      <c r="T230">
        <f>('Data Saham'!T230-'Data Saham'!T229)/'Data Saham'!T229</f>
        <v>-3.125E-2</v>
      </c>
      <c r="U230">
        <f>('Data Saham'!U230-'Data Saham'!U229)/'Data Saham'!U229</f>
        <v>-3.0508474576271188E-2</v>
      </c>
      <c r="V230">
        <f>('Data Saham'!V230-'Data Saham'!V229)/'Data Saham'!V229</f>
        <v>1.0008340283569641E-2</v>
      </c>
      <c r="W230">
        <f>('Data Saham'!W230-'Data Saham'!W229)/'Data Saham'!W229</f>
        <v>-2.3255813953488372E-2</v>
      </c>
      <c r="X230">
        <f>('Data Saham'!X230-'Data Saham'!X229)/'Data Saham'!X229</f>
        <v>1.1538461538461539E-2</v>
      </c>
      <c r="Y230">
        <f>('Data Saham'!Y230-'Data Saham'!Y229)/'Data Saham'!Y229</f>
        <v>-5.235602094240838E-3</v>
      </c>
      <c r="Z230">
        <f>('Data Saham'!Z230-'Data Saham'!Z229)/'Data Saham'!Z229</f>
        <v>0</v>
      </c>
      <c r="AA230">
        <f>('Data Saham'!AA230-'Data Saham'!AA229)/'Data Saham'!AA229</f>
        <v>7.575757575757576E-3</v>
      </c>
      <c r="AB230">
        <f>('Data Saham'!AB230-'Data Saham'!AB229)/'Data Saham'!AB229</f>
        <v>1.6666666666666666E-2</v>
      </c>
      <c r="AC230">
        <f>('Data Saham'!AC230-'Data Saham'!AC229)/'Data Saham'!AC229</f>
        <v>0</v>
      </c>
      <c r="AD230">
        <f>('Data Saham'!AD230-'Data Saham'!AD229)/'Data Saham'!AD229</f>
        <v>0</v>
      </c>
      <c r="AE230">
        <f>('Data Saham'!AE230-'Data Saham'!AE229)/'Data Saham'!AE229</f>
        <v>5.4644808743169399E-3</v>
      </c>
      <c r="AF230">
        <f>('Data Saham'!AF230-'Data Saham'!AF229)/'Data Saham'!AF229</f>
        <v>-1.2195121951219513E-2</v>
      </c>
    </row>
    <row r="231" spans="1:32" x14ac:dyDescent="0.3">
      <c r="A231" s="4" t="s">
        <v>137</v>
      </c>
      <c r="B231">
        <f>('Data Saham'!B231-'Data Saham'!B230)/'Data Saham'!B230</f>
        <v>-2.7918511786198476E-4</v>
      </c>
      <c r="C231">
        <f>('Data Saham'!C231-'Data Saham'!C230)/'Data Saham'!C230</f>
        <v>6.9686411149825784E-3</v>
      </c>
      <c r="D231">
        <f>('Data Saham'!D231-'Data Saham'!D230)/'Data Saham'!D230</f>
        <v>1.8567639257294429E-2</v>
      </c>
      <c r="E231">
        <f>('Data Saham'!E231-'Data Saham'!E230)/'Data Saham'!E230</f>
        <v>9.852216748768473E-3</v>
      </c>
      <c r="F231">
        <f>('Data Saham'!F231-'Data Saham'!F230)/'Data Saham'!F230</f>
        <v>4.4943820224719105E-3</v>
      </c>
      <c r="G231">
        <f>('Data Saham'!G231-'Data Saham'!G230)/'Data Saham'!G230</f>
        <v>0</v>
      </c>
      <c r="H231">
        <f>('Data Saham'!H231-'Data Saham'!H230)/'Data Saham'!H230</f>
        <v>-7.575757575757576E-3</v>
      </c>
      <c r="I231">
        <f>('Data Saham'!I231-'Data Saham'!I230)/'Data Saham'!I230</f>
        <v>-1.2307692307692308E-2</v>
      </c>
      <c r="J231">
        <f>('Data Saham'!J231-'Data Saham'!J230)/'Data Saham'!J230</f>
        <v>-1.1152416356877323E-2</v>
      </c>
      <c r="K231">
        <f>('Data Saham'!K231-'Data Saham'!K230)/'Data Saham'!K230</f>
        <v>0</v>
      </c>
      <c r="L231">
        <f>('Data Saham'!L231-'Data Saham'!L230)/'Data Saham'!L230</f>
        <v>-5.5309734513274336E-3</v>
      </c>
      <c r="M231">
        <f>('Data Saham'!M231-'Data Saham'!M230)/'Data Saham'!M230</f>
        <v>-2.3640661938534278E-3</v>
      </c>
      <c r="N231">
        <f>('Data Saham'!N231-'Data Saham'!N230)/'Data Saham'!N230</f>
        <v>1.69971671388102E-2</v>
      </c>
      <c r="O231">
        <f>('Data Saham'!O231-'Data Saham'!O230)/'Data Saham'!O230</f>
        <v>4.5871559633027525E-3</v>
      </c>
      <c r="P231">
        <f>('Data Saham'!P231-'Data Saham'!P230)/'Data Saham'!P230</f>
        <v>0</v>
      </c>
      <c r="Q231">
        <f>('Data Saham'!Q231-'Data Saham'!Q230)/'Data Saham'!Q230</f>
        <v>9.0909090909090912E-2</v>
      </c>
      <c r="R231">
        <f>('Data Saham'!R231-'Data Saham'!R230)/'Data Saham'!R230</f>
        <v>-2.3148148148148147E-2</v>
      </c>
      <c r="S231">
        <f>('Data Saham'!S231-'Data Saham'!S230)/'Data Saham'!S230</f>
        <v>1.405152224824356E-2</v>
      </c>
      <c r="T231">
        <f>('Data Saham'!T231-'Data Saham'!T230)/'Data Saham'!T230</f>
        <v>-4.0322580645161289E-2</v>
      </c>
      <c r="U231">
        <f>('Data Saham'!U231-'Data Saham'!U230)/'Data Saham'!U230</f>
        <v>7.3426573426573424E-2</v>
      </c>
      <c r="V231">
        <f>('Data Saham'!V231-'Data Saham'!V230)/'Data Saham'!V230</f>
        <v>1.486374896779521E-2</v>
      </c>
      <c r="W231">
        <f>('Data Saham'!W231-'Data Saham'!W230)/'Data Saham'!W230</f>
        <v>-3.8095238095238099E-2</v>
      </c>
      <c r="X231">
        <f>('Data Saham'!X231-'Data Saham'!X230)/'Data Saham'!X230</f>
        <v>0</v>
      </c>
      <c r="Y231">
        <f>('Data Saham'!Y231-'Data Saham'!Y230)/'Data Saham'!Y230</f>
        <v>-4.4736842105263158E-2</v>
      </c>
      <c r="Z231">
        <f>('Data Saham'!Z231-'Data Saham'!Z230)/'Data Saham'!Z230</f>
        <v>-5.0000000000000001E-3</v>
      </c>
      <c r="AA231">
        <f>('Data Saham'!AA231-'Data Saham'!AA230)/'Data Saham'!AA230</f>
        <v>-1.1278195488721804E-2</v>
      </c>
      <c r="AB231">
        <f>('Data Saham'!AB231-'Data Saham'!AB230)/'Data Saham'!AB230</f>
        <v>0</v>
      </c>
      <c r="AC231">
        <f>('Data Saham'!AC231-'Data Saham'!AC230)/'Data Saham'!AC230</f>
        <v>-1.3333333333333334E-2</v>
      </c>
      <c r="AD231">
        <f>('Data Saham'!AD231-'Data Saham'!AD230)/'Data Saham'!AD230</f>
        <v>-2.0100502512562814E-2</v>
      </c>
      <c r="AE231">
        <f>('Data Saham'!AE231-'Data Saham'!AE230)/'Data Saham'!AE230</f>
        <v>1.6304347826086956E-2</v>
      </c>
      <c r="AF231">
        <f>('Data Saham'!AF231-'Data Saham'!AF230)/'Data Saham'!AF230</f>
        <v>0</v>
      </c>
    </row>
    <row r="232" spans="1:32" x14ac:dyDescent="0.3">
      <c r="A232" s="3" t="s">
        <v>138</v>
      </c>
      <c r="B232">
        <f>('Data Saham'!B232-'Data Saham'!B231)/'Data Saham'!B231</f>
        <v>1.5028222496515194E-2</v>
      </c>
      <c r="C232">
        <f>('Data Saham'!C232-'Data Saham'!C231)/'Data Saham'!C231</f>
        <v>1.0380622837370242E-2</v>
      </c>
      <c r="D232">
        <f>('Data Saham'!D232-'Data Saham'!D231)/'Data Saham'!D231</f>
        <v>1.5625E-2</v>
      </c>
      <c r="E232">
        <f>('Data Saham'!E232-'Data Saham'!E231)/'Data Saham'!E231</f>
        <v>2.9268292682926831E-2</v>
      </c>
      <c r="F232">
        <f>('Data Saham'!F232-'Data Saham'!F231)/'Data Saham'!F231</f>
        <v>6.7114093959731542E-3</v>
      </c>
      <c r="G232">
        <f>('Data Saham'!G232-'Data Saham'!G231)/'Data Saham'!G231</f>
        <v>2.0114942528735632E-2</v>
      </c>
      <c r="H232">
        <f>('Data Saham'!H232-'Data Saham'!H231)/'Data Saham'!H231</f>
        <v>1.1450381679389313E-2</v>
      </c>
      <c r="I232">
        <f>('Data Saham'!I232-'Data Saham'!I231)/'Data Saham'!I231</f>
        <v>1.5576323987538941E-2</v>
      </c>
      <c r="J232">
        <f>('Data Saham'!J232-'Data Saham'!J231)/'Data Saham'!J231</f>
        <v>0</v>
      </c>
      <c r="K232">
        <f>('Data Saham'!K232-'Data Saham'!K231)/'Data Saham'!K231</f>
        <v>8.6956521739130436E-3</v>
      </c>
      <c r="L232">
        <f>('Data Saham'!L232-'Data Saham'!L231)/'Data Saham'!L231</f>
        <v>6.6740823136818691E-3</v>
      </c>
      <c r="M232">
        <f>('Data Saham'!M232-'Data Saham'!M231)/'Data Saham'!M231</f>
        <v>4.0284360189573459E-2</v>
      </c>
      <c r="N232">
        <f>('Data Saham'!N232-'Data Saham'!N231)/'Data Saham'!N231</f>
        <v>4.1782729805013928E-2</v>
      </c>
      <c r="O232">
        <f>('Data Saham'!O232-'Data Saham'!O231)/'Data Saham'!O231</f>
        <v>3.6529680365296802E-2</v>
      </c>
      <c r="P232">
        <f>('Data Saham'!P232-'Data Saham'!P231)/'Data Saham'!P231</f>
        <v>9.7087378640776691E-3</v>
      </c>
      <c r="Q232">
        <f>('Data Saham'!Q232-'Data Saham'!Q231)/'Data Saham'!Q231</f>
        <v>5.128205128205128E-2</v>
      </c>
      <c r="R232">
        <f>('Data Saham'!R232-'Data Saham'!R231)/'Data Saham'!R231</f>
        <v>2.3696682464454975E-2</v>
      </c>
      <c r="S232">
        <f>('Data Saham'!S232-'Data Saham'!S231)/'Data Saham'!S231</f>
        <v>2.3094688221709007E-2</v>
      </c>
      <c r="T232">
        <f>('Data Saham'!T232-'Data Saham'!T231)/'Data Saham'!T231</f>
        <v>1.680672268907563E-2</v>
      </c>
      <c r="U232">
        <f>('Data Saham'!U232-'Data Saham'!U231)/'Data Saham'!U231</f>
        <v>4.2345276872964167E-2</v>
      </c>
      <c r="V232">
        <f>('Data Saham'!V232-'Data Saham'!V231)/'Data Saham'!V231</f>
        <v>0</v>
      </c>
      <c r="W232">
        <f>('Data Saham'!W232-'Data Saham'!W231)/'Data Saham'!W231</f>
        <v>5.9405940594059403E-2</v>
      </c>
      <c r="X232">
        <f>('Data Saham'!X232-'Data Saham'!X231)/'Data Saham'!X231</f>
        <v>7.6045627376425855E-3</v>
      </c>
      <c r="Y232">
        <f>('Data Saham'!Y232-'Data Saham'!Y231)/'Data Saham'!Y231</f>
        <v>-8.2644628099173556E-3</v>
      </c>
      <c r="Z232">
        <f>('Data Saham'!Z232-'Data Saham'!Z231)/'Data Saham'!Z231</f>
        <v>5.0251256281407036E-3</v>
      </c>
      <c r="AA232">
        <f>('Data Saham'!AA232-'Data Saham'!AA231)/'Data Saham'!AA231</f>
        <v>3.4220532319391636E-2</v>
      </c>
      <c r="AB232">
        <f>('Data Saham'!AB232-'Data Saham'!AB231)/'Data Saham'!AB231</f>
        <v>1.6393442622950821E-2</v>
      </c>
      <c r="AC232">
        <f>('Data Saham'!AC232-'Data Saham'!AC231)/'Data Saham'!AC231</f>
        <v>1.3513513513513514E-2</v>
      </c>
      <c r="AD232">
        <f>('Data Saham'!AD232-'Data Saham'!AD231)/'Data Saham'!AD231</f>
        <v>0</v>
      </c>
      <c r="AE232">
        <f>('Data Saham'!AE232-'Data Saham'!AE231)/'Data Saham'!AE231</f>
        <v>0</v>
      </c>
      <c r="AF232">
        <f>('Data Saham'!AF232-'Data Saham'!AF231)/'Data Saham'!AF231</f>
        <v>1.2345679012345678E-2</v>
      </c>
    </row>
    <row r="233" spans="1:32" x14ac:dyDescent="0.3">
      <c r="A233" s="4" t="s">
        <v>139</v>
      </c>
      <c r="B233">
        <f>('Data Saham'!B233-'Data Saham'!B232)/'Data Saham'!B232</f>
        <v>-1.372664386237387E-2</v>
      </c>
      <c r="C233">
        <f>('Data Saham'!C233-'Data Saham'!C232)/'Data Saham'!C232</f>
        <v>-1.0273972602739725E-2</v>
      </c>
      <c r="D233">
        <f>('Data Saham'!D233-'Data Saham'!D232)/'Data Saham'!D232</f>
        <v>-7.6923076923076927E-3</v>
      </c>
      <c r="E233">
        <f>('Data Saham'!E233-'Data Saham'!E232)/'Data Saham'!E232</f>
        <v>1.8957345971563982E-2</v>
      </c>
      <c r="F233">
        <f>('Data Saham'!F233-'Data Saham'!F232)/'Data Saham'!F232</f>
        <v>-1.1111111111111112E-2</v>
      </c>
      <c r="G233">
        <f>('Data Saham'!G233-'Data Saham'!G232)/'Data Saham'!G232</f>
        <v>8.4507042253521118E-3</v>
      </c>
      <c r="H233">
        <f>('Data Saham'!H233-'Data Saham'!H232)/'Data Saham'!H232</f>
        <v>-1.1320754716981131E-2</v>
      </c>
      <c r="I233">
        <f>('Data Saham'!I233-'Data Saham'!I232)/'Data Saham'!I232</f>
        <v>-2.4539877300613498E-2</v>
      </c>
      <c r="J233">
        <f>('Data Saham'!J233-'Data Saham'!J232)/'Data Saham'!J232</f>
        <v>-7.5187969924812026E-3</v>
      </c>
      <c r="K233">
        <f>('Data Saham'!K233-'Data Saham'!K232)/'Data Saham'!K232</f>
        <v>-1.2931034482758621E-2</v>
      </c>
      <c r="L233">
        <f>('Data Saham'!L233-'Data Saham'!L232)/'Data Saham'!L232</f>
        <v>1.1049723756906078E-3</v>
      </c>
      <c r="M233">
        <f>('Data Saham'!M233-'Data Saham'!M232)/'Data Saham'!M232</f>
        <v>-2.2779043280182231E-3</v>
      </c>
      <c r="N233">
        <f>('Data Saham'!N233-'Data Saham'!N232)/'Data Saham'!N232</f>
        <v>1.3368983957219251E-2</v>
      </c>
      <c r="O233">
        <f>('Data Saham'!O233-'Data Saham'!O232)/'Data Saham'!O232</f>
        <v>-8.8105726872246704E-3</v>
      </c>
      <c r="P233">
        <f>('Data Saham'!P233-'Data Saham'!P232)/'Data Saham'!P232</f>
        <v>-1.9230769230769232E-2</v>
      </c>
      <c r="Q233">
        <f>('Data Saham'!Q233-'Data Saham'!Q232)/'Data Saham'!Q232</f>
        <v>-3.3536585365853661E-2</v>
      </c>
      <c r="R233">
        <f>('Data Saham'!R233-'Data Saham'!R232)/'Data Saham'!R232</f>
        <v>-1.8518518518518517E-2</v>
      </c>
      <c r="S233">
        <f>('Data Saham'!S233-'Data Saham'!S232)/'Data Saham'!S232</f>
        <v>-1.580135440180587E-2</v>
      </c>
      <c r="T233">
        <f>('Data Saham'!T233-'Data Saham'!T232)/'Data Saham'!T232</f>
        <v>0</v>
      </c>
      <c r="U233">
        <f>('Data Saham'!U233-'Data Saham'!U232)/'Data Saham'!U232</f>
        <v>-2.8125000000000001E-2</v>
      </c>
      <c r="V233">
        <f>('Data Saham'!V233-'Data Saham'!V232)/'Data Saham'!V232</f>
        <v>2.4410089503661514E-3</v>
      </c>
      <c r="W233">
        <f>('Data Saham'!W233-'Data Saham'!W232)/'Data Saham'!W232</f>
        <v>-5.1401869158878503E-2</v>
      </c>
      <c r="X233">
        <f>('Data Saham'!X233-'Data Saham'!X232)/'Data Saham'!X232</f>
        <v>-1.8867924528301886E-2</v>
      </c>
      <c r="Y233">
        <f>('Data Saham'!Y233-'Data Saham'!Y232)/'Data Saham'!Y232</f>
        <v>-8.3333333333333332E-3</v>
      </c>
      <c r="Z233">
        <f>('Data Saham'!Z233-'Data Saham'!Z232)/'Data Saham'!Z232</f>
        <v>-5.0000000000000001E-3</v>
      </c>
      <c r="AA233">
        <f>('Data Saham'!AA233-'Data Saham'!AA232)/'Data Saham'!AA232</f>
        <v>-4.4117647058823532E-2</v>
      </c>
      <c r="AB233">
        <f>('Data Saham'!AB233-'Data Saham'!AB232)/'Data Saham'!AB232</f>
        <v>-1.6129032258064516E-2</v>
      </c>
      <c r="AC233">
        <f>('Data Saham'!AC233-'Data Saham'!AC232)/'Data Saham'!AC232</f>
        <v>-1.3333333333333334E-2</v>
      </c>
      <c r="AD233">
        <f>('Data Saham'!AD233-'Data Saham'!AD232)/'Data Saham'!AD232</f>
        <v>-1.5384615384615385E-2</v>
      </c>
      <c r="AE233">
        <f>('Data Saham'!AE233-'Data Saham'!AE232)/'Data Saham'!AE232</f>
        <v>-2.1390374331550801E-2</v>
      </c>
      <c r="AF233">
        <f>('Data Saham'!AF233-'Data Saham'!AF232)/'Data Saham'!AF232</f>
        <v>-3.048780487804878E-2</v>
      </c>
    </row>
    <row r="234" spans="1:32" x14ac:dyDescent="0.3">
      <c r="A234" s="3" t="s">
        <v>140</v>
      </c>
      <c r="B234">
        <f>('Data Saham'!B234-'Data Saham'!B233)/'Data Saham'!B233</f>
        <v>4.9994988425072894E-3</v>
      </c>
      <c r="C234">
        <f>('Data Saham'!C234-'Data Saham'!C233)/'Data Saham'!C233</f>
        <v>1.384083044982699E-2</v>
      </c>
      <c r="D234">
        <f>('Data Saham'!D234-'Data Saham'!D233)/'Data Saham'!D233</f>
        <v>2.5839793281653745E-2</v>
      </c>
      <c r="E234">
        <f>('Data Saham'!E234-'Data Saham'!E233)/'Data Saham'!E233</f>
        <v>-1.3953488372093023E-2</v>
      </c>
      <c r="F234">
        <f>('Data Saham'!F234-'Data Saham'!F233)/'Data Saham'!F233</f>
        <v>1.1235955056179775E-2</v>
      </c>
      <c r="G234">
        <f>('Data Saham'!G234-'Data Saham'!G233)/'Data Saham'!G233</f>
        <v>5.5865921787709499E-3</v>
      </c>
      <c r="H234">
        <f>('Data Saham'!H234-'Data Saham'!H233)/'Data Saham'!H233</f>
        <v>1.5267175572519083E-2</v>
      </c>
      <c r="I234">
        <f>('Data Saham'!I234-'Data Saham'!I233)/'Data Saham'!I233</f>
        <v>9.433962264150943E-3</v>
      </c>
      <c r="J234">
        <f>('Data Saham'!J234-'Data Saham'!J233)/'Data Saham'!J233</f>
        <v>-3.787878787878788E-3</v>
      </c>
      <c r="K234">
        <f>('Data Saham'!K234-'Data Saham'!K233)/'Data Saham'!K233</f>
        <v>3.4934497816593885E-2</v>
      </c>
      <c r="L234">
        <f>('Data Saham'!L234-'Data Saham'!L233)/'Data Saham'!L233</f>
        <v>-3.3112582781456954E-3</v>
      </c>
      <c r="M234">
        <f>('Data Saham'!M234-'Data Saham'!M233)/'Data Saham'!M233</f>
        <v>1.8264840182648401E-2</v>
      </c>
      <c r="N234">
        <f>('Data Saham'!N234-'Data Saham'!N233)/'Data Saham'!N233</f>
        <v>7.9155672823219003E-3</v>
      </c>
      <c r="O234">
        <f>('Data Saham'!O234-'Data Saham'!O233)/'Data Saham'!O233</f>
        <v>1.7777777777777778E-2</v>
      </c>
      <c r="P234">
        <f>('Data Saham'!P234-'Data Saham'!P233)/'Data Saham'!P233</f>
        <v>9.8039215686274508E-3</v>
      </c>
      <c r="Q234">
        <f>('Data Saham'!Q234-'Data Saham'!Q233)/'Data Saham'!Q233</f>
        <v>5.993690851735016E-2</v>
      </c>
      <c r="R234">
        <f>('Data Saham'!R234-'Data Saham'!R233)/'Data Saham'!R233</f>
        <v>5.1886792452830191E-2</v>
      </c>
      <c r="S234">
        <f>('Data Saham'!S234-'Data Saham'!S233)/'Data Saham'!S233</f>
        <v>-4.5871559633027525E-3</v>
      </c>
      <c r="T234">
        <f>('Data Saham'!T234-'Data Saham'!T233)/'Data Saham'!T233</f>
        <v>-4.1322314049586778E-3</v>
      </c>
      <c r="U234">
        <f>('Data Saham'!U234-'Data Saham'!U233)/'Data Saham'!U233</f>
        <v>-2.5723472668810289E-2</v>
      </c>
      <c r="V234">
        <f>('Data Saham'!V234-'Data Saham'!V233)/'Data Saham'!V233</f>
        <v>2.2727272727272728E-2</v>
      </c>
      <c r="W234">
        <f>('Data Saham'!W234-'Data Saham'!W233)/'Data Saham'!W233</f>
        <v>-4.9261083743842365E-3</v>
      </c>
      <c r="X234">
        <f>('Data Saham'!X234-'Data Saham'!X233)/'Data Saham'!X233</f>
        <v>3.8461538461538464E-3</v>
      </c>
      <c r="Y234">
        <f>('Data Saham'!Y234-'Data Saham'!Y233)/'Data Saham'!Y233</f>
        <v>-2.8011204481792718E-2</v>
      </c>
      <c r="Z234">
        <f>('Data Saham'!Z234-'Data Saham'!Z233)/'Data Saham'!Z233</f>
        <v>0</v>
      </c>
      <c r="AA234">
        <f>('Data Saham'!AA234-'Data Saham'!AA233)/'Data Saham'!AA233</f>
        <v>1.5384615384615385E-2</v>
      </c>
      <c r="AB234">
        <f>('Data Saham'!AB234-'Data Saham'!AB233)/'Data Saham'!AB233</f>
        <v>-1.6393442622950821E-2</v>
      </c>
      <c r="AC234">
        <f>('Data Saham'!AC234-'Data Saham'!AC233)/'Data Saham'!AC233</f>
        <v>1.3513513513513514E-2</v>
      </c>
      <c r="AD234">
        <f>('Data Saham'!AD234-'Data Saham'!AD233)/'Data Saham'!AD233</f>
        <v>1.0416666666666666E-2</v>
      </c>
      <c r="AE234">
        <f>('Data Saham'!AE234-'Data Saham'!AE233)/'Data Saham'!AE233</f>
        <v>1.092896174863388E-2</v>
      </c>
      <c r="AF234">
        <f>('Data Saham'!AF234-'Data Saham'!AF233)/'Data Saham'!AF233</f>
        <v>0</v>
      </c>
    </row>
    <row r="235" spans="1:32" x14ac:dyDescent="0.3">
      <c r="A235" s="4" t="s">
        <v>141</v>
      </c>
      <c r="B235">
        <f>('Data Saham'!B235-'Data Saham'!B234)/'Data Saham'!B234</f>
        <v>-1.0450324011713129E-2</v>
      </c>
      <c r="C235">
        <f>('Data Saham'!C235-'Data Saham'!C234)/'Data Saham'!C234</f>
        <v>-3.4129692832764505E-3</v>
      </c>
      <c r="D235">
        <f>('Data Saham'!D235-'Data Saham'!D234)/'Data Saham'!D234</f>
        <v>-5.0377833753148613E-3</v>
      </c>
      <c r="E235">
        <f>('Data Saham'!E235-'Data Saham'!E234)/'Data Saham'!E234</f>
        <v>4.7169811320754715E-3</v>
      </c>
      <c r="F235">
        <f>('Data Saham'!F235-'Data Saham'!F234)/'Data Saham'!F234</f>
        <v>-8.8888888888888889E-3</v>
      </c>
      <c r="G235">
        <f>('Data Saham'!G235-'Data Saham'!G234)/'Data Saham'!G234</f>
        <v>1.3888888888888888E-2</v>
      </c>
      <c r="H235">
        <f>('Data Saham'!H235-'Data Saham'!H234)/'Data Saham'!H234</f>
        <v>1.1278195488721804E-2</v>
      </c>
      <c r="I235">
        <f>('Data Saham'!I235-'Data Saham'!I234)/'Data Saham'!I234</f>
        <v>-1.5576323987538941E-2</v>
      </c>
      <c r="J235">
        <f>('Data Saham'!J235-'Data Saham'!J234)/'Data Saham'!J234</f>
        <v>2.2813688212927757E-2</v>
      </c>
      <c r="K235">
        <f>('Data Saham'!K235-'Data Saham'!K234)/'Data Saham'!K234</f>
        <v>-2.1097046413502109E-2</v>
      </c>
      <c r="L235">
        <f>('Data Saham'!L235-'Data Saham'!L234)/'Data Saham'!L234</f>
        <v>-5.5370985603543747E-3</v>
      </c>
      <c r="M235">
        <f>('Data Saham'!M235-'Data Saham'!M234)/'Data Saham'!M234</f>
        <v>-2.914798206278027E-2</v>
      </c>
      <c r="N235">
        <f>('Data Saham'!N235-'Data Saham'!N234)/'Data Saham'!N234</f>
        <v>-4.712041884816754E-2</v>
      </c>
      <c r="O235">
        <f>('Data Saham'!O235-'Data Saham'!O234)/'Data Saham'!O234</f>
        <v>4.3668122270742356E-3</v>
      </c>
      <c r="P235">
        <f>('Data Saham'!P235-'Data Saham'!P234)/'Data Saham'!P234</f>
        <v>-9.7087378640776691E-3</v>
      </c>
      <c r="Q235">
        <f>('Data Saham'!Q235-'Data Saham'!Q234)/'Data Saham'!Q234</f>
        <v>-5.3571428571428568E-2</v>
      </c>
      <c r="R235">
        <f>('Data Saham'!R235-'Data Saham'!R234)/'Data Saham'!R234</f>
        <v>-3.5874439461883408E-2</v>
      </c>
      <c r="S235">
        <f>('Data Saham'!S235-'Data Saham'!S234)/'Data Saham'!S234</f>
        <v>1.6129032258064516E-2</v>
      </c>
      <c r="T235">
        <f>('Data Saham'!T235-'Data Saham'!T234)/'Data Saham'!T234</f>
        <v>-2.4896265560165973E-2</v>
      </c>
      <c r="U235">
        <f>('Data Saham'!U235-'Data Saham'!U234)/'Data Saham'!U234</f>
        <v>-4.6204620462046202E-2</v>
      </c>
      <c r="V235">
        <f>('Data Saham'!V235-'Data Saham'!V234)/'Data Saham'!V234</f>
        <v>-3.4920634920634921E-2</v>
      </c>
      <c r="W235">
        <f>('Data Saham'!W235-'Data Saham'!W234)/'Data Saham'!W234</f>
        <v>-3.4653465346534656E-2</v>
      </c>
      <c r="X235">
        <f>('Data Saham'!X235-'Data Saham'!X234)/'Data Saham'!X234</f>
        <v>-4.2145593869731802E-2</v>
      </c>
      <c r="Y235">
        <f>('Data Saham'!Y235-'Data Saham'!Y234)/'Data Saham'!Y234</f>
        <v>-8.6455331412103754E-3</v>
      </c>
      <c r="Z235">
        <f>('Data Saham'!Z235-'Data Saham'!Z234)/'Data Saham'!Z234</f>
        <v>-5.0251256281407036E-3</v>
      </c>
      <c r="AA235">
        <f>('Data Saham'!AA235-'Data Saham'!AA234)/'Data Saham'!AA234</f>
        <v>-1.5151515151515152E-2</v>
      </c>
      <c r="AB235">
        <f>('Data Saham'!AB235-'Data Saham'!AB234)/'Data Saham'!AB234</f>
        <v>0</v>
      </c>
      <c r="AC235">
        <f>('Data Saham'!AC235-'Data Saham'!AC234)/'Data Saham'!AC234</f>
        <v>-2.6666666666666668E-2</v>
      </c>
      <c r="AD235">
        <f>('Data Saham'!AD235-'Data Saham'!AD234)/'Data Saham'!AD234</f>
        <v>-3.0927835051546393E-2</v>
      </c>
      <c r="AE235">
        <f>('Data Saham'!AE235-'Data Saham'!AE234)/'Data Saham'!AE234</f>
        <v>5.4054054054054057E-3</v>
      </c>
      <c r="AF235">
        <f>('Data Saham'!AF235-'Data Saham'!AF234)/'Data Saham'!AF234</f>
        <v>-3.1446540880503145E-2</v>
      </c>
    </row>
    <row r="236" spans="1:32" x14ac:dyDescent="0.3">
      <c r="A236" s="3" t="s">
        <v>142</v>
      </c>
      <c r="B236">
        <f>('Data Saham'!B236-'Data Saham'!B235)/'Data Saham'!B235</f>
        <v>2.7928687133079396E-5</v>
      </c>
      <c r="C236">
        <f>('Data Saham'!C236-'Data Saham'!C235)/'Data Saham'!C235</f>
        <v>-1.7123287671232876E-2</v>
      </c>
      <c r="D236">
        <f>('Data Saham'!D236-'Data Saham'!D235)/'Data Saham'!D235</f>
        <v>-1.0126582278481013E-2</v>
      </c>
      <c r="E236">
        <f>('Data Saham'!E236-'Data Saham'!E235)/'Data Saham'!E235</f>
        <v>-9.3896713615023476E-3</v>
      </c>
      <c r="F236">
        <f>('Data Saham'!F236-'Data Saham'!F235)/'Data Saham'!F235</f>
        <v>-1.3452914798206279E-2</v>
      </c>
      <c r="G236">
        <f>('Data Saham'!G236-'Data Saham'!G235)/'Data Saham'!G235</f>
        <v>-3.0136986301369864E-2</v>
      </c>
      <c r="H236">
        <f>('Data Saham'!H236-'Data Saham'!H235)/'Data Saham'!H235</f>
        <v>-7.4349442379182153E-3</v>
      </c>
      <c r="I236">
        <f>('Data Saham'!I236-'Data Saham'!I235)/'Data Saham'!I235</f>
        <v>-6.3291139240506328E-3</v>
      </c>
      <c r="J236">
        <f>('Data Saham'!J236-'Data Saham'!J235)/'Data Saham'!J235</f>
        <v>-4.0892193308550186E-2</v>
      </c>
      <c r="K236">
        <f>('Data Saham'!K236-'Data Saham'!K235)/'Data Saham'!K235</f>
        <v>8.6206896551724137E-3</v>
      </c>
      <c r="L236">
        <f>('Data Saham'!L236-'Data Saham'!L235)/'Data Saham'!L235</f>
        <v>1.4476614699331848E-2</v>
      </c>
      <c r="M236">
        <f>('Data Saham'!M236-'Data Saham'!M235)/'Data Saham'!M235</f>
        <v>4.6189376443418013E-3</v>
      </c>
      <c r="N236">
        <f>('Data Saham'!N236-'Data Saham'!N235)/'Data Saham'!N235</f>
        <v>3.021978021978022E-2</v>
      </c>
      <c r="O236">
        <f>('Data Saham'!O236-'Data Saham'!O235)/'Data Saham'!O235</f>
        <v>3.9130434782608699E-2</v>
      </c>
      <c r="P236">
        <f>('Data Saham'!P236-'Data Saham'!P235)/'Data Saham'!P235</f>
        <v>-9.8039215686274508E-3</v>
      </c>
      <c r="Q236">
        <f>('Data Saham'!Q236-'Data Saham'!Q235)/'Data Saham'!Q235</f>
        <v>-3.1446540880503146E-3</v>
      </c>
      <c r="R236">
        <f>('Data Saham'!R236-'Data Saham'!R235)/'Data Saham'!R235</f>
        <v>2.3255813953488372E-2</v>
      </c>
      <c r="S236">
        <f>('Data Saham'!S236-'Data Saham'!S235)/'Data Saham'!S235</f>
        <v>-3.6281179138321996E-2</v>
      </c>
      <c r="T236">
        <f>('Data Saham'!T236-'Data Saham'!T235)/'Data Saham'!T235</f>
        <v>1.276595744680851E-2</v>
      </c>
      <c r="U236">
        <f>('Data Saham'!U236-'Data Saham'!U235)/'Data Saham'!U235</f>
        <v>1.0380622837370242E-2</v>
      </c>
      <c r="V236">
        <f>('Data Saham'!V236-'Data Saham'!V235)/'Data Saham'!V235</f>
        <v>-5.921052631578947E-2</v>
      </c>
      <c r="W236">
        <f>('Data Saham'!W236-'Data Saham'!W235)/'Data Saham'!W235</f>
        <v>2.0512820512820513E-2</v>
      </c>
      <c r="X236">
        <f>('Data Saham'!X236-'Data Saham'!X235)/'Data Saham'!X235</f>
        <v>3.5999999999999997E-2</v>
      </c>
      <c r="Y236">
        <f>('Data Saham'!Y236-'Data Saham'!Y235)/'Data Saham'!Y235</f>
        <v>-2.9069767441860465E-2</v>
      </c>
      <c r="Z236">
        <f>('Data Saham'!Z236-'Data Saham'!Z235)/'Data Saham'!Z235</f>
        <v>1.0101010101010102E-2</v>
      </c>
      <c r="AA236">
        <f>('Data Saham'!AA236-'Data Saham'!AA235)/'Data Saham'!AA235</f>
        <v>3.0769230769230771E-2</v>
      </c>
      <c r="AB236">
        <f>('Data Saham'!AB236-'Data Saham'!AB235)/'Data Saham'!AB235</f>
        <v>1.6666666666666666E-2</v>
      </c>
      <c r="AC236">
        <f>('Data Saham'!AC236-'Data Saham'!AC235)/'Data Saham'!AC235</f>
        <v>0</v>
      </c>
      <c r="AD236">
        <f>('Data Saham'!AD236-'Data Saham'!AD235)/'Data Saham'!AD235</f>
        <v>0</v>
      </c>
      <c r="AE236">
        <f>('Data Saham'!AE236-'Data Saham'!AE235)/'Data Saham'!AE235</f>
        <v>-1.6129032258064516E-2</v>
      </c>
      <c r="AF236">
        <f>('Data Saham'!AF236-'Data Saham'!AF235)/'Data Saham'!AF235</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579A-FC6A-4DB4-8AD0-1C406FFA108F}">
  <dimension ref="A1:AE37"/>
  <sheetViews>
    <sheetView tabSelected="1" zoomScale="81" workbookViewId="0">
      <selection activeCell="H33" sqref="H33"/>
    </sheetView>
  </sheetViews>
  <sheetFormatPr defaultRowHeight="14.4" x14ac:dyDescent="0.3"/>
  <cols>
    <col min="2" max="3" width="12.5546875" bestFit="1" customWidth="1"/>
    <col min="4" max="5" width="13.21875" bestFit="1" customWidth="1"/>
    <col min="6" max="6" width="12.5546875" bestFit="1" customWidth="1"/>
    <col min="7" max="7" width="13.21875" bestFit="1" customWidth="1"/>
    <col min="8" max="9" width="12.5546875" bestFit="1" customWidth="1"/>
    <col min="10" max="10" width="13.21875" bestFit="1" customWidth="1"/>
    <col min="11" max="11" width="12.5546875" bestFit="1" customWidth="1"/>
    <col min="12" max="16" width="13.21875" bestFit="1" customWidth="1"/>
    <col min="17" max="17" width="12.5546875" bestFit="1" customWidth="1"/>
    <col min="18" max="18" width="12.5546875" customWidth="1"/>
    <col min="19" max="19" width="13.21875" bestFit="1" customWidth="1"/>
    <col min="20" max="20" width="12.5546875" bestFit="1" customWidth="1"/>
    <col min="21" max="22" width="13.21875" bestFit="1" customWidth="1"/>
    <col min="23" max="24" width="12.5546875" bestFit="1" customWidth="1"/>
    <col min="25" max="26" width="13.21875" bestFit="1" customWidth="1"/>
    <col min="27" max="27" width="12.5546875" bestFit="1" customWidth="1"/>
    <col min="28" max="28" width="13.21875" bestFit="1" customWidth="1"/>
    <col min="29" max="30" width="12.5546875" bestFit="1" customWidth="1"/>
  </cols>
  <sheetData>
    <row r="1" spans="1:31" x14ac:dyDescent="0.3">
      <c r="A1" s="8"/>
      <c r="B1" t="s">
        <v>144</v>
      </c>
      <c r="C1" t="s">
        <v>145</v>
      </c>
      <c r="D1" t="s">
        <v>146</v>
      </c>
      <c r="E1" t="s">
        <v>147</v>
      </c>
      <c r="F1" t="s">
        <v>148</v>
      </c>
      <c r="G1" t="s">
        <v>149</v>
      </c>
      <c r="H1" t="s">
        <v>150</v>
      </c>
      <c r="I1" t="s">
        <v>151</v>
      </c>
      <c r="J1" t="s">
        <v>152</v>
      </c>
      <c r="K1" t="s">
        <v>153</v>
      </c>
      <c r="L1" t="s">
        <v>154</v>
      </c>
      <c r="M1" t="s">
        <v>155</v>
      </c>
      <c r="N1" t="s">
        <v>156</v>
      </c>
      <c r="O1" t="s">
        <v>157</v>
      </c>
      <c r="P1" t="s">
        <v>158</v>
      </c>
      <c r="Q1" t="s">
        <v>159</v>
      </c>
      <c r="R1" t="s">
        <v>160</v>
      </c>
      <c r="S1" t="s">
        <v>161</v>
      </c>
      <c r="T1" t="s">
        <v>162</v>
      </c>
      <c r="U1" t="s">
        <v>163</v>
      </c>
      <c r="V1" t="s">
        <v>164</v>
      </c>
      <c r="W1" t="s">
        <v>165</v>
      </c>
      <c r="X1" t="s">
        <v>166</v>
      </c>
      <c r="Y1" t="s">
        <v>167</v>
      </c>
      <c r="Z1" t="s">
        <v>168</v>
      </c>
      <c r="AA1" t="s">
        <v>169</v>
      </c>
      <c r="AB1" t="s">
        <v>170</v>
      </c>
      <c r="AC1" t="s">
        <v>171</v>
      </c>
      <c r="AD1" t="s">
        <v>172</v>
      </c>
      <c r="AE1" t="s">
        <v>173</v>
      </c>
    </row>
    <row r="2" spans="1:31" x14ac:dyDescent="0.3">
      <c r="A2" t="s">
        <v>144</v>
      </c>
      <c r="B2">
        <v>1</v>
      </c>
    </row>
    <row r="3" spans="1:31" x14ac:dyDescent="0.3">
      <c r="A3" t="s">
        <v>145</v>
      </c>
      <c r="B3">
        <v>0.61320873703757917</v>
      </c>
      <c r="C3">
        <v>1</v>
      </c>
    </row>
    <row r="4" spans="1:31" x14ac:dyDescent="0.3">
      <c r="A4" t="s">
        <v>146</v>
      </c>
      <c r="B4">
        <v>0.60831070385006181</v>
      </c>
      <c r="C4">
        <v>0.6663871348907856</v>
      </c>
      <c r="D4">
        <v>1</v>
      </c>
    </row>
    <row r="5" spans="1:31" x14ac:dyDescent="0.3">
      <c r="A5" t="s">
        <v>147</v>
      </c>
      <c r="B5">
        <v>0.55972611488255508</v>
      </c>
      <c r="C5">
        <v>0.65229944295603959</v>
      </c>
      <c r="D5">
        <v>0.65476155457693708</v>
      </c>
      <c r="E5">
        <v>1</v>
      </c>
    </row>
    <row r="6" spans="1:31" x14ac:dyDescent="0.3">
      <c r="A6" t="s">
        <v>148</v>
      </c>
      <c r="B6">
        <v>0.42859282712214314</v>
      </c>
      <c r="C6">
        <v>0.30947216626431429</v>
      </c>
      <c r="D6">
        <v>0.33728852436184281</v>
      </c>
      <c r="E6">
        <v>0.25365075152440592</v>
      </c>
      <c r="F6">
        <v>1</v>
      </c>
    </row>
    <row r="7" spans="1:31" x14ac:dyDescent="0.3">
      <c r="A7" t="s">
        <v>149</v>
      </c>
      <c r="B7">
        <v>0.31482483221938545</v>
      </c>
      <c r="C7">
        <v>0.32391283980014618</v>
      </c>
      <c r="D7">
        <v>0.22867784898616828</v>
      </c>
      <c r="E7">
        <v>0.30796411834662107</v>
      </c>
      <c r="F7">
        <v>0.12889082306054453</v>
      </c>
      <c r="G7">
        <v>1</v>
      </c>
    </row>
    <row r="8" spans="1:31" x14ac:dyDescent="0.3">
      <c r="A8" t="s">
        <v>150</v>
      </c>
      <c r="B8">
        <v>0.25888128591080289</v>
      </c>
      <c r="C8">
        <v>0.16894062975535232</v>
      </c>
      <c r="D8">
        <v>0.11683591407906868</v>
      </c>
      <c r="E8">
        <v>0.18676459697474024</v>
      </c>
      <c r="F8">
        <v>0.17329508394508084</v>
      </c>
      <c r="G8">
        <v>8.6478011733481353E-2</v>
      </c>
      <c r="H8">
        <v>1</v>
      </c>
    </row>
    <row r="9" spans="1:31" x14ac:dyDescent="0.3">
      <c r="A9" t="s">
        <v>151</v>
      </c>
      <c r="B9">
        <v>0.1759656309920293</v>
      </c>
      <c r="C9">
        <v>0.15968325771835495</v>
      </c>
      <c r="D9">
        <v>8.8011331269742296E-2</v>
      </c>
      <c r="E9">
        <v>0.18519877647397451</v>
      </c>
      <c r="F9">
        <v>0.14922203569576456</v>
      </c>
      <c r="G9">
        <v>0.10890882082042457</v>
      </c>
      <c r="H9">
        <v>0.28570510129453647</v>
      </c>
      <c r="I9">
        <v>1</v>
      </c>
    </row>
    <row r="10" spans="1:31" x14ac:dyDescent="0.3">
      <c r="A10" t="s">
        <v>152</v>
      </c>
      <c r="B10">
        <v>0.31915114441371772</v>
      </c>
      <c r="C10">
        <v>0.3208236065125577</v>
      </c>
      <c r="D10">
        <v>0.29108505506826737</v>
      </c>
      <c r="E10">
        <v>0.21626733446270763</v>
      </c>
      <c r="F10">
        <v>0.25302270722141545</v>
      </c>
      <c r="G10">
        <v>0.20953256220528391</v>
      </c>
      <c r="H10">
        <v>0.16253135561046317</v>
      </c>
      <c r="I10">
        <v>6.3383144305731207E-2</v>
      </c>
      <c r="J10">
        <v>1</v>
      </c>
    </row>
    <row r="11" spans="1:31" x14ac:dyDescent="0.3">
      <c r="A11" t="s">
        <v>153</v>
      </c>
      <c r="B11">
        <v>0.30429250047360945</v>
      </c>
      <c r="C11">
        <v>0.2611994148989879</v>
      </c>
      <c r="D11">
        <v>0.21004755861459187</v>
      </c>
      <c r="E11">
        <v>0.27559965877714326</v>
      </c>
      <c r="F11">
        <v>9.3315049991531382E-2</v>
      </c>
      <c r="G11">
        <v>0.22692027806765377</v>
      </c>
      <c r="H11">
        <v>0.16270583293471624</v>
      </c>
      <c r="I11">
        <v>4.1481256504554087E-2</v>
      </c>
      <c r="J11">
        <v>0.2584555182224661</v>
      </c>
      <c r="K11">
        <v>1</v>
      </c>
    </row>
    <row r="12" spans="1:31" x14ac:dyDescent="0.3">
      <c r="A12" t="s">
        <v>154</v>
      </c>
      <c r="B12">
        <v>0.12164443268114127</v>
      </c>
      <c r="C12">
        <v>7.6041212656865767E-2</v>
      </c>
      <c r="D12">
        <v>1.3781309372406738E-2</v>
      </c>
      <c r="E12">
        <v>-7.2609544719084672E-3</v>
      </c>
      <c r="F12">
        <v>0.12136320837567055</v>
      </c>
      <c r="G12">
        <v>0.11890221668674436</v>
      </c>
      <c r="H12">
        <v>0.111030274608809</v>
      </c>
      <c r="I12">
        <v>3.830598645919505E-2</v>
      </c>
      <c r="J12">
        <v>0.31644354430449195</v>
      </c>
      <c r="K12">
        <v>0.13427408980194117</v>
      </c>
      <c r="L12">
        <v>1</v>
      </c>
    </row>
    <row r="13" spans="1:31" x14ac:dyDescent="0.3">
      <c r="A13" t="s">
        <v>155</v>
      </c>
      <c r="B13">
        <v>0.16109978401295877</v>
      </c>
      <c r="C13">
        <v>7.5665520325344793E-2</v>
      </c>
      <c r="D13">
        <v>0.12046228034418695</v>
      </c>
      <c r="E13">
        <v>0.11428679398496507</v>
      </c>
      <c r="F13">
        <v>9.3038098448456591E-2</v>
      </c>
      <c r="G13">
        <v>0.22813417899918076</v>
      </c>
      <c r="H13">
        <v>0.22404599225718033</v>
      </c>
      <c r="I13">
        <v>0.16519795567250978</v>
      </c>
      <c r="J13">
        <v>0.3714474233221105</v>
      </c>
      <c r="K13">
        <v>0.21159390907177086</v>
      </c>
      <c r="L13">
        <v>0.57417348035051119</v>
      </c>
      <c r="M13">
        <v>1</v>
      </c>
    </row>
    <row r="14" spans="1:31" x14ac:dyDescent="0.3">
      <c r="A14" t="s">
        <v>156</v>
      </c>
      <c r="B14">
        <v>0.2755629561429182</v>
      </c>
      <c r="C14">
        <v>0.28107978075100437</v>
      </c>
      <c r="D14">
        <v>0.31957482569416312</v>
      </c>
      <c r="E14">
        <v>0.28119420846933874</v>
      </c>
      <c r="F14">
        <v>0.2668385195461882</v>
      </c>
      <c r="G14">
        <v>0.22556580248251204</v>
      </c>
      <c r="H14">
        <v>0.17207095455367813</v>
      </c>
      <c r="I14">
        <v>0.11541880945478511</v>
      </c>
      <c r="J14">
        <v>0.32121718988908488</v>
      </c>
      <c r="K14">
        <v>0.2155917179807231</v>
      </c>
      <c r="L14">
        <v>0.20848243925099705</v>
      </c>
      <c r="M14">
        <v>0.22051121922587075</v>
      </c>
      <c r="N14">
        <v>1</v>
      </c>
    </row>
    <row r="15" spans="1:31" x14ac:dyDescent="0.3">
      <c r="A15" t="s">
        <v>157</v>
      </c>
      <c r="B15">
        <v>0.30932054494740674</v>
      </c>
      <c r="C15">
        <v>0.31098446069302277</v>
      </c>
      <c r="D15">
        <v>0.24676908957181798</v>
      </c>
      <c r="E15">
        <v>0.21030697933632533</v>
      </c>
      <c r="F15">
        <v>0.17306721593239732</v>
      </c>
      <c r="G15">
        <v>0.21396936649216017</v>
      </c>
      <c r="H15">
        <v>0.28471742204898054</v>
      </c>
      <c r="I15">
        <v>2.069111324939794E-2</v>
      </c>
      <c r="J15">
        <v>0.26036610764869472</v>
      </c>
      <c r="K15">
        <v>0.27510558293761206</v>
      </c>
      <c r="L15">
        <v>0.22583305597695602</v>
      </c>
      <c r="M15">
        <v>0.2789529211539481</v>
      </c>
      <c r="N15">
        <v>0.18265868197310139</v>
      </c>
      <c r="O15">
        <v>1</v>
      </c>
    </row>
    <row r="16" spans="1:31" x14ac:dyDescent="0.3">
      <c r="A16" t="s">
        <v>158</v>
      </c>
      <c r="B16">
        <v>0.1167702894012585</v>
      </c>
      <c r="C16">
        <v>0.18477846513826704</v>
      </c>
      <c r="D16">
        <v>0.13477839609764605</v>
      </c>
      <c r="E16">
        <v>9.7949654808366329E-2</v>
      </c>
      <c r="F16">
        <v>0.31031623804454778</v>
      </c>
      <c r="G16">
        <v>9.4149462114864274E-2</v>
      </c>
      <c r="H16">
        <v>8.1463924089010542E-2</v>
      </c>
      <c r="I16">
        <v>1.6492199713415878E-2</v>
      </c>
      <c r="J16">
        <v>0.18105336913190268</v>
      </c>
      <c r="K16">
        <v>0.1026179031165694</v>
      </c>
      <c r="L16">
        <v>0.14357348257231242</v>
      </c>
      <c r="M16">
        <v>8.9805106241871532E-2</v>
      </c>
      <c r="N16">
        <v>0.22299810587029825</v>
      </c>
      <c r="O16">
        <v>0.17140512219439122</v>
      </c>
      <c r="P16">
        <v>1</v>
      </c>
    </row>
    <row r="17" spans="1:31" x14ac:dyDescent="0.3">
      <c r="A17" t="s">
        <v>159</v>
      </c>
      <c r="B17">
        <v>0.23676599265990744</v>
      </c>
      <c r="C17">
        <v>0.20923883143756222</v>
      </c>
      <c r="D17">
        <v>0.19750545846646378</v>
      </c>
      <c r="E17">
        <v>0.28679211193088433</v>
      </c>
      <c r="F17">
        <v>0.15277620255040877</v>
      </c>
      <c r="G17">
        <v>0.1526738276684286</v>
      </c>
      <c r="H17">
        <v>0.40134942929694445</v>
      </c>
      <c r="I17">
        <v>0.16354714521330846</v>
      </c>
      <c r="J17">
        <v>0.20066704152938356</v>
      </c>
      <c r="K17">
        <v>0.15547329720615738</v>
      </c>
      <c r="L17">
        <v>0.14235296725746788</v>
      </c>
      <c r="M17">
        <v>0.14733189916299338</v>
      </c>
      <c r="N17">
        <v>0.1795232822839532</v>
      </c>
      <c r="O17">
        <v>0.16496423374073363</v>
      </c>
      <c r="P17">
        <v>4.1269669224885216E-2</v>
      </c>
      <c r="Q17">
        <v>1</v>
      </c>
    </row>
    <row r="18" spans="1:31" x14ac:dyDescent="0.3">
      <c r="A18" t="s">
        <v>160</v>
      </c>
      <c r="B18">
        <v>0.24205425278858625</v>
      </c>
      <c r="C18">
        <v>0.25430900796221056</v>
      </c>
      <c r="D18">
        <v>0.13673442419017143</v>
      </c>
      <c r="E18">
        <v>0.2718844872469417</v>
      </c>
      <c r="F18">
        <v>0.17906499715485885</v>
      </c>
      <c r="G18">
        <v>0.27592295694372315</v>
      </c>
      <c r="H18">
        <v>0.30715478164665383</v>
      </c>
      <c r="I18">
        <v>0.28336006776782025</v>
      </c>
      <c r="J18">
        <v>8.9444353650824399E-2</v>
      </c>
      <c r="K18">
        <v>0.18882996684071901</v>
      </c>
      <c r="L18">
        <v>0.13086176563538707</v>
      </c>
      <c r="M18">
        <v>0.11393042208145215</v>
      </c>
      <c r="N18">
        <v>7.9594576929241448E-2</v>
      </c>
      <c r="O18">
        <v>0.2283681579668434</v>
      </c>
      <c r="P18">
        <v>0.10484144745926981</v>
      </c>
      <c r="Q18">
        <v>0.21116513247420682</v>
      </c>
      <c r="R18">
        <v>1</v>
      </c>
    </row>
    <row r="19" spans="1:31" x14ac:dyDescent="0.3">
      <c r="A19" t="s">
        <v>161</v>
      </c>
      <c r="B19">
        <v>7.8536527500350645E-2</v>
      </c>
      <c r="C19">
        <v>0.16315910370134631</v>
      </c>
      <c r="D19">
        <v>8.7521499338712727E-2</v>
      </c>
      <c r="E19">
        <v>0.20057354075535289</v>
      </c>
      <c r="F19">
        <v>0.12707533185083553</v>
      </c>
      <c r="G19">
        <v>0.13157625386479971</v>
      </c>
      <c r="H19">
        <v>8.8937046536905762E-2</v>
      </c>
      <c r="I19">
        <v>6.518318226422963E-2</v>
      </c>
      <c r="J19">
        <v>6.2630721527445657E-2</v>
      </c>
      <c r="K19">
        <v>0.12697146646817392</v>
      </c>
      <c r="L19">
        <v>-3.653542369585633E-3</v>
      </c>
      <c r="M19">
        <v>0.13531475047462946</v>
      </c>
      <c r="N19">
        <v>0.12935792234908777</v>
      </c>
      <c r="O19">
        <v>0.16372205773764853</v>
      </c>
      <c r="P19">
        <v>6.6085554652573347E-2</v>
      </c>
      <c r="Q19">
        <v>0.12418045269153452</v>
      </c>
      <c r="R19">
        <v>0.34068083206433342</v>
      </c>
      <c r="S19">
        <v>1</v>
      </c>
    </row>
    <row r="20" spans="1:31" x14ac:dyDescent="0.3">
      <c r="A20" t="s">
        <v>162</v>
      </c>
      <c r="B20">
        <v>0.36615677386472606</v>
      </c>
      <c r="C20">
        <v>0.33995485424789224</v>
      </c>
      <c r="D20">
        <v>0.32694861554175475</v>
      </c>
      <c r="E20">
        <v>0.38233605165993084</v>
      </c>
      <c r="F20">
        <v>0.30082927111804936</v>
      </c>
      <c r="G20">
        <v>0.22338931143903995</v>
      </c>
      <c r="H20">
        <v>0.26856352962321012</v>
      </c>
      <c r="I20">
        <v>0.16501215169936759</v>
      </c>
      <c r="J20">
        <v>0.23826479391111238</v>
      </c>
      <c r="K20">
        <v>0.3086300198872392</v>
      </c>
      <c r="L20">
        <v>0.11289792196780199</v>
      </c>
      <c r="M20">
        <v>0.19090276950349297</v>
      </c>
      <c r="N20">
        <v>0.25977027073640679</v>
      </c>
      <c r="O20">
        <v>0.17324417755867161</v>
      </c>
      <c r="P20">
        <v>0.14649111463533476</v>
      </c>
      <c r="Q20">
        <v>0.14404440581017935</v>
      </c>
      <c r="R20">
        <v>0.19487569896978443</v>
      </c>
      <c r="S20">
        <v>0.13554339946136557</v>
      </c>
      <c r="T20">
        <v>1</v>
      </c>
    </row>
    <row r="21" spans="1:31" x14ac:dyDescent="0.3">
      <c r="A21" t="s">
        <v>163</v>
      </c>
      <c r="B21">
        <v>0.33047603785996493</v>
      </c>
      <c r="C21">
        <v>0.28911463356101341</v>
      </c>
      <c r="D21">
        <v>0.24558448898209145</v>
      </c>
      <c r="E21">
        <v>0.24041324111528301</v>
      </c>
      <c r="F21">
        <v>0.15486461175597377</v>
      </c>
      <c r="G21">
        <v>0.44337667905079975</v>
      </c>
      <c r="H21">
        <v>0.20262243976266761</v>
      </c>
      <c r="I21">
        <v>5.6226249122236206E-2</v>
      </c>
      <c r="J21">
        <v>0.28081623214684798</v>
      </c>
      <c r="K21">
        <v>0.25411857816407035</v>
      </c>
      <c r="L21">
        <v>0.28921794388619027</v>
      </c>
      <c r="M21">
        <v>0.27593839153004851</v>
      </c>
      <c r="N21">
        <v>0.14738791339968185</v>
      </c>
      <c r="O21">
        <v>0.22375945689907065</v>
      </c>
      <c r="P21">
        <v>0.2286191970011193</v>
      </c>
      <c r="Q21">
        <v>0.18174014623590429</v>
      </c>
      <c r="R21">
        <v>0.24623522121689095</v>
      </c>
      <c r="S21">
        <v>0.14891679838152574</v>
      </c>
      <c r="T21">
        <v>0.23316547657663192</v>
      </c>
      <c r="U21">
        <v>1</v>
      </c>
    </row>
    <row r="22" spans="1:31" x14ac:dyDescent="0.3">
      <c r="A22" t="s">
        <v>164</v>
      </c>
      <c r="B22">
        <v>0.13028750436322195</v>
      </c>
      <c r="C22">
        <v>0.1800800706322396</v>
      </c>
      <c r="D22">
        <v>0.11794029097763836</v>
      </c>
      <c r="E22">
        <v>5.6770541244892801E-2</v>
      </c>
      <c r="F22">
        <v>0.13181390012814553</v>
      </c>
      <c r="G22">
        <v>7.6035824286045967E-2</v>
      </c>
      <c r="H22">
        <v>9.8051055624278294E-2</v>
      </c>
      <c r="I22">
        <v>9.0483588786361382E-2</v>
      </c>
      <c r="J22">
        <v>0.13917710424654009</v>
      </c>
      <c r="K22">
        <v>0.14918468105203803</v>
      </c>
      <c r="L22">
        <v>0.1669575241486074</v>
      </c>
      <c r="M22">
        <v>0.20948715190238407</v>
      </c>
      <c r="N22">
        <v>0.11327064273476917</v>
      </c>
      <c r="O22">
        <v>0.10885631360931622</v>
      </c>
      <c r="P22">
        <v>0.29484350908005569</v>
      </c>
      <c r="Q22">
        <v>9.4952175005831821E-2</v>
      </c>
      <c r="R22">
        <v>3.1294318521575611E-2</v>
      </c>
      <c r="S22">
        <v>0.13974211673078843</v>
      </c>
      <c r="T22">
        <v>7.8045568890055761E-2</v>
      </c>
      <c r="U22">
        <v>0.1995767164425839</v>
      </c>
      <c r="V22">
        <v>1</v>
      </c>
    </row>
    <row r="23" spans="1:31" x14ac:dyDescent="0.3">
      <c r="A23" t="s">
        <v>165</v>
      </c>
      <c r="B23">
        <v>0.29305580883650129</v>
      </c>
      <c r="C23">
        <v>0.33418406682315743</v>
      </c>
      <c r="D23">
        <v>0.31912504155046179</v>
      </c>
      <c r="E23">
        <v>0.29659872425617101</v>
      </c>
      <c r="F23">
        <v>0.17265682644150038</v>
      </c>
      <c r="G23">
        <v>0.22586088262891851</v>
      </c>
      <c r="H23">
        <v>0.24620615529503501</v>
      </c>
      <c r="I23">
        <v>0.22537498740526876</v>
      </c>
      <c r="J23">
        <v>0.1758176781960237</v>
      </c>
      <c r="K23">
        <v>0.17271261854489775</v>
      </c>
      <c r="L23">
        <v>0.24709764133287598</v>
      </c>
      <c r="M23">
        <v>0.33507369389302244</v>
      </c>
      <c r="N23">
        <v>0.1871594014687418</v>
      </c>
      <c r="O23">
        <v>0.28423162006994351</v>
      </c>
      <c r="P23">
        <v>0.19456298567746799</v>
      </c>
      <c r="Q23">
        <v>0.20235695170191614</v>
      </c>
      <c r="R23">
        <v>0.11058002548568467</v>
      </c>
      <c r="S23">
        <v>0.16934570419137857</v>
      </c>
      <c r="T23">
        <v>0.22521395872543279</v>
      </c>
      <c r="U23">
        <v>0.32737757476545487</v>
      </c>
      <c r="V23">
        <v>0.18624264537125348</v>
      </c>
      <c r="W23">
        <v>1</v>
      </c>
    </row>
    <row r="24" spans="1:31" x14ac:dyDescent="0.3">
      <c r="A24" t="s">
        <v>166</v>
      </c>
      <c r="B24">
        <v>0.25026693903160646</v>
      </c>
      <c r="C24">
        <v>0.17800615115311696</v>
      </c>
      <c r="D24">
        <v>0.31405475113859871</v>
      </c>
      <c r="E24">
        <v>0.35096110449784901</v>
      </c>
      <c r="F24">
        <v>0.23885995159856901</v>
      </c>
      <c r="G24">
        <v>6.6469516961829206E-2</v>
      </c>
      <c r="H24">
        <v>0.25881329433764849</v>
      </c>
      <c r="I24">
        <v>0.20539075913503685</v>
      </c>
      <c r="J24">
        <v>0.10673928293894275</v>
      </c>
      <c r="K24">
        <v>0.12721001574114787</v>
      </c>
      <c r="L24">
        <v>5.2359417442241263E-2</v>
      </c>
      <c r="M24">
        <v>0.12473661329988171</v>
      </c>
      <c r="N24">
        <v>0.15967068211499802</v>
      </c>
      <c r="O24">
        <v>0.18849730239869666</v>
      </c>
      <c r="P24">
        <v>8.3034095113530298E-2</v>
      </c>
      <c r="Q24">
        <v>0.20369378951049594</v>
      </c>
      <c r="R24">
        <v>0.20477385071361717</v>
      </c>
      <c r="S24">
        <v>0.14986845773782548</v>
      </c>
      <c r="T24">
        <v>0.15960162713278905</v>
      </c>
      <c r="U24">
        <v>0.14183173209310229</v>
      </c>
      <c r="V24">
        <v>0.14918729850874882</v>
      </c>
      <c r="W24">
        <v>0.27633172510766213</v>
      </c>
      <c r="X24">
        <v>1</v>
      </c>
    </row>
    <row r="25" spans="1:31" x14ac:dyDescent="0.3">
      <c r="A25" t="s">
        <v>167</v>
      </c>
      <c r="B25">
        <v>0.3519576809738203</v>
      </c>
      <c r="C25">
        <v>0.37702892703691021</v>
      </c>
      <c r="D25">
        <v>0.30673185704852313</v>
      </c>
      <c r="E25">
        <v>0.36091526221688436</v>
      </c>
      <c r="F25">
        <v>0.27061027898192436</v>
      </c>
      <c r="G25">
        <v>0.23465894049572533</v>
      </c>
      <c r="H25">
        <v>0.20350761650289256</v>
      </c>
      <c r="I25">
        <v>0.14412693494670276</v>
      </c>
      <c r="J25">
        <v>0.23065221832487157</v>
      </c>
      <c r="K25">
        <v>0.24490815722667308</v>
      </c>
      <c r="L25">
        <v>0.13509358874704575</v>
      </c>
      <c r="M25">
        <v>0.15812414970521946</v>
      </c>
      <c r="N25">
        <v>0.22682744629402707</v>
      </c>
      <c r="O25">
        <v>0.24391274233042901</v>
      </c>
      <c r="P25">
        <v>0.12287880854308902</v>
      </c>
      <c r="Q25">
        <v>9.473606403207091E-2</v>
      </c>
      <c r="R25">
        <v>0.28102825950543725</v>
      </c>
      <c r="S25">
        <v>0.19023152256744846</v>
      </c>
      <c r="T25">
        <v>0.35486848543595173</v>
      </c>
      <c r="U25">
        <v>0.26957370239474143</v>
      </c>
      <c r="V25">
        <v>0.18966798663891052</v>
      </c>
      <c r="W25">
        <v>0.24948691169921045</v>
      </c>
      <c r="X25">
        <v>0.28082245407007878</v>
      </c>
      <c r="Y25">
        <v>1</v>
      </c>
    </row>
    <row r="26" spans="1:31" x14ac:dyDescent="0.3">
      <c r="A26" t="s">
        <v>168</v>
      </c>
      <c r="B26">
        <v>0.3443799745440364</v>
      </c>
      <c r="C26">
        <v>0.31858208404933674</v>
      </c>
      <c r="D26">
        <v>0.2943440485779133</v>
      </c>
      <c r="E26">
        <v>0.26421136247638727</v>
      </c>
      <c r="F26">
        <v>0.24780370918163599</v>
      </c>
      <c r="G26">
        <v>0.11189966030962163</v>
      </c>
      <c r="H26">
        <v>0.44678281718714985</v>
      </c>
      <c r="I26">
        <v>0.21907141451175341</v>
      </c>
      <c r="J26">
        <v>0.2363696374283229</v>
      </c>
      <c r="K26">
        <v>0.26443587484049846</v>
      </c>
      <c r="L26">
        <v>0.22920437791595119</v>
      </c>
      <c r="M26">
        <v>0.25218583298015212</v>
      </c>
      <c r="N26">
        <v>0.25208142834897307</v>
      </c>
      <c r="O26">
        <v>0.28297907056777055</v>
      </c>
      <c r="P26">
        <v>0.16219767248516226</v>
      </c>
      <c r="Q26">
        <v>0.27929565882088536</v>
      </c>
      <c r="R26">
        <v>0.28373360440810003</v>
      </c>
      <c r="S26">
        <v>0.11818594983877412</v>
      </c>
      <c r="T26">
        <v>0.2624702840320523</v>
      </c>
      <c r="U26">
        <v>0.29564815418898682</v>
      </c>
      <c r="V26">
        <v>0.25523657589899418</v>
      </c>
      <c r="W26">
        <v>0.39709470482832315</v>
      </c>
      <c r="X26">
        <v>0.28682571587919786</v>
      </c>
      <c r="Y26">
        <v>0.36511013261713499</v>
      </c>
      <c r="Z26">
        <v>1</v>
      </c>
    </row>
    <row r="27" spans="1:31" x14ac:dyDescent="0.3">
      <c r="A27" t="s">
        <v>169</v>
      </c>
      <c r="B27">
        <v>0.24545558325923753</v>
      </c>
      <c r="C27">
        <v>0.21663211067191909</v>
      </c>
      <c r="D27">
        <v>0.23177986001072626</v>
      </c>
      <c r="E27">
        <v>0.19940815320707947</v>
      </c>
      <c r="F27">
        <v>0.18697410651788332</v>
      </c>
      <c r="G27">
        <v>0.10728258302110069</v>
      </c>
      <c r="H27">
        <v>0.23907830086296883</v>
      </c>
      <c r="I27">
        <v>0.15123639102354861</v>
      </c>
      <c r="J27">
        <v>0.18759207717960924</v>
      </c>
      <c r="K27">
        <v>0.16808324993612572</v>
      </c>
      <c r="L27">
        <v>0.15457371631754599</v>
      </c>
      <c r="M27">
        <v>0.24037548019586513</v>
      </c>
      <c r="N27">
        <v>0.10590609416598469</v>
      </c>
      <c r="O27">
        <v>0.1314398316610414</v>
      </c>
      <c r="P27">
        <v>0.17198487530616202</v>
      </c>
      <c r="Q27">
        <v>9.4828246630095592E-2</v>
      </c>
      <c r="R27">
        <v>0.28257021126352139</v>
      </c>
      <c r="S27">
        <v>0.16843290086991169</v>
      </c>
      <c r="T27">
        <v>0.18225058638224637</v>
      </c>
      <c r="U27">
        <v>0.19534729501380579</v>
      </c>
      <c r="V27">
        <v>0.11494485487175744</v>
      </c>
      <c r="W27">
        <v>0.25211039169152838</v>
      </c>
      <c r="X27">
        <v>0.17244054699941705</v>
      </c>
      <c r="Y27">
        <v>0.27013165000865752</v>
      </c>
      <c r="Z27">
        <v>0.33774413197559078</v>
      </c>
      <c r="AA27">
        <v>1</v>
      </c>
    </row>
    <row r="28" spans="1:31" x14ac:dyDescent="0.3">
      <c r="A28" t="s">
        <v>170</v>
      </c>
      <c r="B28">
        <v>0.218376996528622</v>
      </c>
      <c r="C28">
        <v>0.18032378050923517</v>
      </c>
      <c r="D28">
        <v>0.19458520681966388</v>
      </c>
      <c r="E28">
        <v>0.16417740071318634</v>
      </c>
      <c r="F28">
        <v>0.14480864986382919</v>
      </c>
      <c r="G28">
        <v>0.18782049307787002</v>
      </c>
      <c r="H28">
        <v>0.20819970482164729</v>
      </c>
      <c r="I28">
        <v>0.10186599714201319</v>
      </c>
      <c r="J28">
        <v>0.19992265393096934</v>
      </c>
      <c r="K28">
        <v>0.13372545053951582</v>
      </c>
      <c r="L28">
        <v>0.16668028152580869</v>
      </c>
      <c r="M28">
        <v>0.24344487610894727</v>
      </c>
      <c r="N28">
        <v>0.16865538324860341</v>
      </c>
      <c r="O28">
        <v>0.21734612962021291</v>
      </c>
      <c r="P28">
        <v>0.22056494424794237</v>
      </c>
      <c r="Q28">
        <v>0.1135756874316899</v>
      </c>
      <c r="R28">
        <v>0.17546555041692274</v>
      </c>
      <c r="S28">
        <v>0.10468114790716404</v>
      </c>
      <c r="T28">
        <v>0.21296661875760053</v>
      </c>
      <c r="U28">
        <v>0.32688977511459782</v>
      </c>
      <c r="V28">
        <v>0.25753112877223572</v>
      </c>
      <c r="W28">
        <v>0.18408909258350678</v>
      </c>
      <c r="X28">
        <v>6.2638750331877227E-2</v>
      </c>
      <c r="Y28">
        <v>0.19592253015896047</v>
      </c>
      <c r="Z28">
        <v>0.22928214648170989</v>
      </c>
      <c r="AA28">
        <v>0.2366898781866604</v>
      </c>
      <c r="AB28">
        <v>1</v>
      </c>
    </row>
    <row r="29" spans="1:31" x14ac:dyDescent="0.3">
      <c r="A29" t="s">
        <v>171</v>
      </c>
      <c r="B29">
        <v>0.47368323826986308</v>
      </c>
      <c r="C29">
        <v>0.40710682797995595</v>
      </c>
      <c r="D29">
        <v>0.35419074580375443</v>
      </c>
      <c r="E29">
        <v>0.39766402345137497</v>
      </c>
      <c r="F29">
        <v>0.22976492158213033</v>
      </c>
      <c r="G29">
        <v>0.28626411927772494</v>
      </c>
      <c r="H29">
        <v>0.28359877996040717</v>
      </c>
      <c r="I29">
        <v>0.14962514780962988</v>
      </c>
      <c r="J29">
        <v>0.35393459674476196</v>
      </c>
      <c r="K29">
        <v>0.283104910854859</v>
      </c>
      <c r="L29">
        <v>0.27803815403291332</v>
      </c>
      <c r="M29">
        <v>0.36595829870069818</v>
      </c>
      <c r="N29">
        <v>0.22506503172957562</v>
      </c>
      <c r="O29">
        <v>0.38560583780676611</v>
      </c>
      <c r="P29">
        <v>0.17321760555901677</v>
      </c>
      <c r="Q29">
        <v>0.23665786968752398</v>
      </c>
      <c r="R29">
        <v>0.29674070978258416</v>
      </c>
      <c r="S29">
        <v>0.18570453628354813</v>
      </c>
      <c r="T29">
        <v>0.36452718303964604</v>
      </c>
      <c r="U29">
        <v>0.32140028664774439</v>
      </c>
      <c r="V29">
        <v>0.16503644492514657</v>
      </c>
      <c r="W29">
        <v>0.34217744248074627</v>
      </c>
      <c r="X29">
        <v>0.22921414983883864</v>
      </c>
      <c r="Y29">
        <v>0.33348987083492665</v>
      </c>
      <c r="Z29">
        <v>0.3739428047811908</v>
      </c>
      <c r="AA29">
        <v>0.30419489791119281</v>
      </c>
      <c r="AB29">
        <v>0.3218598061638559</v>
      </c>
      <c r="AC29">
        <v>1</v>
      </c>
    </row>
    <row r="30" spans="1:31" x14ac:dyDescent="0.3">
      <c r="A30" t="s">
        <v>172</v>
      </c>
      <c r="B30">
        <v>0.41877849352167695</v>
      </c>
      <c r="C30">
        <v>0.39030197740812311</v>
      </c>
      <c r="D30">
        <v>0.32843055424757261</v>
      </c>
      <c r="E30">
        <v>0.43440927364885223</v>
      </c>
      <c r="F30">
        <v>0.2166142823774018</v>
      </c>
      <c r="G30">
        <v>0.21996269227324006</v>
      </c>
      <c r="H30">
        <v>0.2296623239908186</v>
      </c>
      <c r="I30">
        <v>0.21295441197077133</v>
      </c>
      <c r="J30">
        <v>0.30163376662885205</v>
      </c>
      <c r="K30">
        <v>0.29943624599367136</v>
      </c>
      <c r="L30">
        <v>0.23519143896221195</v>
      </c>
      <c r="M30">
        <v>0.25432899535177539</v>
      </c>
      <c r="N30">
        <v>0.22458755149631504</v>
      </c>
      <c r="O30">
        <v>0.33643047087953648</v>
      </c>
      <c r="P30">
        <v>9.1927517214763138E-2</v>
      </c>
      <c r="Q30">
        <v>0.21648390384883329</v>
      </c>
      <c r="R30">
        <v>0.24118455122621296</v>
      </c>
      <c r="S30">
        <v>0.10139758558794795</v>
      </c>
      <c r="T30">
        <v>0.37011505714777798</v>
      </c>
      <c r="U30">
        <v>0.28733182703100857</v>
      </c>
      <c r="V30">
        <v>0.13328010022871334</v>
      </c>
      <c r="W30">
        <v>0.29469960325809608</v>
      </c>
      <c r="X30">
        <v>0.21573702974854622</v>
      </c>
      <c r="Y30">
        <v>0.408353653484192</v>
      </c>
      <c r="Z30">
        <v>0.36654356507299579</v>
      </c>
      <c r="AA30">
        <v>0.2397075867896129</v>
      </c>
      <c r="AB30">
        <v>0.23940579437512075</v>
      </c>
      <c r="AC30">
        <v>0.55042265607033269</v>
      </c>
      <c r="AD30">
        <v>1</v>
      </c>
    </row>
    <row r="31" spans="1:31" ht="15" thickBot="1" x14ac:dyDescent="0.35">
      <c r="A31" t="s">
        <v>173</v>
      </c>
      <c r="B31" s="7">
        <v>4.1430470960901099E-2</v>
      </c>
      <c r="C31" s="7">
        <v>1.6845057760803854E-2</v>
      </c>
      <c r="D31" s="7">
        <v>-2.1055159217049996E-2</v>
      </c>
      <c r="E31" s="7">
        <v>3.7653271680806288E-2</v>
      </c>
      <c r="F31" s="7">
        <v>-6.07893034822237E-3</v>
      </c>
      <c r="G31" s="19">
        <v>-9.3018581924341842E-2</v>
      </c>
      <c r="H31" s="7">
        <v>8.4822042545882798E-2</v>
      </c>
      <c r="I31" s="7">
        <v>4.1051392078087553E-3</v>
      </c>
      <c r="J31" s="7">
        <v>-4.7361461646685997E-2</v>
      </c>
      <c r="K31" s="7">
        <v>3.4180630271937552E-2</v>
      </c>
      <c r="L31" s="7">
        <v>6.2385397602363286E-2</v>
      </c>
      <c r="M31" s="7">
        <v>-1.6396149009912511E-2</v>
      </c>
      <c r="N31" s="19">
        <v>-0.15815293586484391</v>
      </c>
      <c r="O31" s="7">
        <v>-1.9506681582856386E-2</v>
      </c>
      <c r="P31" s="7">
        <v>-3.7379828067621121E-2</v>
      </c>
      <c r="Q31" s="7">
        <v>4.4038951330895834E-4</v>
      </c>
      <c r="R31" s="7">
        <v>7.9730215896673409E-2</v>
      </c>
      <c r="S31" s="19">
        <v>-8.1243926917590081E-2</v>
      </c>
      <c r="T31" s="7">
        <v>9.7196928910057392E-2</v>
      </c>
      <c r="U31" s="7">
        <v>-1.5385059297959849E-2</v>
      </c>
      <c r="V31" s="7">
        <v>-2.4445406866911438E-2</v>
      </c>
      <c r="W31" s="7">
        <v>0.14937146397530537</v>
      </c>
      <c r="X31" s="7">
        <v>5.3902950521689065E-2</v>
      </c>
      <c r="Y31" s="7">
        <v>-6.6259579010360795E-2</v>
      </c>
      <c r="Z31" s="7">
        <v>-1.4622755459697445E-3</v>
      </c>
      <c r="AA31" s="7">
        <v>-4.2248440467158373E-2</v>
      </c>
      <c r="AB31" s="19">
        <v>-6.9490164601853366E-2</v>
      </c>
      <c r="AC31" s="7">
        <v>2.3249729411847744E-2</v>
      </c>
      <c r="AD31" s="7">
        <v>5.3062884198064788E-3</v>
      </c>
      <c r="AE31" s="7">
        <v>1</v>
      </c>
    </row>
    <row r="37" spans="3:3" x14ac:dyDescent="0.3">
      <c r="C37">
        <f>MIN(B31:AE31)</f>
        <v>-0.15815293586484391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06A6-1B24-4E8F-AD71-13149C5EA36B}">
  <dimension ref="A1:AF236"/>
  <sheetViews>
    <sheetView workbookViewId="0">
      <selection activeCell="G19" sqref="G19"/>
    </sheetView>
  </sheetViews>
  <sheetFormatPr defaultRowHeight="14.4" x14ac:dyDescent="0.3"/>
  <cols>
    <col min="1" max="1" width="10.5546875" bestFit="1" customWidth="1"/>
  </cols>
  <sheetData>
    <row r="1" spans="1:32" x14ac:dyDescent="0.3">
      <c r="A1" t="s">
        <v>0</v>
      </c>
      <c r="B1" t="s">
        <v>143</v>
      </c>
      <c r="C1" t="s">
        <v>144</v>
      </c>
      <c r="D1" t="s">
        <v>145</v>
      </c>
      <c r="E1" t="s">
        <v>146</v>
      </c>
      <c r="F1" t="s">
        <v>147</v>
      </c>
      <c r="G1" t="s">
        <v>148</v>
      </c>
      <c r="H1" t="s">
        <v>149</v>
      </c>
      <c r="I1" t="s">
        <v>150</v>
      </c>
      <c r="J1" t="s">
        <v>151</v>
      </c>
      <c r="K1" t="s">
        <v>152</v>
      </c>
      <c r="L1" t="s">
        <v>153</v>
      </c>
      <c r="M1" t="s">
        <v>154</v>
      </c>
      <c r="N1" t="s">
        <v>155</v>
      </c>
      <c r="O1" t="s">
        <v>156</v>
      </c>
      <c r="P1" t="s">
        <v>157</v>
      </c>
      <c r="Q1" t="s">
        <v>158</v>
      </c>
      <c r="R1" t="s">
        <v>159</v>
      </c>
      <c r="S1" t="s">
        <v>160</v>
      </c>
      <c r="T1" t="s">
        <v>161</v>
      </c>
      <c r="U1" t="s">
        <v>162</v>
      </c>
      <c r="V1" t="s">
        <v>163</v>
      </c>
      <c r="W1" t="s">
        <v>164</v>
      </c>
      <c r="X1" t="s">
        <v>165</v>
      </c>
      <c r="Y1" t="s">
        <v>166</v>
      </c>
      <c r="Z1" t="s">
        <v>167</v>
      </c>
      <c r="AA1" t="s">
        <v>168</v>
      </c>
      <c r="AB1" t="s">
        <v>169</v>
      </c>
      <c r="AC1" t="s">
        <v>170</v>
      </c>
      <c r="AD1" t="s">
        <v>171</v>
      </c>
      <c r="AE1" t="s">
        <v>172</v>
      </c>
      <c r="AF1" t="s">
        <v>173</v>
      </c>
    </row>
    <row r="2" spans="1:32" x14ac:dyDescent="0.3">
      <c r="A2" s="1">
        <v>45719</v>
      </c>
    </row>
    <row r="3" spans="1:32" x14ac:dyDescent="0.3">
      <c r="A3" s="2">
        <v>45750</v>
      </c>
      <c r="C3">
        <f>Perhitungan!B$4+Perhitungan!B$3*Return!$B3</f>
        <v>-1.998709035464296E-2</v>
      </c>
      <c r="D3">
        <f>Perhitungan!C$4+Perhitungan!C$3*Return!$B3</f>
        <v>-1.9821933128638336E-2</v>
      </c>
      <c r="E3">
        <f>Perhitungan!D$4+Perhitungan!D$3*Return!$B3</f>
        <v>-2.0827289702851092E-2</v>
      </c>
      <c r="F3">
        <f>Perhitungan!E$4+Perhitungan!E$3*Return!$B3</f>
        <v>-1.8202281867333109E-2</v>
      </c>
      <c r="G3">
        <f>Perhitungan!F$4+Perhitungan!F$3*Return!$B3</f>
        <v>-1.7624499529623132E-2</v>
      </c>
      <c r="H3">
        <f>Perhitungan!G$4+Perhitungan!G$3*Return!$B3</f>
        <v>-1.3917988023277181E-2</v>
      </c>
      <c r="I3">
        <f>Perhitungan!H$4+Perhitungan!H$3*Return!$B3</f>
        <v>-1.0917941397259996E-2</v>
      </c>
      <c r="J3">
        <f>Perhitungan!I$4+Perhitungan!I$3*Return!$B3</f>
        <v>-6.1957679592096635E-3</v>
      </c>
      <c r="K3">
        <f>Perhitungan!J$4+Perhitungan!J$3*Return!$B3</f>
        <v>-1.8786567761952803E-2</v>
      </c>
      <c r="L3">
        <f>Perhitungan!K$4+Perhitungan!K$3*Return!$B3</f>
        <v>-8.2440932647610075E-3</v>
      </c>
      <c r="M3">
        <f>Perhitungan!L$4+Perhitungan!L$3*Return!$B3</f>
        <v>-1.560939487875353E-2</v>
      </c>
      <c r="N3">
        <f>Perhitungan!M$4+Perhitungan!M$3*Return!$B3</f>
        <v>-3.2267457113515585E-2</v>
      </c>
      <c r="O3">
        <f>Perhitungan!N$4+Perhitungan!N$3*Return!$B3</f>
        <v>-1.1288597309843613E-2</v>
      </c>
      <c r="P3">
        <f>Perhitungan!O$4+Perhitungan!O$3*Return!$B3</f>
        <v>-2.0667126773728752E-2</v>
      </c>
      <c r="Q3">
        <f>Perhitungan!P$4+Perhitungan!P$3*Return!$B3</f>
        <v>-2.0709462060375175E-2</v>
      </c>
      <c r="R3">
        <f>Perhitungan!Q$4+Perhitungan!Q$3*Return!$B3</f>
        <v>-1.3347208383078348E-2</v>
      </c>
      <c r="S3">
        <f>Perhitungan!R$4+Perhitungan!R$3*Return!$B3</f>
        <v>-1.1715075671072451E-2</v>
      </c>
      <c r="T3">
        <f>Perhitungan!S$4+Perhitungan!S$3*Return!$B3</f>
        <v>-1.1090035603129201E-2</v>
      </c>
      <c r="U3">
        <f>Perhitungan!T$4+Perhitungan!T$3*Return!$B3</f>
        <v>-2.316123892936418E-2</v>
      </c>
      <c r="V3">
        <f>Perhitungan!U$4+Perhitungan!U$3*Return!$B3</f>
        <v>-1.9637898151750856E-2</v>
      </c>
      <c r="W3">
        <f>Perhitungan!V$4+Perhitungan!V$3*Return!$B3</f>
        <v>-3.8293763852519605E-2</v>
      </c>
      <c r="X3">
        <f>Perhitungan!W$4+Perhitungan!W$3*Return!$B3</f>
        <v>-2.7182370252402832E-2</v>
      </c>
      <c r="Y3">
        <f>Perhitungan!X$4+Perhitungan!X$3*Return!$B3</f>
        <v>-1.8603014244756251E-2</v>
      </c>
      <c r="Z3">
        <f>Perhitungan!Y$4+Perhitungan!Y$3*Return!$B3</f>
        <v>-1.7620847170241021E-2</v>
      </c>
      <c r="AA3">
        <f>Perhitungan!Z$4+Perhitungan!Z$3*Return!$B3</f>
        <v>-2.2447891512030253E-2</v>
      </c>
      <c r="AB3">
        <f>Perhitungan!AA$4+Perhitungan!AA$3*Return!$B3</f>
        <v>-2.3367344236673502E-2</v>
      </c>
      <c r="AC3">
        <f>Perhitungan!AB$4+Perhitungan!AB$3*Return!$B3</f>
        <v>-1.7284459990599813E-2</v>
      </c>
      <c r="AD3">
        <f>Perhitungan!AC$4+Perhitungan!AC$3*Return!$B3</f>
        <v>-2.0912186942604494E-2</v>
      </c>
      <c r="AE3">
        <f>Perhitungan!AD$4+Perhitungan!AD$3*Return!$B3</f>
        <v>-1.6330787316900342E-2</v>
      </c>
      <c r="AF3">
        <f>Perhitungan!AE$4+Perhitungan!AE$3*Return!$B3</f>
        <v>17.280480476234512</v>
      </c>
    </row>
    <row r="4" spans="1:32" x14ac:dyDescent="0.3">
      <c r="A4" s="1">
        <v>45780</v>
      </c>
      <c r="C4">
        <f>Perhitungan!B$4+Perhitungan!B$3*Return!$B4</f>
        <v>1.8689832530919156E-2</v>
      </c>
      <c r="D4">
        <f>Perhitungan!C$4+Perhitungan!C$3*Return!$B4</f>
        <v>2.4456126121251455E-2</v>
      </c>
      <c r="E4">
        <f>Perhitungan!D$4+Perhitungan!D$3*Return!$B4</f>
        <v>2.3237961027441804E-2</v>
      </c>
      <c r="F4">
        <f>Perhitungan!E$4+Perhitungan!E$3*Return!$B4</f>
        <v>1.9935736877230936E-2</v>
      </c>
      <c r="G4">
        <f>Perhitungan!F$4+Perhitungan!F$3*Return!$B4</f>
        <v>2.293762890125766E-2</v>
      </c>
      <c r="H4">
        <f>Perhitungan!G$4+Perhitungan!G$3*Return!$B4</f>
        <v>1.6374840045774358E-2</v>
      </c>
      <c r="I4">
        <f>Perhitungan!H$4+Perhitungan!H$3*Return!$B4</f>
        <v>8.1649371811042225E-3</v>
      </c>
      <c r="J4">
        <f>Perhitungan!I$4+Perhitungan!I$3*Return!$B4</f>
        <v>6.7386093069101176E-3</v>
      </c>
      <c r="K4">
        <f>Perhitungan!J$4+Perhitungan!J$3*Return!$B4</f>
        <v>2.3599388976545708E-2</v>
      </c>
      <c r="L4">
        <f>Perhitungan!K$4+Perhitungan!K$3*Return!$B4</f>
        <v>8.1128401809392701E-3</v>
      </c>
      <c r="M4">
        <f>Perhitungan!L$4+Perhitungan!L$3*Return!$B4</f>
        <v>2.8077510258388765E-2</v>
      </c>
      <c r="N4">
        <f>Perhitungan!M$4+Perhitungan!M$3*Return!$B4</f>
        <v>3.1082630732678265E-2</v>
      </c>
      <c r="O4">
        <f>Perhitungan!N$4+Perhitungan!N$3*Return!$B4</f>
        <v>1.1818663992413152E-2</v>
      </c>
      <c r="P4">
        <f>Perhitungan!O$4+Perhitungan!O$3*Return!$B4</f>
        <v>1.8934588765030822E-2</v>
      </c>
      <c r="Q4">
        <f>Perhitungan!P$4+Perhitungan!P$3*Return!$B4</f>
        <v>2.7174138158722536E-2</v>
      </c>
      <c r="R4">
        <f>Perhitungan!Q$4+Perhitungan!Q$3*Return!$B4</f>
        <v>1.3016283126670015E-2</v>
      </c>
      <c r="S4">
        <f>Perhitungan!R$4+Perhitungan!R$3*Return!$B4</f>
        <v>1.2780057907374045E-2</v>
      </c>
      <c r="T4">
        <f>Perhitungan!S$4+Perhitungan!S$3*Return!$B4</f>
        <v>1.4643186247979695E-2</v>
      </c>
      <c r="U4">
        <f>Perhitungan!T$4+Perhitungan!T$3*Return!$B4</f>
        <v>2.6174001619262716E-2</v>
      </c>
      <c r="V4">
        <f>Perhitungan!U$4+Perhitungan!U$3*Return!$B4</f>
        <v>2.1693471824223608E-2</v>
      </c>
      <c r="W4">
        <f>Perhitungan!V$4+Perhitungan!V$3*Return!$B4</f>
        <v>4.7152222865934026E-2</v>
      </c>
      <c r="X4">
        <f>Perhitungan!W$4+Perhitungan!W$3*Return!$B4</f>
        <v>2.0627408729588834E-2</v>
      </c>
      <c r="Y4">
        <f>Perhitungan!X$4+Perhitungan!X$3*Return!$B4</f>
        <v>1.7243037979723982E-2</v>
      </c>
      <c r="Z4">
        <f>Perhitungan!Y$4+Perhitungan!Y$3*Return!$B4</f>
        <v>1.7337277477091552E-2</v>
      </c>
      <c r="AA4">
        <f>Perhitungan!Z$4+Perhitungan!Z$3*Return!$B4</f>
        <v>2.9900469401776358E-2</v>
      </c>
      <c r="AB4">
        <f>Perhitungan!AA$4+Perhitungan!AA$3*Return!$B4</f>
        <v>2.4044544487515401E-2</v>
      </c>
      <c r="AC4">
        <f>Perhitungan!AB$4+Perhitungan!AB$3*Return!$B4</f>
        <v>2.1546335871238997E-2</v>
      </c>
      <c r="AD4">
        <f>Perhitungan!AC$4+Perhitungan!AC$3*Return!$B4</f>
        <v>2.22924765399732E-2</v>
      </c>
      <c r="AE4">
        <f>Perhitungan!AD$4+Perhitungan!AD$3*Return!$B4</f>
        <v>1.8022681553535945E-2</v>
      </c>
      <c r="AF4">
        <f>Perhitungan!AE$4+Perhitungan!AE$3*Return!$B4</f>
        <v>16.014518884941769</v>
      </c>
    </row>
    <row r="5" spans="1:32" x14ac:dyDescent="0.3">
      <c r="A5" s="2">
        <v>45811</v>
      </c>
      <c r="C5">
        <f>Perhitungan!B$4+Perhitungan!B$3*Return!$B5</f>
        <v>9.7304605416583447E-3</v>
      </c>
      <c r="D5">
        <f>Perhitungan!C$4+Perhitungan!C$3*Return!$B5</f>
        <v>1.419927076189244E-2</v>
      </c>
      <c r="E5">
        <f>Perhitungan!D$4+Perhitungan!D$3*Return!$B5</f>
        <v>1.3030402006759829E-2</v>
      </c>
      <c r="F5">
        <f>Perhitungan!E$4+Perhitungan!E$3*Return!$B5</f>
        <v>1.1101200120598134E-2</v>
      </c>
      <c r="G5">
        <f>Perhitungan!F$4+Perhitungan!F$3*Return!$B5</f>
        <v>1.3541555734741809E-2</v>
      </c>
      <c r="H5">
        <f>Perhitungan!G$4+Perhitungan!G$3*Return!$B5</f>
        <v>9.3576138801770951E-3</v>
      </c>
      <c r="I5">
        <f>Perhitungan!H$4+Perhitungan!H$3*Return!$B5</f>
        <v>3.7444560503965886E-3</v>
      </c>
      <c r="J5">
        <f>Perhitungan!I$4+Perhitungan!I$3*Return!$B5</f>
        <v>3.7424066948387154E-3</v>
      </c>
      <c r="K5">
        <f>Perhitungan!J$4+Perhitungan!J$3*Return!$B5</f>
        <v>1.37808324521671E-2</v>
      </c>
      <c r="L5">
        <f>Perhitungan!K$4+Perhitungan!K$3*Return!$B5</f>
        <v>4.3238145705715965E-3</v>
      </c>
      <c r="M5">
        <f>Perhitungan!L$4+Perhitungan!L$3*Return!$B5</f>
        <v>1.7957593652269174E-2</v>
      </c>
      <c r="N5">
        <f>Perhitungan!M$4+Perhitungan!M$3*Return!$B5</f>
        <v>1.6407807602468117E-2</v>
      </c>
      <c r="O5">
        <f>Perhitungan!N$4+Perhitungan!N$3*Return!$B5</f>
        <v>6.4659488792558053E-3</v>
      </c>
      <c r="P5">
        <f>Perhitungan!O$4+Perhitungan!O$3*Return!$B5</f>
        <v>9.7609918381386732E-3</v>
      </c>
      <c r="Q5">
        <f>Perhitungan!P$4+Perhitungan!P$3*Return!$B5</f>
        <v>1.6082072023645047E-2</v>
      </c>
      <c r="R5">
        <f>Perhitungan!Q$4+Perhitungan!Q$3*Return!$B5</f>
        <v>6.9092738366489867E-3</v>
      </c>
      <c r="S5">
        <f>Perhitungan!R$4+Perhitungan!R$3*Return!$B5</f>
        <v>7.1058471045839632E-3</v>
      </c>
      <c r="T5">
        <f>Perhitungan!S$4+Perhitungan!S$3*Return!$B5</f>
        <v>8.6821766886508774E-3</v>
      </c>
      <c r="U5">
        <f>Perhitungan!T$4+Perhitungan!T$3*Return!$B5</f>
        <v>1.4745668151198404E-2</v>
      </c>
      <c r="V5">
        <f>Perhitungan!U$4+Perhitungan!U$3*Return!$B5</f>
        <v>1.2119206582488128E-2</v>
      </c>
      <c r="W5">
        <f>Perhitungan!V$4+Perhitungan!V$3*Return!$B5</f>
        <v>2.7358963141907795E-2</v>
      </c>
      <c r="X5">
        <f>Perhitungan!W$4+Perhitungan!W$3*Return!$B5</f>
        <v>9.5524430222236924E-3</v>
      </c>
      <c r="Y5">
        <f>Perhitungan!X$4+Perhitungan!X$3*Return!$B5</f>
        <v>8.9394271372628033E-3</v>
      </c>
      <c r="Z5">
        <f>Perhitungan!Y$4+Perhitungan!Y$3*Return!$B5</f>
        <v>9.2393519081648574E-3</v>
      </c>
      <c r="AA5">
        <f>Perhitungan!Z$4+Perhitungan!Z$3*Return!$B5</f>
        <v>1.7774157289445605E-2</v>
      </c>
      <c r="AB5">
        <f>Perhitungan!AA$4+Perhitungan!AA$3*Return!$B5</f>
        <v>1.306174864694927E-2</v>
      </c>
      <c r="AC5">
        <f>Perhitungan!AB$4+Perhitungan!AB$3*Return!$B5</f>
        <v>1.2551319752851453E-2</v>
      </c>
      <c r="AD5">
        <f>Perhitungan!AC$4+Perhitungan!AC$3*Return!$B5</f>
        <v>1.2284269502495993E-2</v>
      </c>
      <c r="AE5">
        <f>Perhitungan!AD$4+Perhitungan!AD$3*Return!$B5</f>
        <v>1.0064822350454803E-2</v>
      </c>
      <c r="AF5">
        <f>Perhitungan!AE$4+Perhitungan!AE$3*Return!$B5</f>
        <v>16.307774396867259</v>
      </c>
    </row>
    <row r="6" spans="1:32" x14ac:dyDescent="0.3">
      <c r="A6" s="1">
        <v>45841</v>
      </c>
      <c r="C6">
        <f>Perhitungan!B$4+Perhitungan!B$3*Return!$B6</f>
        <v>7.1670705737551322E-4</v>
      </c>
      <c r="D6">
        <f>Perhitungan!C$4+Perhitungan!C$3*Return!$B6</f>
        <v>3.8801584575896097E-3</v>
      </c>
      <c r="E6">
        <f>Perhitungan!D$4+Perhitungan!D$3*Return!$B6</f>
        <v>2.7608852594943889E-3</v>
      </c>
      <c r="F6">
        <f>Perhitungan!E$4+Perhitungan!E$3*Return!$B6</f>
        <v>2.2130395924299454E-3</v>
      </c>
      <c r="G6">
        <f>Perhitungan!F$4+Perhitungan!F$3*Return!$B6</f>
        <v>4.0884503893250405E-3</v>
      </c>
      <c r="H6">
        <f>Perhitungan!G$4+Perhitungan!G$3*Return!$B6</f>
        <v>2.2977946343672663E-3</v>
      </c>
      <c r="I6">
        <f>Perhitungan!H$4+Perhitungan!H$3*Return!$B6</f>
        <v>-7.0285646680695721E-4</v>
      </c>
      <c r="J6">
        <f>Perhitungan!I$4+Perhitungan!I$3*Return!$B6</f>
        <v>7.2801776595530533E-4</v>
      </c>
      <c r="K6">
        <f>Perhitungan!J$4+Perhitungan!J$3*Return!$B6</f>
        <v>3.9026793641684186E-3</v>
      </c>
      <c r="L6">
        <f>Perhitungan!K$4+Perhitungan!K$3*Return!$B6</f>
        <v>5.1179037530137725E-4</v>
      </c>
      <c r="M6">
        <f>Perhitungan!L$4+Perhitungan!L$3*Return!$B6</f>
        <v>7.7762512905052567E-3</v>
      </c>
      <c r="N6">
        <f>Perhitungan!M$4+Perhitungan!M$3*Return!$B6</f>
        <v>1.64391139638155E-3</v>
      </c>
      <c r="O6">
        <f>Perhitungan!N$4+Perhitungan!N$3*Return!$B6</f>
        <v>1.0807439162932087E-3</v>
      </c>
      <c r="P6">
        <f>Perhitungan!O$4+Perhitungan!O$3*Return!$B6</f>
        <v>5.3171311611492828E-4</v>
      </c>
      <c r="Q6">
        <f>Perhitungan!P$4+Perhitungan!P$3*Return!$B6</f>
        <v>4.9226793906800275E-3</v>
      </c>
      <c r="R6">
        <f>Perhitungan!Q$4+Perhitungan!Q$3*Return!$B6</f>
        <v>7.6519629053782524E-4</v>
      </c>
      <c r="S6">
        <f>Perhitungan!R$4+Perhitungan!R$3*Return!$B6</f>
        <v>1.3971950410787682E-3</v>
      </c>
      <c r="T6">
        <f>Perhitungan!S$4+Perhitungan!S$3*Return!$B6</f>
        <v>2.6849850607501315E-3</v>
      </c>
      <c r="U6">
        <f>Perhitungan!T$4+Perhitungan!T$3*Return!$B6</f>
        <v>3.2479671135825145E-3</v>
      </c>
      <c r="V6">
        <f>Perhitungan!U$4+Perhitungan!U$3*Return!$B6</f>
        <v>2.4868275736038966E-3</v>
      </c>
      <c r="W6">
        <f>Perhitungan!V$4+Perhitungan!V$3*Return!$B6</f>
        <v>7.4455625133134935E-3</v>
      </c>
      <c r="X6">
        <f>Perhitungan!W$4+Perhitungan!W$3*Return!$B6</f>
        <v>-1.5897453870457813E-3</v>
      </c>
      <c r="Y6">
        <f>Perhitungan!X$4+Perhitungan!X$3*Return!$B6</f>
        <v>5.8541513139024649E-4</v>
      </c>
      <c r="Z6">
        <f>Perhitungan!Y$4+Perhitungan!Y$3*Return!$B6</f>
        <v>1.0922736419795688E-3</v>
      </c>
      <c r="AA6">
        <f>Perhitungan!Z$4+Perhitungan!Z$3*Return!$B6</f>
        <v>5.5742410246628002E-3</v>
      </c>
      <c r="AB6">
        <f>Perhitungan!AA$4+Perhitungan!AA$3*Return!$B6</f>
        <v>2.0122895560964549E-3</v>
      </c>
      <c r="AC6">
        <f>Perhitungan!AB$4+Perhitungan!AB$3*Return!$B6</f>
        <v>3.5017057871090493E-3</v>
      </c>
      <c r="AD6">
        <f>Perhitungan!AC$4+Perhitungan!AC$3*Return!$B6</f>
        <v>2.2153147628539128E-3</v>
      </c>
      <c r="AE6">
        <f>Perhitungan!AD$4+Perhitungan!AD$3*Return!$B6</f>
        <v>2.0586606233622662E-3</v>
      </c>
      <c r="AF6">
        <f>Perhitungan!AE$4+Perhitungan!AE$3*Return!$B6</f>
        <v>16.602809907790569</v>
      </c>
    </row>
    <row r="7" spans="1:32" x14ac:dyDescent="0.3">
      <c r="A7" s="2">
        <v>45933</v>
      </c>
      <c r="C7">
        <f>Perhitungan!B$4+Perhitungan!B$3*Return!$B7</f>
        <v>-6.5307996335847354E-3</v>
      </c>
      <c r="D7">
        <f>Perhitungan!C$4+Perhitungan!C$3*Return!$B7</f>
        <v>-4.4169217322127408E-3</v>
      </c>
      <c r="E7">
        <f>Perhitungan!D$4+Perhitungan!D$3*Return!$B7</f>
        <v>-5.4963176325654468E-3</v>
      </c>
      <c r="F7">
        <f>Perhitungan!E$4+Perhitungan!E$3*Return!$B7</f>
        <v>-4.9334841072198009E-3</v>
      </c>
      <c r="G7">
        <f>Perhitungan!F$4+Perhitungan!F$3*Return!$B7</f>
        <v>-3.5123170779373697E-3</v>
      </c>
      <c r="H7">
        <f>Perhitungan!G$4+Perhitungan!G$3*Return!$B7</f>
        <v>-3.3786516219225628E-3</v>
      </c>
      <c r="I7">
        <f>Perhitungan!H$4+Perhitungan!H$3*Return!$B7</f>
        <v>-4.2787172091077498E-3</v>
      </c>
      <c r="J7">
        <f>Perhitungan!I$4+Perhitungan!I$3*Return!$B7</f>
        <v>-1.695701050998476E-3</v>
      </c>
      <c r="K7">
        <f>Perhitungan!J$4+Perhitungan!J$3*Return!$B7</f>
        <v>-4.039847655727802E-3</v>
      </c>
      <c r="L7">
        <f>Perhitungan!K$4+Perhitungan!K$3*Return!$B7</f>
        <v>-2.5532669184772133E-3</v>
      </c>
      <c r="M7">
        <f>Perhitungan!L$4+Perhitungan!L$3*Return!$B7</f>
        <v>-4.1005500448124035E-4</v>
      </c>
      <c r="N7">
        <f>Perhitungan!M$4+Perhitungan!M$3*Return!$B7</f>
        <v>-1.022699640299771E-2</v>
      </c>
      <c r="O7">
        <f>Perhitungan!N$4+Perhitungan!N$3*Return!$B7</f>
        <v>-3.2492290599279269E-3</v>
      </c>
      <c r="P7">
        <f>Perhitungan!O$4+Perhitungan!O$3*Return!$B7</f>
        <v>-6.8890865992575975E-3</v>
      </c>
      <c r="Q7">
        <f>Perhitungan!P$4+Perhitungan!P$3*Return!$B7</f>
        <v>-4.0500280297627502E-3</v>
      </c>
      <c r="R7">
        <f>Perhitungan!Q$4+Perhitungan!Q$3*Return!$B7</f>
        <v>-4.174948034782848E-3</v>
      </c>
      <c r="S7">
        <f>Perhitungan!R$4+Perhitungan!R$3*Return!$B7</f>
        <v>-3.1928455118119207E-3</v>
      </c>
      <c r="T7">
        <f>Perhitungan!S$4+Perhitungan!S$3*Return!$B7</f>
        <v>-2.1370556713344851E-3</v>
      </c>
      <c r="U7">
        <f>Perhitungan!T$4+Perhitungan!T$3*Return!$B7</f>
        <v>-5.9967571121335144E-3</v>
      </c>
      <c r="V7">
        <f>Perhitungan!U$4+Perhitungan!U$3*Return!$B7</f>
        <v>-5.2580848470077397E-3</v>
      </c>
      <c r="W7">
        <f>Perhitungan!V$4+Perhitungan!V$3*Return!$B7</f>
        <v>-8.5658032897520733E-3</v>
      </c>
      <c r="X7">
        <f>Perhitungan!W$4+Perhitungan!W$3*Return!$B7</f>
        <v>-1.0548619754858077E-2</v>
      </c>
      <c r="Y7">
        <f>Perhitungan!X$4+Perhitungan!X$3*Return!$B7</f>
        <v>-6.1316265554604635E-3</v>
      </c>
      <c r="Z7">
        <f>Perhitungan!Y$4+Perhitungan!Y$3*Return!$B7</f>
        <v>-5.4583830127550512E-3</v>
      </c>
      <c r="AA7">
        <f>Perhitungan!Z$4+Perhitungan!Z$3*Return!$B7</f>
        <v>-4.2350992143778167E-3</v>
      </c>
      <c r="AB7">
        <f>Perhitungan!AA$4+Perhitungan!AA$3*Return!$B7</f>
        <v>-6.8720258217407149E-3</v>
      </c>
      <c r="AC7">
        <f>Perhitungan!AB$4+Perhitungan!AB$3*Return!$B7</f>
        <v>-3.7746345168152657E-3</v>
      </c>
      <c r="AD7">
        <f>Perhitungan!AC$4+Perhitungan!AC$3*Return!$B7</f>
        <v>-5.8806262869847761E-3</v>
      </c>
      <c r="AE7">
        <f>Perhitungan!AD$4+Perhitungan!AD$3*Return!$B7</f>
        <v>-4.3786921162250747E-3</v>
      </c>
      <c r="AF7">
        <f>Perhitungan!AE$4+Perhitungan!AE$3*Return!$B7</f>
        <v>16.840033151494318</v>
      </c>
    </row>
    <row r="8" spans="1:32" x14ac:dyDescent="0.3">
      <c r="A8" s="1">
        <v>45964</v>
      </c>
      <c r="C8">
        <f>Perhitungan!B$4+Perhitungan!B$3*Return!$B8</f>
        <v>-8.4556075783491086E-3</v>
      </c>
      <c r="D8">
        <f>Perhitungan!C$4+Perhitungan!C$3*Return!$B8</f>
        <v>-6.6204775961346395E-3</v>
      </c>
      <c r="E8">
        <f>Perhitungan!D$4+Perhitungan!D$3*Return!$B8</f>
        <v>-7.6892828005717048E-3</v>
      </c>
      <c r="F8">
        <f>Perhitungan!E$4+Perhitungan!E$3*Return!$B8</f>
        <v>-6.8314727785086524E-3</v>
      </c>
      <c r="G8">
        <f>Perhitungan!F$4+Perhitungan!F$3*Return!$B8</f>
        <v>-5.530944756548712E-3</v>
      </c>
      <c r="H8">
        <f>Perhitungan!G$4+Perhitungan!G$3*Return!$B8</f>
        <v>-4.8862140593277778E-3</v>
      </c>
      <c r="I8">
        <f>Perhitungan!H$4+Perhitungan!H$3*Return!$B8</f>
        <v>-5.2284017640370339E-3</v>
      </c>
      <c r="J8">
        <f>Perhitungan!I$4+Perhitungan!I$3*Return!$B8</f>
        <v>-2.339397350108679E-3</v>
      </c>
      <c r="K8">
        <f>Perhitungan!J$4+Perhitungan!J$3*Return!$B8</f>
        <v>-6.1492405492135473E-3</v>
      </c>
      <c r="L8">
        <f>Perhitungan!K$4+Perhitungan!K$3*Return!$B8</f>
        <v>-3.3672912280486131E-3</v>
      </c>
      <c r="M8">
        <f>Perhitungan!L$4+Perhitungan!L$3*Return!$B8</f>
        <v>-2.5841913063515453E-3</v>
      </c>
      <c r="N8">
        <f>Perhitungan!M$4+Perhitungan!M$3*Return!$B8</f>
        <v>-1.3379696858219114E-2</v>
      </c>
      <c r="O8">
        <f>Perhitungan!N$4+Perhitungan!N$3*Return!$B8</f>
        <v>-4.3991923149658083E-3</v>
      </c>
      <c r="P8">
        <f>Perhitungan!O$4+Perhitungan!O$3*Return!$B8</f>
        <v>-8.8599180669222018E-3</v>
      </c>
      <c r="Q8">
        <f>Perhitungan!P$4+Perhitungan!P$3*Return!$B8</f>
        <v>-6.4330183829080789E-3</v>
      </c>
      <c r="R8">
        <f>Perhitungan!Q$4+Perhitungan!Q$3*Return!$B8</f>
        <v>-5.486961869488256E-3</v>
      </c>
      <c r="S8">
        <f>Perhitungan!R$4+Perhitungan!R$3*Return!$B8</f>
        <v>-4.4118780563440138E-3</v>
      </c>
      <c r="T8">
        <f>Perhitungan!S$4+Perhitungan!S$3*Return!$B8</f>
        <v>-3.4177033073926368E-3</v>
      </c>
      <c r="U8">
        <f>Perhitungan!T$4+Perhitungan!T$3*Return!$B8</f>
        <v>-8.4519902558308595E-3</v>
      </c>
      <c r="V8">
        <f>Perhitungan!U$4+Perhitungan!U$3*Return!$B8</f>
        <v>-7.3149948430056046E-3</v>
      </c>
      <c r="W8">
        <f>Perhitungan!V$4+Perhitungan!V$3*Return!$B8</f>
        <v>-1.2818135218290918E-2</v>
      </c>
      <c r="X8">
        <f>Perhitungan!W$4+Perhitungan!W$3*Return!$B8</f>
        <v>-1.292793629703105E-2</v>
      </c>
      <c r="Y8">
        <f>Perhitungan!X$4+Perhitungan!X$3*Return!$B8</f>
        <v>-7.9155524979214725E-3</v>
      </c>
      <c r="Z8">
        <f>Perhitungan!Y$4+Perhitungan!Y$3*Return!$B8</f>
        <v>-7.1981200713194266E-3</v>
      </c>
      <c r="AA8">
        <f>Perhitungan!Z$4+Perhitungan!Z$3*Return!$B8</f>
        <v>-6.8402842566424133E-3</v>
      </c>
      <c r="AB8">
        <f>Perhitungan!AA$4+Perhitungan!AA$3*Return!$B8</f>
        <v>-9.2315408318313832E-3</v>
      </c>
      <c r="AC8">
        <f>Perhitungan!AB$4+Perhitungan!AB$3*Return!$B8</f>
        <v>-5.7071001526554825E-3</v>
      </c>
      <c r="AD8">
        <f>Perhitungan!AC$4+Perhitungan!AC$3*Return!$B8</f>
        <v>-8.0307631985533055E-3</v>
      </c>
      <c r="AE8">
        <f>Perhitungan!AD$4+Perhitungan!AD$3*Return!$B8</f>
        <v>-6.0883376846607934E-3</v>
      </c>
      <c r="AF8">
        <f>Perhitungan!AE$4+Perhitungan!AE$3*Return!$B8</f>
        <v>16.903035395387832</v>
      </c>
    </row>
    <row r="9" spans="1:32" x14ac:dyDescent="0.3">
      <c r="A9" s="2">
        <v>45994</v>
      </c>
      <c r="C9">
        <f>Perhitungan!B$4+Perhitungan!B$3*Return!$B9</f>
        <v>1.4001704482237698E-2</v>
      </c>
      <c r="D9">
        <f>Perhitungan!C$4+Perhitungan!C$3*Return!$B9</f>
        <v>1.9089070108941932E-2</v>
      </c>
      <c r="E9">
        <f>Perhitungan!D$4+Perhitungan!D$3*Return!$B9</f>
        <v>1.7896700076251094E-2</v>
      </c>
      <c r="F9">
        <f>Perhitungan!E$4+Perhitungan!E$3*Return!$B9</f>
        <v>1.5312930768106015E-2</v>
      </c>
      <c r="G9">
        <f>Perhitungan!F$4+Perhitungan!F$3*Return!$B9</f>
        <v>1.8020990300671939E-2</v>
      </c>
      <c r="H9">
        <f>Perhitungan!G$4+Perhitungan!G$3*Return!$B9</f>
        <v>1.2702969422441507E-2</v>
      </c>
      <c r="I9">
        <f>Perhitungan!H$4+Perhitungan!H$3*Return!$B9</f>
        <v>5.8518530048496543E-3</v>
      </c>
      <c r="J9">
        <f>Perhitungan!I$4+Perhitungan!I$3*Return!$B9</f>
        <v>5.1708005897342273E-3</v>
      </c>
      <c r="K9">
        <f>Perhitungan!J$4+Perhitungan!J$3*Return!$B9</f>
        <v>1.8461679514913964E-2</v>
      </c>
      <c r="L9">
        <f>Perhitungan!K$4+Perhitungan!K$3*Return!$B9</f>
        <v>6.1301747371526631E-3</v>
      </c>
      <c r="M9">
        <f>Perhitungan!L$4+Perhitungan!L$3*Return!$B9</f>
        <v>2.2782109537408005E-2</v>
      </c>
      <c r="N9">
        <f>Perhitungan!M$4+Perhitungan!M$3*Return!$B9</f>
        <v>2.3403805697994808E-2</v>
      </c>
      <c r="O9">
        <f>Perhitungan!N$4+Perhitungan!N$3*Return!$B9</f>
        <v>9.0177741656849632E-3</v>
      </c>
      <c r="P9">
        <f>Perhitungan!O$4+Perhitungan!O$3*Return!$B9</f>
        <v>1.4134364250208616E-2</v>
      </c>
      <c r="Q9">
        <f>Perhitungan!P$4+Perhitungan!P$3*Return!$B9</f>
        <v>2.1370045368734825E-2</v>
      </c>
      <c r="R9">
        <f>Perhitungan!Q$4+Perhitungan!Q$3*Return!$B9</f>
        <v>9.8206973668172222E-3</v>
      </c>
      <c r="S9">
        <f>Perhitungan!R$4+Perhitungan!R$3*Return!$B9</f>
        <v>9.8109405573435469E-3</v>
      </c>
      <c r="T9">
        <f>Perhitungan!S$4+Perhitungan!S$3*Return!$B9</f>
        <v>1.1523997074112901E-2</v>
      </c>
      <c r="U9">
        <f>Perhitungan!T$4+Perhitungan!T$3*Return!$B9</f>
        <v>2.0193951818279092E-2</v>
      </c>
      <c r="V9">
        <f>Perhitungan!U$4+Perhitungan!U$3*Return!$B9</f>
        <v>1.6683591502355273E-2</v>
      </c>
      <c r="W9">
        <f>Perhitungan!V$4+Perhitungan!V$3*Return!$B9</f>
        <v>3.6795097813165645E-2</v>
      </c>
      <c r="X9">
        <f>Perhitungan!W$4+Perhitungan!W$3*Return!$B9</f>
        <v>1.4832263999230617E-2</v>
      </c>
      <c r="Y9">
        <f>Perhitungan!X$4+Perhitungan!X$3*Return!$B9</f>
        <v>1.2898046953283801E-2</v>
      </c>
      <c r="Z9">
        <f>Perhitungan!Y$4+Perhitungan!Y$3*Return!$B9</f>
        <v>1.3099914407299847E-2</v>
      </c>
      <c r="AA9">
        <f>Perhitungan!Z$4+Perhitungan!Z$3*Return!$B9</f>
        <v>2.3555191629067884E-2</v>
      </c>
      <c r="AB9">
        <f>Perhitungan!AA$4+Perhitungan!AA$3*Return!$B9</f>
        <v>1.8297629045806167E-2</v>
      </c>
      <c r="AC9">
        <f>Perhitungan!AB$4+Perhitungan!AB$3*Return!$B9</f>
        <v>1.6839556488320029E-2</v>
      </c>
      <c r="AD9">
        <f>Perhitungan!AC$4+Perhitungan!AC$3*Return!$B9</f>
        <v>1.7055529554665678E-2</v>
      </c>
      <c r="AE9">
        <f>Perhitungan!AD$4+Perhitungan!AD$3*Return!$B9</f>
        <v>1.3858610346073936E-2</v>
      </c>
      <c r="AF9">
        <f>Perhitungan!AE$4+Perhitungan!AE$3*Return!$B9</f>
        <v>16.167969304517634</v>
      </c>
    </row>
    <row r="10" spans="1:32" x14ac:dyDescent="0.3">
      <c r="A10" s="3" t="s">
        <v>1</v>
      </c>
      <c r="C10">
        <f>Perhitungan!B$4+Perhitungan!B$3*Return!$B10</f>
        <v>-3.909988886630144E-3</v>
      </c>
      <c r="D10">
        <f>Perhitungan!C$4+Perhitungan!C$3*Return!$B10</f>
        <v>-1.4165689409693081E-3</v>
      </c>
      <c r="E10">
        <f>Perhitungan!D$4+Perhitungan!D$3*Return!$B10</f>
        <v>-2.5103850902351262E-3</v>
      </c>
      <c r="F10">
        <f>Perhitungan!E$4+Perhitungan!E$3*Return!$B10</f>
        <v>-2.3491903750361364E-3</v>
      </c>
      <c r="G10">
        <f>Perhitungan!F$4+Perhitungan!F$3*Return!$B10</f>
        <v>-7.6376175916127069E-4</v>
      </c>
      <c r="H10">
        <f>Perhitungan!G$4+Perhitungan!G$3*Return!$B10</f>
        <v>-1.3259606776630209E-3</v>
      </c>
      <c r="I10">
        <f>Perhitungan!H$4+Perhitungan!H$3*Return!$B10</f>
        <v>-2.9856305432169657E-3</v>
      </c>
      <c r="J10">
        <f>Perhitungan!I$4+Perhitungan!I$3*Return!$B10</f>
        <v>-8.1924676210606753E-4</v>
      </c>
      <c r="K10">
        <f>Perhitungan!J$4+Perhitungan!J$3*Return!$B10</f>
        <v>-1.1677067858635942E-3</v>
      </c>
      <c r="L10">
        <f>Perhitungan!K$4+Perhitungan!K$3*Return!$B10</f>
        <v>-1.4448946964017379E-3</v>
      </c>
      <c r="M10">
        <f>Perhitungan!L$4+Perhitungan!L$3*Return!$B10</f>
        <v>2.5502402295366827E-3</v>
      </c>
      <c r="N10">
        <f>Perhitungan!M$4+Perhitungan!M$3*Return!$B10</f>
        <v>-5.9342921581675232E-3</v>
      </c>
      <c r="O10">
        <f>Perhitungan!N$4+Perhitungan!N$3*Return!$B10</f>
        <v>-1.6834437224328102E-3</v>
      </c>
      <c r="P10">
        <f>Perhitungan!O$4+Perhitungan!O$3*Return!$B10</f>
        <v>-4.2056104088452669E-3</v>
      </c>
      <c r="Q10">
        <f>Perhitungan!P$4+Perhitungan!P$3*Return!$B10</f>
        <v>-8.0535796052271088E-4</v>
      </c>
      <c r="R10">
        <f>Perhitungan!Q$4+Perhitungan!Q$3*Return!$B10</f>
        <v>-2.3885152805425427E-3</v>
      </c>
      <c r="S10">
        <f>Perhitungan!R$4+Perhitungan!R$3*Return!$B10</f>
        <v>-1.5330157078632383E-3</v>
      </c>
      <c r="T10">
        <f>Perhitungan!S$4+Perhitungan!S$3*Return!$B10</f>
        <v>-3.9333100686980986E-4</v>
      </c>
      <c r="U10">
        <f>Perhitungan!T$4+Perhitungan!T$3*Return!$B10</f>
        <v>-2.6537215501783616E-3</v>
      </c>
      <c r="V10">
        <f>Perhitungan!U$4+Perhitungan!U$3*Return!$B10</f>
        <v>-2.4574044790298078E-3</v>
      </c>
      <c r="W10">
        <f>Perhitungan!V$4+Perhitungan!V$3*Return!$B10</f>
        <v>-2.7758452587460106E-3</v>
      </c>
      <c r="X10">
        <f>Perhitungan!W$4+Perhitungan!W$3*Return!$B10</f>
        <v>-7.3089519318446441E-3</v>
      </c>
      <c r="Y10">
        <f>Perhitungan!X$4+Perhitungan!X$3*Return!$B10</f>
        <v>-3.7026401755516644E-3</v>
      </c>
      <c r="Z10">
        <f>Perhitungan!Y$4+Perhitungan!Y$3*Return!$B10</f>
        <v>-3.0895640392242458E-3</v>
      </c>
      <c r="AA10">
        <f>Perhitungan!Z$4+Perhitungan!Z$3*Return!$B10</f>
        <v>-6.8788975114577027E-4</v>
      </c>
      <c r="AB10">
        <f>Perhitungan!AA$4+Perhitungan!AA$3*Return!$B10</f>
        <v>-3.6593196850755834E-3</v>
      </c>
      <c r="AC10">
        <f>Perhitungan!AB$4+Perhitungan!AB$3*Return!$B10</f>
        <v>-1.1433970885270776E-3</v>
      </c>
      <c r="AD10">
        <f>Perhitungan!AC$4+Perhitungan!AC$3*Return!$B10</f>
        <v>-2.9530085261632501E-3</v>
      </c>
      <c r="AE10">
        <f>Perhitungan!AD$4+Perhitungan!AD$3*Return!$B10</f>
        <v>-2.0508455944838484E-3</v>
      </c>
      <c r="AF10">
        <f>Perhitungan!AE$4+Perhitungan!AE$3*Return!$B10</f>
        <v>16.75424954990045</v>
      </c>
    </row>
    <row r="11" spans="1:32" x14ac:dyDescent="0.3">
      <c r="A11" s="4" t="s">
        <v>2</v>
      </c>
      <c r="C11">
        <f>Perhitungan!B$4+Perhitungan!B$3*Return!$B11</f>
        <v>-1.8669171089693817E-2</v>
      </c>
      <c r="D11">
        <f>Perhitungan!C$4+Perhitungan!C$3*Return!$B11</f>
        <v>-1.8313154690584955E-2</v>
      </c>
      <c r="E11">
        <f>Perhitungan!D$4+Perhitungan!D$3*Return!$B11</f>
        <v>-1.9325762732256793E-2</v>
      </c>
      <c r="F11">
        <f>Perhitungan!E$4+Perhitungan!E$3*Return!$B11</f>
        <v>-1.6902725804427823E-2</v>
      </c>
      <c r="G11">
        <f>Perhitungan!F$4+Perhitungan!F$3*Return!$B11</f>
        <v>-1.624234173375684E-2</v>
      </c>
      <c r="H11">
        <f>Perhitungan!G$4+Perhitungan!G$3*Return!$B11</f>
        <v>-1.2885757465015827E-2</v>
      </c>
      <c r="I11">
        <f>Perhitungan!H$4+Perhitungan!H$3*Return!$B11</f>
        <v>-1.0267690771492151E-2</v>
      </c>
      <c r="J11">
        <f>Perhitungan!I$4+Perhitungan!I$3*Return!$B11</f>
        <v>-5.755028011267661E-3</v>
      </c>
      <c r="K11">
        <f>Perhitungan!J$4+Perhitungan!J$3*Return!$B11</f>
        <v>-1.7342262869491445E-2</v>
      </c>
      <c r="L11">
        <f>Perhitungan!K$4+Perhitungan!K$3*Return!$B11</f>
        <v>-7.6867294391184436E-3</v>
      </c>
      <c r="M11">
        <f>Perhitungan!L$4+Perhitungan!L$3*Return!$B11</f>
        <v>-1.4120760064743075E-2</v>
      </c>
      <c r="N11">
        <f>Perhitungan!M$4+Perhitungan!M$3*Return!$B11</f>
        <v>-3.0108797763707649E-2</v>
      </c>
      <c r="O11">
        <f>Perhitungan!N$4+Perhitungan!N$3*Return!$B11</f>
        <v>-1.050121551836645E-2</v>
      </c>
      <c r="P11">
        <f>Perhitungan!O$4+Perhitungan!O$3*Return!$B11</f>
        <v>-1.9317695124577317E-2</v>
      </c>
      <c r="Q11">
        <f>Perhitungan!P$4+Perhitungan!P$3*Return!$B11</f>
        <v>-1.9077824523164859E-2</v>
      </c>
      <c r="R11">
        <f>Perhitungan!Q$4+Perhitungan!Q$3*Return!$B11</f>
        <v>-1.2448870284806558E-2</v>
      </c>
      <c r="S11">
        <f>Perhitungan!R$4+Perhitungan!R$3*Return!$B11</f>
        <v>-1.0880402019912158E-2</v>
      </c>
      <c r="T11">
        <f>Perhitungan!S$4+Perhitungan!S$3*Return!$B11</f>
        <v>-1.0213173994279581E-2</v>
      </c>
      <c r="U11">
        <f>Perhitungan!T$4+Perhitungan!T$3*Return!$B11</f>
        <v>-2.1480136630913051E-2</v>
      </c>
      <c r="V11">
        <f>Perhitungan!U$4+Perhitungan!U$3*Return!$B11</f>
        <v>-1.8229528388229384E-2</v>
      </c>
      <c r="W11">
        <f>Perhitungan!V$4+Perhitungan!V$3*Return!$B11</f>
        <v>-3.5382184967559363E-2</v>
      </c>
      <c r="X11">
        <f>Perhitungan!W$4+Perhitungan!W$3*Return!$B11</f>
        <v>-2.55532481797974E-2</v>
      </c>
      <c r="Y11">
        <f>Perhitungan!X$4+Perhitungan!X$3*Return!$B11</f>
        <v>-1.7381557125770945E-2</v>
      </c>
      <c r="Z11">
        <f>Perhitungan!Y$4+Perhitungan!Y$3*Return!$B11</f>
        <v>-1.6429646255020035E-2</v>
      </c>
      <c r="AA11">
        <f>Perhitungan!Z$4+Perhitungan!Z$3*Return!$B11</f>
        <v>-2.0664116894257584E-2</v>
      </c>
      <c r="AB11">
        <f>Perhitungan!AA$4+Perhitungan!AA$3*Return!$B11</f>
        <v>-2.1751780306675364E-2</v>
      </c>
      <c r="AC11">
        <f>Perhitungan!AB$4+Perhitungan!AB$3*Return!$B11</f>
        <v>-1.5961297491580831E-2</v>
      </c>
      <c r="AD11">
        <f>Perhitungan!AC$4+Perhitungan!AC$3*Return!$B11</f>
        <v>-1.9439984551845292E-2</v>
      </c>
      <c r="AE11">
        <f>Perhitungan!AD$4+Perhitungan!AD$3*Return!$B11</f>
        <v>-1.5160190096016476E-2</v>
      </c>
      <c r="AF11">
        <f>Perhitungan!AE$4+Perhitungan!AE$3*Return!$B11</f>
        <v>17.237342732966081</v>
      </c>
    </row>
    <row r="12" spans="1:32" x14ac:dyDescent="0.3">
      <c r="A12" s="3" t="s">
        <v>3</v>
      </c>
      <c r="C12">
        <f>Perhitungan!B$4+Perhitungan!B$3*Return!$B12</f>
        <v>-7.3976750316533252E-3</v>
      </c>
      <c r="D12">
        <f>Perhitungan!C$4+Perhitungan!C$3*Return!$B12</f>
        <v>-5.4093367790747325E-3</v>
      </c>
      <c r="E12">
        <f>Perhitungan!D$4+Perhitungan!D$3*Return!$B12</f>
        <v>-6.4839629496667803E-3</v>
      </c>
      <c r="F12">
        <f>Perhitungan!E$4+Perhitungan!E$3*Return!$B12</f>
        <v>-5.7882809140537466E-3</v>
      </c>
      <c r="G12">
        <f>Perhitungan!F$4+Perhitungan!F$3*Return!$B12</f>
        <v>-4.4214460521856003E-3</v>
      </c>
      <c r="H12">
        <f>Perhitungan!G$4+Perhitungan!G$3*Return!$B12</f>
        <v>-4.0576122380160708E-3</v>
      </c>
      <c r="I12">
        <f>Perhitungan!H$4+Perhitungan!H$3*Return!$B12</f>
        <v>-4.706426466456381E-3</v>
      </c>
      <c r="J12">
        <f>Perhitungan!I$4+Perhitungan!I$3*Return!$B12</f>
        <v>-1.9856024341698463E-3</v>
      </c>
      <c r="K12">
        <f>Perhitungan!J$4+Perhitungan!J$3*Return!$B12</f>
        <v>-4.9898545430109671E-3</v>
      </c>
      <c r="L12">
        <f>Perhitungan!K$4+Perhitungan!K$3*Return!$B12</f>
        <v>-2.9198788962159061E-3</v>
      </c>
      <c r="M12">
        <f>Perhitungan!L$4+Perhitungan!L$3*Return!$B12</f>
        <v>-1.3892203686235354E-3</v>
      </c>
      <c r="N12">
        <f>Perhitungan!M$4+Perhitungan!M$3*Return!$B12</f>
        <v>-1.1646877523888261E-2</v>
      </c>
      <c r="O12">
        <f>Perhitungan!N$4+Perhitungan!N$3*Return!$B12</f>
        <v>-3.7671377984006618E-3</v>
      </c>
      <c r="P12">
        <f>Perhitungan!O$4+Perhitungan!O$3*Return!$B12</f>
        <v>-7.7766896028221939E-3</v>
      </c>
      <c r="Q12">
        <f>Perhitungan!P$4+Perhitungan!P$3*Return!$B12</f>
        <v>-5.1232549543478653E-3</v>
      </c>
      <c r="R12">
        <f>Perhitungan!Q$4+Perhitungan!Q$3*Return!$B12</f>
        <v>-4.7658394628473637E-3</v>
      </c>
      <c r="S12">
        <f>Perhitungan!R$4+Perhitungan!R$3*Return!$B12</f>
        <v>-3.7418609734190195E-3</v>
      </c>
      <c r="T12">
        <f>Perhitungan!S$4+Perhitungan!S$3*Return!$B12</f>
        <v>-2.7138207103157685E-3</v>
      </c>
      <c r="U12">
        <f>Perhitungan!T$4+Perhitungan!T$3*Return!$B12</f>
        <v>-7.102520008937423E-3</v>
      </c>
      <c r="V12">
        <f>Perhitungan!U$4+Perhitungan!U$3*Return!$B12</f>
        <v>-6.1844550214565919E-3</v>
      </c>
      <c r="W12">
        <f>Perhitungan!V$4+Perhitungan!V$3*Return!$B12</f>
        <v>-1.0480925233891355E-2</v>
      </c>
      <c r="X12">
        <f>Perhitungan!W$4+Perhitungan!W$3*Return!$B12</f>
        <v>-1.1620192105875084E-2</v>
      </c>
      <c r="Y12">
        <f>Perhitungan!X$4+Perhitungan!X$3*Return!$B12</f>
        <v>-6.9350529522094022E-3</v>
      </c>
      <c r="Z12">
        <f>Perhitungan!Y$4+Perhitungan!Y$3*Return!$B12</f>
        <v>-6.2419080700366961E-3</v>
      </c>
      <c r="AA12">
        <f>Perhitungan!Z$4+Perhitungan!Z$3*Return!$B12</f>
        <v>-5.4083959200041621E-3</v>
      </c>
      <c r="AB12">
        <f>Perhitungan!AA$4+Perhitungan!AA$3*Return!$B12</f>
        <v>-7.9346801604163325E-3</v>
      </c>
      <c r="AC12">
        <f>Perhitungan!AB$4+Perhitungan!AB$3*Return!$B12</f>
        <v>-4.6449587077973063E-3</v>
      </c>
      <c r="AD12">
        <f>Perhitungan!AC$4+Perhitungan!AC$3*Return!$B12</f>
        <v>-6.8489830501558182E-3</v>
      </c>
      <c r="AE12">
        <f>Perhitungan!AD$4+Perhitungan!AD$3*Return!$B12</f>
        <v>-5.1486648746632366E-3</v>
      </c>
      <c r="AF12">
        <f>Perhitungan!AE$4+Perhitungan!AE$3*Return!$B12</f>
        <v>16.868407460423665</v>
      </c>
    </row>
    <row r="13" spans="1:32" x14ac:dyDescent="0.3">
      <c r="A13" s="4" t="s">
        <v>4</v>
      </c>
      <c r="C13">
        <f>Perhitungan!B$4+Perhitungan!B$3*Return!$B13</f>
        <v>-3.4629136108954343E-2</v>
      </c>
      <c r="D13">
        <f>Perhitungan!C$4+Perhitungan!C$3*Return!$B13</f>
        <v>-3.6584418897406969E-2</v>
      </c>
      <c r="E13">
        <f>Perhitungan!D$4+Perhitungan!D$3*Return!$B13</f>
        <v>-3.7509211873267688E-2</v>
      </c>
      <c r="F13">
        <f>Perhitungan!E$4+Perhitungan!E$3*Return!$B13</f>
        <v>-3.2640312966367269E-2</v>
      </c>
      <c r="G13">
        <f>Perhitungan!F$4+Perhitungan!F$3*Return!$B13</f>
        <v>-3.2980233545343275E-2</v>
      </c>
      <c r="H13">
        <f>Perhitungan!G$4+Perhitungan!G$3*Return!$B13</f>
        <v>-2.5386040327410073E-2</v>
      </c>
      <c r="I13">
        <f>Perhitungan!H$4+Perhitungan!H$3*Return!$B13</f>
        <v>-1.8142207456250965E-2</v>
      </c>
      <c r="J13">
        <f>Perhitungan!I$4+Perhitungan!I$3*Return!$B13</f>
        <v>-1.1092376313871392E-2</v>
      </c>
      <c r="K13">
        <f>Perhitungan!J$4+Perhitungan!J$3*Return!$B13</f>
        <v>-3.4832754262922642E-2</v>
      </c>
      <c r="L13">
        <f>Perhitungan!K$4+Perhitungan!K$3*Return!$B13</f>
        <v>-1.4436389601799063E-2</v>
      </c>
      <c r="M13">
        <f>Perhitungan!L$4+Perhitungan!L$3*Return!$B13</f>
        <v>-3.214808555419716E-2</v>
      </c>
      <c r="N13">
        <f>Perhitungan!M$4+Perhitungan!M$3*Return!$B13</f>
        <v>-5.6250101429045525E-2</v>
      </c>
      <c r="O13">
        <f>Perhitungan!N$4+Perhitungan!N$3*Return!$B13</f>
        <v>-2.0036386740909545E-2</v>
      </c>
      <c r="P13">
        <f>Perhitungan!O$4+Perhitungan!O$3*Return!$B13</f>
        <v>-3.5659274225153768E-2</v>
      </c>
      <c r="Q13">
        <f>Perhitungan!P$4+Perhitungan!P$3*Return!$B13</f>
        <v>-3.8836908945528111E-2</v>
      </c>
      <c r="R13">
        <f>Perhitungan!Q$4+Perhitungan!Q$3*Return!$B13</f>
        <v>-2.3327719244071187E-2</v>
      </c>
      <c r="S13">
        <f>Perhitungan!R$4+Perhitungan!R$3*Return!$B13</f>
        <v>-2.0988276325498562E-2</v>
      </c>
      <c r="T13">
        <f>Perhitungan!S$4+Perhitungan!S$3*Return!$B13</f>
        <v>-2.0831943274135636E-2</v>
      </c>
      <c r="U13">
        <f>Perhitungan!T$4+Perhitungan!T$3*Return!$B13</f>
        <v>-4.1838237912719435E-2</v>
      </c>
      <c r="V13">
        <f>Perhitungan!U$4+Perhitungan!U$3*Return!$B13</f>
        <v>-3.5284846386676207E-2</v>
      </c>
      <c r="W13">
        <f>Perhitungan!V$4+Perhitungan!V$3*Return!$B13</f>
        <v>-7.064132290616168E-2</v>
      </c>
      <c r="X13">
        <f>Perhitungan!W$4+Perhitungan!W$3*Return!$B13</f>
        <v>-4.5281870396949114E-2</v>
      </c>
      <c r="Y13">
        <f>Perhitungan!X$4+Perhitungan!X$3*Return!$B13</f>
        <v>-3.2173368285982266E-2</v>
      </c>
      <c r="Z13">
        <f>Perhitungan!Y$4+Perhitungan!Y$3*Return!$B13</f>
        <v>-3.0855055643486395E-2</v>
      </c>
      <c r="AA13">
        <f>Perhitungan!Z$4+Perhitungan!Z$3*Return!$B13</f>
        <v>-4.2265577058811107E-2</v>
      </c>
      <c r="AB13">
        <f>Perhitungan!AA$4+Perhitungan!AA$3*Return!$B13</f>
        <v>-4.1316213800364612E-2</v>
      </c>
      <c r="AC13">
        <f>Perhitungan!AB$4+Perhitungan!AB$3*Return!$B13</f>
        <v>-3.1984757927114568E-2</v>
      </c>
      <c r="AD13">
        <f>Perhitungan!AC$4+Perhitungan!AC$3*Return!$B13</f>
        <v>-3.7268313860541823E-2</v>
      </c>
      <c r="AE13">
        <f>Perhitungan!AD$4+Perhitungan!AD$3*Return!$B13</f>
        <v>-2.9336089328865961E-2</v>
      </c>
      <c r="AF13">
        <f>Perhitungan!AE$4+Perhitungan!AE$3*Return!$B13</f>
        <v>17.75973958373266</v>
      </c>
    </row>
    <row r="14" spans="1:32" x14ac:dyDescent="0.3">
      <c r="A14" s="3" t="s">
        <v>5</v>
      </c>
      <c r="C14">
        <f>Perhitungan!B$4+Perhitungan!B$3*Return!$B14</f>
        <v>1.0544374489476345E-2</v>
      </c>
      <c r="D14">
        <f>Perhitungan!C$4+Perhitungan!C$3*Return!$B14</f>
        <v>1.5131054557424171E-2</v>
      </c>
      <c r="E14">
        <f>Perhitungan!D$4+Perhitungan!D$3*Return!$B14</f>
        <v>1.3957707477507892E-2</v>
      </c>
      <c r="F14">
        <f>Perhitungan!E$4+Perhitungan!E$3*Return!$B14</f>
        <v>1.1903773414502352E-2</v>
      </c>
      <c r="G14">
        <f>Perhitungan!F$4+Perhitungan!F$3*Return!$B14</f>
        <v>1.4395141791232434E-2</v>
      </c>
      <c r="H14">
        <f>Perhitungan!G$4+Perhitungan!G$3*Return!$B14</f>
        <v>9.9950936341173333E-3</v>
      </c>
      <c r="I14">
        <f>Perhitungan!H$4+Perhitungan!H$3*Return!$B14</f>
        <v>4.146034559767765E-3</v>
      </c>
      <c r="J14">
        <f>Perhitungan!I$4+Perhitungan!I$3*Return!$B14</f>
        <v>4.0145966540654048E-3</v>
      </c>
      <c r="K14">
        <f>Perhitungan!J$4+Perhitungan!J$3*Return!$B14</f>
        <v>1.4672798999845908E-2</v>
      </c>
      <c r="L14">
        <f>Perhitungan!K$4+Perhitungan!K$3*Return!$B14</f>
        <v>4.6680285173319762E-3</v>
      </c>
      <c r="M14">
        <f>Perhitungan!L$4+Perhitungan!L$3*Return!$B14</f>
        <v>1.8876937249828103E-2</v>
      </c>
      <c r="N14">
        <f>Perhitungan!M$4+Perhitungan!M$3*Return!$B14</f>
        <v>1.774094158125112E-2</v>
      </c>
      <c r="O14">
        <f>Perhitungan!N$4+Perhitungan!N$3*Return!$B14</f>
        <v>6.9522161638955202E-3</v>
      </c>
      <c r="P14">
        <f>Perhitungan!O$4+Perhitungan!O$3*Return!$B14</f>
        <v>1.0594367045620586E-2</v>
      </c>
      <c r="Q14">
        <f>Perhitungan!P$4+Perhitungan!P$3*Return!$B14</f>
        <v>1.7089730523401583E-2</v>
      </c>
      <c r="R14">
        <f>Perhitungan!Q$4+Perhitungan!Q$3*Return!$B14</f>
        <v>7.4640649589017768E-3</v>
      </c>
      <c r="S14">
        <f>Perhitungan!R$4+Perhitungan!R$3*Return!$B14</f>
        <v>7.6213206579520115E-3</v>
      </c>
      <c r="T14">
        <f>Perhitungan!S$4+Perhitungan!S$3*Return!$B14</f>
        <v>9.2237044686369896E-3</v>
      </c>
      <c r="U14">
        <f>Perhitungan!T$4+Perhitungan!T$3*Return!$B14</f>
        <v>1.5783874849293125E-2</v>
      </c>
      <c r="V14">
        <f>Perhitungan!U$4+Perhitungan!U$3*Return!$B14</f>
        <v>1.2988980494063431E-2</v>
      </c>
      <c r="W14">
        <f>Perhitungan!V$4+Perhitungan!V$3*Return!$B14</f>
        <v>2.915708137848504E-2</v>
      </c>
      <c r="X14">
        <f>Perhitungan!W$4+Perhitungan!W$3*Return!$B14</f>
        <v>1.0558548034007475E-2</v>
      </c>
      <c r="Y14">
        <f>Perhitungan!X$4+Perhitungan!X$3*Return!$B14</f>
        <v>9.6937684783783354E-3</v>
      </c>
      <c r="Z14">
        <f>Perhitungan!Y$4+Perhitungan!Y$3*Return!$B14</f>
        <v>9.9750077752102043E-3</v>
      </c>
      <c r="AA14">
        <f>Perhitungan!Z$4+Perhitungan!Z$3*Return!$B14</f>
        <v>1.8875771841855172E-2</v>
      </c>
      <c r="AB14">
        <f>Perhitungan!AA$4+Perhitungan!AA$3*Return!$B14</f>
        <v>1.4059480489246825E-2</v>
      </c>
      <c r="AC14">
        <f>Perhitungan!AB$4+Perhitungan!AB$3*Return!$B14</f>
        <v>1.3368471790782115E-2</v>
      </c>
      <c r="AD14">
        <f>Perhitungan!AC$4+Perhitungan!AC$3*Return!$B14</f>
        <v>1.3193464846792111E-2</v>
      </c>
      <c r="AE14">
        <f>Perhitungan!AD$4+Perhitungan!AD$3*Return!$B14</f>
        <v>1.0787753891630154E-2</v>
      </c>
      <c r="AF14">
        <f>Perhitungan!AE$4+Perhitungan!AE$3*Return!$B14</f>
        <v>16.281133606450613</v>
      </c>
    </row>
    <row r="15" spans="1:32" x14ac:dyDescent="0.3">
      <c r="A15" s="4" t="s">
        <v>6</v>
      </c>
      <c r="C15">
        <f>Perhitungan!B$4+Perhitungan!B$3*Return!$B15</f>
        <v>7.8888878404552859E-3</v>
      </c>
      <c r="D15">
        <f>Perhitungan!C$4+Perhitungan!C$3*Return!$B15</f>
        <v>1.2091004149832473E-2</v>
      </c>
      <c r="E15">
        <f>Perhitungan!D$4+Perhitungan!D$3*Return!$B15</f>
        <v>1.0932268112895483E-2</v>
      </c>
      <c r="F15">
        <f>Perhitungan!E$4+Perhitungan!E$3*Return!$B15</f>
        <v>9.2852869362486726E-3</v>
      </c>
      <c r="G15">
        <f>Perhitungan!F$4+Perhitungan!F$3*Return!$B15</f>
        <v>1.1610220384149923E-2</v>
      </c>
      <c r="H15">
        <f>Perhitungan!G$4+Perhitungan!G$3*Return!$B15</f>
        <v>7.9152435711619534E-3</v>
      </c>
      <c r="I15">
        <f>Perhitungan!H$4+Perhitungan!H$3*Return!$B15</f>
        <v>2.8358390863669433E-3</v>
      </c>
      <c r="J15">
        <f>Perhitungan!I$4+Perhitungan!I$3*Return!$B15</f>
        <v>3.1265460135010232E-3</v>
      </c>
      <c r="K15">
        <f>Perhitungan!J$4+Perhitungan!J$3*Return!$B15</f>
        <v>1.1762656883367369E-2</v>
      </c>
      <c r="L15">
        <f>Perhitungan!K$4+Perhitungan!K$3*Return!$B15</f>
        <v>3.5449914413861697E-3</v>
      </c>
      <c r="M15">
        <f>Perhitungan!L$4+Perhitungan!L$3*Return!$B15</f>
        <v>1.5877474400314891E-2</v>
      </c>
      <c r="N15">
        <f>Perhitungan!M$4+Perhitungan!M$3*Return!$B15</f>
        <v>1.3391440640144024E-2</v>
      </c>
      <c r="O15">
        <f>Perhitungan!N$4+Perhitungan!N$3*Return!$B15</f>
        <v>5.3657139474410269E-3</v>
      </c>
      <c r="P15">
        <f>Perhitungan!O$4+Perhitungan!O$3*Return!$B15</f>
        <v>7.8753858277336216E-3</v>
      </c>
      <c r="Q15">
        <f>Perhitungan!P$4+Perhitungan!P$3*Return!$B15</f>
        <v>1.3802130280096244E-2</v>
      </c>
      <c r="R15">
        <f>Perhitungan!Q$4+Perhitungan!Q$3*Return!$B15</f>
        <v>5.6539959435135245E-3</v>
      </c>
      <c r="S15">
        <f>Perhitungan!R$4+Perhitungan!R$3*Return!$B15</f>
        <v>5.9395296743204352E-3</v>
      </c>
      <c r="T15">
        <f>Perhitungan!S$4+Perhitungan!S$3*Return!$B15</f>
        <v>7.456908613028077E-3</v>
      </c>
      <c r="U15">
        <f>Perhitungan!T$4+Perhitungan!T$3*Return!$B15</f>
        <v>1.2396607641124761E-2</v>
      </c>
      <c r="V15">
        <f>Perhitungan!U$4+Perhitungan!U$3*Return!$B15</f>
        <v>1.0151244372146635E-2</v>
      </c>
      <c r="W15">
        <f>Perhitungan!V$4+Perhitungan!V$3*Return!$B15</f>
        <v>2.3290516512023414E-2</v>
      </c>
      <c r="X15">
        <f>Perhitungan!W$4+Perhitungan!W$3*Return!$B15</f>
        <v>7.2760162215628156E-3</v>
      </c>
      <c r="Y15">
        <f>Perhitungan!X$4+Perhitungan!X$3*Return!$B15</f>
        <v>7.2326442213151571E-3</v>
      </c>
      <c r="Z15">
        <f>Perhitungan!Y$4+Perhitungan!Y$3*Return!$B15</f>
        <v>7.5748469984474043E-3</v>
      </c>
      <c r="AA15">
        <f>Perhitungan!Z$4+Perhitungan!Z$3*Return!$B15</f>
        <v>1.5281629311022112E-2</v>
      </c>
      <c r="AB15">
        <f>Perhitungan!AA$4+Perhitungan!AA$3*Return!$B15</f>
        <v>1.080426709276036E-2</v>
      </c>
      <c r="AC15">
        <f>Perhitungan!AB$4+Perhitungan!AB$3*Return!$B15</f>
        <v>1.0702420505185471E-2</v>
      </c>
      <c r="AD15">
        <f>Perhitungan!AC$4+Perhitungan!AC$3*Return!$B15</f>
        <v>1.0227111825562994E-2</v>
      </c>
      <c r="AE15">
        <f>Perhitungan!AD$4+Perhitungan!AD$3*Return!$B15</f>
        <v>8.4291076724642023E-3</v>
      </c>
      <c r="AF15">
        <f>Perhitungan!AE$4+Perhitungan!AE$3*Return!$B15</f>
        <v>16.368052209406649</v>
      </c>
    </row>
    <row r="16" spans="1:32" x14ac:dyDescent="0.3">
      <c r="A16" s="3" t="s">
        <v>7</v>
      </c>
      <c r="C16">
        <f>Perhitungan!B$4+Perhitungan!B$3*Return!$B16</f>
        <v>-1.8261150267080906E-2</v>
      </c>
      <c r="D16">
        <f>Perhitungan!C$4+Perhitungan!C$3*Return!$B16</f>
        <v>-1.7846044879075436E-2</v>
      </c>
      <c r="E16">
        <f>Perhitungan!D$4+Perhitungan!D$3*Return!$B16</f>
        <v>-1.8860897936657198E-2</v>
      </c>
      <c r="F16">
        <f>Perhitungan!E$4+Perhitungan!E$3*Return!$B16</f>
        <v>-1.6500390131886703E-2</v>
      </c>
      <c r="G16">
        <f>Perhitungan!F$4+Perhitungan!F$3*Return!$B16</f>
        <v>-1.5814433002282323E-2</v>
      </c>
      <c r="H16">
        <f>Perhitungan!G$4+Perhitungan!G$3*Return!$B16</f>
        <v>-1.2566184352527609E-2</v>
      </c>
      <c r="I16">
        <f>Perhitungan!H$4+Perhitungan!H$3*Return!$B16</f>
        <v>-1.0066376622525222E-2</v>
      </c>
      <c r="J16">
        <f>Perhitungan!I$4+Perhitungan!I$3*Return!$B16</f>
        <v>-5.6185772582508543E-3</v>
      </c>
      <c r="K16">
        <f>Perhitungan!J$4+Perhitungan!J$3*Return!$B16</f>
        <v>-1.6895113726141851E-2</v>
      </c>
      <c r="L16">
        <f>Perhitungan!K$4+Perhitungan!K$3*Return!$B16</f>
        <v>-7.5141725513927496E-3</v>
      </c>
      <c r="M16">
        <f>Perhitungan!L$4+Perhitungan!L$3*Return!$B16</f>
        <v>-1.3659886612524284E-2</v>
      </c>
      <c r="N16">
        <f>Perhitungan!M$4+Perhitungan!M$3*Return!$B16</f>
        <v>-2.9440488264731113E-2</v>
      </c>
      <c r="O16">
        <f>Perhitungan!N$4+Perhitungan!N$3*Return!$B16</f>
        <v>-1.0257446286962631E-2</v>
      </c>
      <c r="P16">
        <f>Perhitungan!O$4+Perhitungan!O$3*Return!$B16</f>
        <v>-1.8899918234755529E-2</v>
      </c>
      <c r="Q16">
        <f>Perhitungan!P$4+Perhitungan!P$3*Return!$B16</f>
        <v>-1.8572678185415296E-2</v>
      </c>
      <c r="R16">
        <f>Perhitungan!Q$4+Perhitungan!Q$3*Return!$B16</f>
        <v>-1.2170749568621778E-2</v>
      </c>
      <c r="S16">
        <f>Perhitungan!R$4+Perhitungan!R$3*Return!$B16</f>
        <v>-1.0621991479284021E-2</v>
      </c>
      <c r="T16">
        <f>Perhitungan!S$4+Perhitungan!S$3*Return!$B16</f>
        <v>-9.9417022854459535E-3</v>
      </c>
      <c r="U16">
        <f>Perhitungan!T$4+Perhitungan!T$3*Return!$B16</f>
        <v>-2.0959676265128086E-2</v>
      </c>
      <c r="V16">
        <f>Perhitungan!U$4+Perhitungan!U$3*Return!$B16</f>
        <v>-1.7793504570429473E-2</v>
      </c>
      <c r="W16">
        <f>Perhitungan!V$4+Perhitungan!V$3*Return!$B16</f>
        <v>-3.4480775569169758E-2</v>
      </c>
      <c r="X16">
        <f>Perhitungan!W$4+Perhitungan!W$3*Return!$B16</f>
        <v>-2.504888061656357E-2</v>
      </c>
      <c r="Y16">
        <f>Perhitungan!X$4+Perhitungan!X$3*Return!$B16</f>
        <v>-1.7003400472530114E-2</v>
      </c>
      <c r="Z16">
        <f>Perhitungan!Y$4+Perhitungan!Y$3*Return!$B16</f>
        <v>-1.6060856762179235E-2</v>
      </c>
      <c r="AA16">
        <f>Perhitungan!Z$4+Perhitungan!Z$3*Return!$B16</f>
        <v>-2.0111869722328035E-2</v>
      </c>
      <c r="AB16">
        <f>Perhitungan!AA$4+Perhitungan!AA$3*Return!$B16</f>
        <v>-2.1251610272567074E-2</v>
      </c>
      <c r="AC16">
        <f>Perhitungan!AB$4+Perhitungan!AB$3*Return!$B16</f>
        <v>-1.555165339147648E-2</v>
      </c>
      <c r="AD16">
        <f>Perhitungan!AC$4+Perhitungan!AC$3*Return!$B16</f>
        <v>-1.8984198490812607E-2</v>
      </c>
      <c r="AE16">
        <f>Perhitungan!AD$4+Perhitungan!AD$3*Return!$B16</f>
        <v>-1.4797779397792216E-2</v>
      </c>
      <c r="AF16">
        <f>Perhitungan!AE$4+Perhitungan!AE$3*Return!$B16</f>
        <v>17.223987516176884</v>
      </c>
    </row>
    <row r="17" spans="1:32" x14ac:dyDescent="0.3">
      <c r="A17" s="4" t="s">
        <v>8</v>
      </c>
      <c r="C17">
        <f>Perhitungan!B$4+Perhitungan!B$3*Return!$B17</f>
        <v>-1.4947686158917345E-2</v>
      </c>
      <c r="D17">
        <f>Perhitungan!C$4+Perhitungan!C$3*Return!$B17</f>
        <v>-1.4052729662718942E-2</v>
      </c>
      <c r="E17">
        <f>Perhitungan!D$4+Perhitungan!D$3*Return!$B17</f>
        <v>-1.508581409288642E-2</v>
      </c>
      <c r="F17">
        <f>Perhitungan!E$4+Perhitungan!E$3*Return!$B17</f>
        <v>-1.3233094110419728E-2</v>
      </c>
      <c r="G17">
        <f>Perhitungan!F$4+Perhitungan!F$3*Return!$B17</f>
        <v>-1.2339462744071439E-2</v>
      </c>
      <c r="H17">
        <f>Perhitungan!G$4+Perhitungan!G$3*Return!$B17</f>
        <v>-9.9709882755656242E-3</v>
      </c>
      <c r="I17">
        <f>Perhitungan!H$4+Perhitungan!H$3*Return!$B17</f>
        <v>-8.4315404325589118E-3</v>
      </c>
      <c r="J17">
        <f>Perhitungan!I$4+Perhitungan!I$3*Return!$B17</f>
        <v>-4.510485103155105E-3</v>
      </c>
      <c r="K17">
        <f>Perhitungan!J$4+Perhitungan!J$3*Return!$B17</f>
        <v>-1.3263895525078203E-2</v>
      </c>
      <c r="L17">
        <f>Perhitungan!K$4+Perhitungan!K$3*Return!$B17</f>
        <v>-6.1128689354791928E-3</v>
      </c>
      <c r="M17">
        <f>Perhitungan!L$4+Perhitungan!L$3*Return!$B17</f>
        <v>-9.9172157543236279E-3</v>
      </c>
      <c r="N17">
        <f>Perhitungan!M$4+Perhitungan!M$3*Return!$B17</f>
        <v>-2.4013266379772687E-2</v>
      </c>
      <c r="O17">
        <f>Perhitungan!N$4+Perhitungan!N$3*Return!$B17</f>
        <v>-8.2778399674649141E-3</v>
      </c>
      <c r="P17">
        <f>Perhitungan!O$4+Perhitungan!O$3*Return!$B17</f>
        <v>-1.5507226850085777E-2</v>
      </c>
      <c r="Q17">
        <f>Perhitungan!P$4+Perhitungan!P$3*Return!$B17</f>
        <v>-1.4470475143950995E-2</v>
      </c>
      <c r="R17">
        <f>Perhitungan!Q$4+Perhitungan!Q$3*Return!$B17</f>
        <v>-9.9121809864754738E-3</v>
      </c>
      <c r="S17">
        <f>Perhitungan!R$4+Perhitungan!R$3*Return!$B17</f>
        <v>-8.5234857068107791E-3</v>
      </c>
      <c r="T17">
        <f>Perhitungan!S$4+Perhitungan!S$3*Return!$B17</f>
        <v>-7.7371291025341094E-3</v>
      </c>
      <c r="U17">
        <f>Perhitungan!T$4+Perhitungan!T$3*Return!$B17</f>
        <v>-1.6733110741568469E-2</v>
      </c>
      <c r="V17">
        <f>Perhitungan!U$4+Perhitungan!U$3*Return!$B17</f>
        <v>-1.4252633147906269E-2</v>
      </c>
      <c r="W17">
        <f>Perhitungan!V$4+Perhitungan!V$3*Return!$B17</f>
        <v>-2.7160591101136382E-2</v>
      </c>
      <c r="X17">
        <f>Perhitungan!W$4+Perhitungan!W$3*Return!$B17</f>
        <v>-2.0953001863623845E-2</v>
      </c>
      <c r="Y17">
        <f>Perhitungan!X$4+Perhitungan!X$3*Return!$B17</f>
        <v>-1.3932457941331239E-2</v>
      </c>
      <c r="Z17">
        <f>Perhitungan!Y$4+Perhitungan!Y$3*Return!$B17</f>
        <v>-1.3065983264864791E-2</v>
      </c>
      <c r="AA17">
        <f>Perhitungan!Z$4+Perhitungan!Z$3*Return!$B17</f>
        <v>-1.5627169232521488E-2</v>
      </c>
      <c r="AB17">
        <f>Perhitungan!AA$4+Perhitungan!AA$3*Return!$B17</f>
        <v>-1.7189818902745142E-2</v>
      </c>
      <c r="AC17">
        <f>Perhitungan!AB$4+Perhitungan!AB$3*Return!$B17</f>
        <v>-1.2225006937198734E-2</v>
      </c>
      <c r="AD17">
        <f>Perhitungan!AC$4+Perhitungan!AC$3*Return!$B17</f>
        <v>-1.5282841426333054E-2</v>
      </c>
      <c r="AE17">
        <f>Perhitungan!AD$4+Perhitungan!AD$3*Return!$B17</f>
        <v>-1.1854706950433778E-2</v>
      </c>
      <c r="AF17">
        <f>Perhitungan!AE$4+Perhitungan!AE$3*Return!$B17</f>
        <v>17.115532189793409</v>
      </c>
    </row>
    <row r="18" spans="1:32" x14ac:dyDescent="0.3">
      <c r="A18" s="3" t="s">
        <v>9</v>
      </c>
      <c r="C18">
        <f>Perhitungan!B$4+Perhitungan!B$3*Return!$B18</f>
        <v>8.7335818499953352E-3</v>
      </c>
      <c r="D18">
        <f>Perhitungan!C$4+Perhitungan!C$3*Return!$B18</f>
        <v>1.3058025531370636E-2</v>
      </c>
      <c r="E18">
        <f>Perhitungan!D$4+Perhitungan!D$3*Return!$B18</f>
        <v>1.1894641811312253E-2</v>
      </c>
      <c r="F18">
        <f>Perhitungan!E$4+Perhitungan!E$3*Return!$B18</f>
        <v>1.0118211418492966E-2</v>
      </c>
      <c r="G18">
        <f>Perhitungan!F$4+Perhitungan!F$3*Return!$B18</f>
        <v>1.2496086796044576E-2</v>
      </c>
      <c r="H18">
        <f>Perhitungan!G$4+Perhitungan!G$3*Return!$B18</f>
        <v>8.5768311146608277E-3</v>
      </c>
      <c r="I18">
        <f>Perhitungan!H$4+Perhitungan!H$3*Return!$B18</f>
        <v>3.2526042273689324E-3</v>
      </c>
      <c r="J18">
        <f>Perhitungan!I$4+Perhitungan!I$3*Return!$B18</f>
        <v>3.4090294733705997E-3</v>
      </c>
      <c r="K18">
        <f>Perhitungan!J$4+Perhitungan!J$3*Return!$B18</f>
        <v>1.268835523459268E-2</v>
      </c>
      <c r="L18">
        <f>Perhitungan!K$4+Perhitungan!K$3*Return!$B18</f>
        <v>3.9022226445227038E-3</v>
      </c>
      <c r="M18">
        <f>Perhitungan!L$4+Perhitungan!L$3*Return!$B18</f>
        <v>1.6831585128665099E-2</v>
      </c>
      <c r="N18">
        <f>Perhitungan!M$4+Perhitungan!M$3*Return!$B18</f>
        <v>1.4774990201877419E-2</v>
      </c>
      <c r="O18">
        <f>Perhitungan!N$4+Perhitungan!N$3*Return!$B18</f>
        <v>5.870370568047705E-3</v>
      </c>
      <c r="P18">
        <f>Perhitungan!O$4+Perhitungan!O$3*Return!$B18</f>
        <v>8.7402770700404503E-3</v>
      </c>
      <c r="Q18">
        <f>Perhitungan!P$4+Perhitungan!P$3*Return!$B18</f>
        <v>1.4847895745460632E-2</v>
      </c>
      <c r="R18">
        <f>Perhitungan!Q$4+Perhitungan!Q$3*Return!$B18</f>
        <v>6.2297677911016709E-3</v>
      </c>
      <c r="S18">
        <f>Perhitungan!R$4+Perhitungan!R$3*Return!$B18</f>
        <v>6.4744970670940951E-3</v>
      </c>
      <c r="T18">
        <f>Perhitungan!S$4+Perhitungan!S$3*Return!$B18</f>
        <v>8.0189155340055201E-3</v>
      </c>
      <c r="U18">
        <f>Perhitungan!T$4+Perhitungan!T$3*Return!$B18</f>
        <v>1.3474076556476318E-2</v>
      </c>
      <c r="V18">
        <f>Perhitungan!U$4+Perhitungan!U$3*Return!$B18</f>
        <v>1.1053910820769973E-2</v>
      </c>
      <c r="W18">
        <f>Perhitungan!V$4+Perhitungan!V$3*Return!$B18</f>
        <v>2.5156634800023493E-2</v>
      </c>
      <c r="X18">
        <f>Perhitungan!W$4+Perhitungan!W$3*Return!$B18</f>
        <v>8.3201694501692583E-3</v>
      </c>
      <c r="Y18">
        <f>Perhitungan!X$4+Perhitungan!X$3*Return!$B18</f>
        <v>8.0155127465406008E-3</v>
      </c>
      <c r="Z18">
        <f>Perhitungan!Y$4+Perhitungan!Y$3*Return!$B18</f>
        <v>8.3383234146485272E-3</v>
      </c>
      <c r="AA18">
        <f>Perhitungan!Z$4+Perhitungan!Z$3*Return!$B18</f>
        <v>1.6424903997169372E-2</v>
      </c>
      <c r="AB18">
        <f>Perhitungan!AA$4+Perhitungan!AA$3*Return!$B18</f>
        <v>1.1839730500870617E-2</v>
      </c>
      <c r="AC18">
        <f>Perhitungan!AB$4+Perhitungan!AB$3*Return!$B18</f>
        <v>1.15504750607978E-2</v>
      </c>
      <c r="AD18">
        <f>Perhitungan!AC$4+Perhitungan!AC$3*Return!$B18</f>
        <v>1.1170690520691048E-2</v>
      </c>
      <c r="AE18">
        <f>Perhitungan!AD$4+Perhitungan!AD$3*Return!$B18</f>
        <v>9.1793785626184555E-3</v>
      </c>
      <c r="AF18">
        <f>Perhitungan!AE$4+Perhitungan!AE$3*Return!$B18</f>
        <v>16.340403935120797</v>
      </c>
    </row>
    <row r="19" spans="1:32" x14ac:dyDescent="0.3">
      <c r="A19" s="4" t="s">
        <v>10</v>
      </c>
      <c r="C19">
        <f>Perhitungan!B$4+Perhitungan!B$3*Return!$B19</f>
        <v>3.0972928132439653E-2</v>
      </c>
      <c r="D19">
        <f>Perhitungan!C$4+Perhitungan!C$3*Return!$B19</f>
        <v>3.8518041967695628E-2</v>
      </c>
      <c r="E19">
        <f>Perhitungan!D$4+Perhitungan!D$3*Return!$B19</f>
        <v>3.7232292712685751E-2</v>
      </c>
      <c r="F19">
        <f>Perhitungan!E$4+Perhitungan!E$3*Return!$B19</f>
        <v>3.2047686208829182E-2</v>
      </c>
      <c r="G19">
        <f>Perhitungan!F$4+Perhitungan!F$3*Return!$B19</f>
        <v>3.5819431902800146E-2</v>
      </c>
      <c r="H19">
        <f>Perhitungan!G$4+Perhitungan!G$3*Return!$B19</f>
        <v>2.5995297813666815E-2</v>
      </c>
      <c r="I19">
        <f>Perhitungan!H$4+Perhitungan!H$3*Return!$B19</f>
        <v>1.4225316457495784E-2</v>
      </c>
      <c r="J19">
        <f>Perhitungan!I$4+Perhitungan!I$3*Return!$B19</f>
        <v>1.0846335068237151E-2</v>
      </c>
      <c r="K19">
        <f>Perhitungan!J$4+Perhitungan!J$3*Return!$B19</f>
        <v>3.7060407070496446E-2</v>
      </c>
      <c r="L19">
        <f>Perhitungan!K$4+Perhitungan!K$3*Return!$B19</f>
        <v>1.3307508274254537E-2</v>
      </c>
      <c r="M19">
        <f>Perhitungan!L$4+Perhitungan!L$3*Return!$B19</f>
        <v>4.195168618292669E-2</v>
      </c>
      <c r="N19">
        <f>Perhitungan!M$4+Perhitungan!M$3*Return!$B19</f>
        <v>5.1201480096209048E-2</v>
      </c>
      <c r="O19">
        <f>Perhitungan!N$4+Perhitungan!N$3*Return!$B19</f>
        <v>1.9157114895157708E-2</v>
      </c>
      <c r="P19">
        <f>Perhitungan!O$4+Perhitungan!O$3*Return!$B19</f>
        <v>3.1511381892707115E-2</v>
      </c>
      <c r="Q19">
        <f>Perhitungan!P$4+Perhitungan!P$3*Return!$B19</f>
        <v>4.2381109017713012E-2</v>
      </c>
      <c r="R19">
        <f>Perhitungan!Q$4+Perhitungan!Q$3*Return!$B19</f>
        <v>2.1388854221900427E-2</v>
      </c>
      <c r="S19">
        <f>Perhitungan!R$4+Perhitungan!R$3*Return!$B19</f>
        <v>2.0559272102006591E-2</v>
      </c>
      <c r="T19">
        <f>Perhitungan!S$4+Perhitungan!S$3*Return!$B19</f>
        <v>2.2815595026918496E-2</v>
      </c>
      <c r="U19">
        <f>Perhitungan!T$4+Perhitungan!T$3*Return!$B19</f>
        <v>4.1841987357833642E-2</v>
      </c>
      <c r="V19">
        <f>Perhitungan!U$4+Perhitungan!U$3*Return!$B19</f>
        <v>3.4819572115573863E-2</v>
      </c>
      <c r="W19">
        <f>Perhitungan!V$4+Perhitungan!V$3*Return!$B19</f>
        <v>7.4288332600785878E-2</v>
      </c>
      <c r="X19">
        <f>Perhitungan!W$4+Perhitungan!W$3*Return!$B19</f>
        <v>3.5810935290399769E-2</v>
      </c>
      <c r="Y19">
        <f>Perhitungan!X$4+Perhitungan!X$3*Return!$B19</f>
        <v>2.8627099936078551E-2</v>
      </c>
      <c r="Z19">
        <f>Perhitungan!Y$4+Perhitungan!Y$3*Return!$B19</f>
        <v>2.8439349592899565E-2</v>
      </c>
      <c r="AA19">
        <f>Perhitungan!Z$4+Perhitungan!Z$3*Return!$B19</f>
        <v>4.6525368016118139E-2</v>
      </c>
      <c r="AB19">
        <f>Perhitungan!AA$4+Perhitungan!AA$3*Return!$B19</f>
        <v>3.9101708253386172E-2</v>
      </c>
      <c r="AC19">
        <f>Perhitungan!AB$4+Perhitungan!AB$3*Return!$B19</f>
        <v>3.3878298764598851E-2</v>
      </c>
      <c r="AD19">
        <f>Perhitungan!AC$4+Perhitungan!AC$3*Return!$B19</f>
        <v>3.6013501181934207E-2</v>
      </c>
      <c r="AE19">
        <f>Perhitungan!AD$4+Perhitungan!AD$3*Return!$B19</f>
        <v>2.8932725861557804E-2</v>
      </c>
      <c r="AF19">
        <f>Perhitungan!AE$4+Perhitungan!AE$3*Return!$B19</f>
        <v>15.612472235581603</v>
      </c>
    </row>
    <row r="20" spans="1:32" x14ac:dyDescent="0.3">
      <c r="A20" s="3" t="s">
        <v>11</v>
      </c>
      <c r="C20">
        <f>Perhitungan!B$4+Perhitungan!B$3*Return!$B20</f>
        <v>3.4385838702301785E-3</v>
      </c>
      <c r="D20">
        <f>Perhitungan!C$4+Perhitungan!C$3*Return!$B20</f>
        <v>6.9962135570884702E-3</v>
      </c>
      <c r="E20">
        <f>Perhitungan!D$4+Perhitungan!D$3*Return!$B20</f>
        <v>5.861964023446015E-3</v>
      </c>
      <c r="F20">
        <f>Perhitungan!E$4+Perhitungan!E$3*Return!$B20</f>
        <v>4.8969911884809338E-3</v>
      </c>
      <c r="G20">
        <f>Perhitungan!F$4+Perhitungan!F$3*Return!$B20</f>
        <v>6.9429979753032681E-3</v>
      </c>
      <c r="H20">
        <f>Perhitungan!G$4+Perhitungan!G$3*Return!$B20</f>
        <v>4.4296432967054931E-3</v>
      </c>
      <c r="I20">
        <f>Perhitungan!H$4+Perhitungan!H$3*Return!$B20</f>
        <v>6.4009537242428437E-4</v>
      </c>
      <c r="J20">
        <f>Perhitungan!I$4+Perhitungan!I$3*Return!$B20</f>
        <v>1.6382706749970446E-3</v>
      </c>
      <c r="K20">
        <f>Perhitungan!J$4+Perhitungan!J$3*Return!$B20</f>
        <v>6.8855783186311786E-3</v>
      </c>
      <c r="L20">
        <f>Perhitungan!K$4+Perhitungan!K$3*Return!$B20</f>
        <v>1.6629046458701508E-3</v>
      </c>
      <c r="M20">
        <f>Perhitungan!L$4+Perhitungan!L$3*Return!$B20</f>
        <v>1.0850704097156987E-2</v>
      </c>
      <c r="N20">
        <f>Perhitungan!M$4+Perhitungan!M$3*Return!$B20</f>
        <v>6.1021547708881799E-3</v>
      </c>
      <c r="O20">
        <f>Perhitungan!N$4+Perhitungan!N$3*Return!$B20</f>
        <v>2.7069104790593736E-3</v>
      </c>
      <c r="P20">
        <f>Perhitungan!O$4+Perhitungan!O$3*Return!$B20</f>
        <v>3.31867193373208E-3</v>
      </c>
      <c r="Q20">
        <f>Perhitungan!P$4+Perhitungan!P$3*Return!$B20</f>
        <v>8.2924733512284576E-3</v>
      </c>
      <c r="R20">
        <f>Perhitungan!Q$4+Perhitungan!Q$3*Return!$B20</f>
        <v>2.6205190745812739E-3</v>
      </c>
      <c r="S20">
        <f>Perhitungan!R$4+Perhitungan!R$3*Return!$B20</f>
        <v>3.1210326977668028E-3</v>
      </c>
      <c r="T20">
        <f>Perhitungan!S$4+Perhitungan!S$3*Return!$B20</f>
        <v>4.4959528071714695E-3</v>
      </c>
      <c r="U20">
        <f>Perhitungan!T$4+Perhitungan!T$3*Return!$B20</f>
        <v>6.7199198256231718E-3</v>
      </c>
      <c r="V20">
        <f>Perhitungan!U$4+Perhitungan!U$3*Return!$B20</f>
        <v>5.3955103019064001E-3</v>
      </c>
      <c r="W20">
        <f>Perhitungan!V$4+Perhitungan!V$3*Return!$B20</f>
        <v>1.3458798123824405E-2</v>
      </c>
      <c r="X20">
        <f>Perhitungan!W$4+Perhitungan!W$3*Return!$B20</f>
        <v>1.7748534261490265E-3</v>
      </c>
      <c r="Y20">
        <f>Perhitungan!X$4+Perhitungan!X$3*Return!$B20</f>
        <v>3.1080702730848799E-3</v>
      </c>
      <c r="Z20">
        <f>Perhitungan!Y$4+Perhitungan!Y$3*Return!$B20</f>
        <v>3.5524411475485631E-3</v>
      </c>
      <c r="AA20">
        <f>Perhitungan!Z$4+Perhitungan!Z$3*Return!$B20</f>
        <v>9.2582411759630171E-3</v>
      </c>
      <c r="AB20">
        <f>Perhitungan!AA$4+Perhitungan!AA$3*Return!$B20</f>
        <v>5.3488869620961109E-3</v>
      </c>
      <c r="AC20">
        <f>Perhitungan!AB$4+Perhitungan!AB$3*Return!$B20</f>
        <v>6.2344113643794273E-3</v>
      </c>
      <c r="AD20">
        <f>Perhitungan!AC$4+Perhitungan!AC$3*Return!$B20</f>
        <v>5.2558299581388903E-3</v>
      </c>
      <c r="AE20">
        <f>Perhitungan!AD$4+Perhitungan!AD$3*Return!$B20</f>
        <v>4.476275660531377E-3</v>
      </c>
      <c r="AF20">
        <f>Perhitungan!AE$4+Perhitungan!AE$3*Return!$B20</f>
        <v>16.513718241643812</v>
      </c>
    </row>
    <row r="21" spans="1:32" x14ac:dyDescent="0.3">
      <c r="A21" s="2">
        <v>45873</v>
      </c>
      <c r="C21">
        <f>Perhitungan!B$4+Perhitungan!B$3*Return!$B21</f>
        <v>-6.9517660440216553E-2</v>
      </c>
      <c r="D21">
        <f>Perhitungan!C$4+Perhitungan!C$3*Return!$B21</f>
        <v>-7.6525449161154072E-2</v>
      </c>
      <c r="E21">
        <f>Perhitungan!D$4+Perhitungan!D$3*Return!$B21</f>
        <v>-7.7258278178666193E-2</v>
      </c>
      <c r="F21">
        <f>Perhitungan!E$4+Perhitungan!E$3*Return!$B21</f>
        <v>-6.7042718733051329E-2</v>
      </c>
      <c r="G21">
        <f>Perhitungan!F$4+Perhitungan!F$3*Return!$B21</f>
        <v>-6.9569307833278318E-2</v>
      </c>
      <c r="H21">
        <f>Perhitungan!G$4+Perhitungan!G$3*Return!$B21</f>
        <v>-5.2711690619625329E-2</v>
      </c>
      <c r="I21">
        <f>Perhitungan!H$4+Perhitungan!H$3*Return!$B21</f>
        <v>-3.5355921059106177E-2</v>
      </c>
      <c r="J21">
        <f>Perhitungan!I$4+Perhitungan!I$3*Return!$B21</f>
        <v>-2.2759833347460744E-2</v>
      </c>
      <c r="K21">
        <f>Perhitungan!J$4+Perhitungan!J$3*Return!$B21</f>
        <v>-7.3067013160673641E-2</v>
      </c>
      <c r="L21">
        <f>Perhitungan!K$4+Perhitungan!K$3*Return!$B21</f>
        <v>-2.9191163971871263E-2</v>
      </c>
      <c r="M21">
        <f>Perhitungan!L$4+Perhitungan!L$3*Return!$B21</f>
        <v>-7.1555865158186752E-2</v>
      </c>
      <c r="N21">
        <f>Perhitungan!M$4+Perhitungan!M$3*Return!$B21</f>
        <v>-0.11339505806763543</v>
      </c>
      <c r="O21">
        <f>Perhitungan!N$4+Perhitungan!N$3*Return!$B21</f>
        <v>-4.0880295408565234E-2</v>
      </c>
      <c r="P21">
        <f>Perhitungan!O$4+Perhitungan!O$3*Return!$B21</f>
        <v>-7.1382007913709397E-2</v>
      </c>
      <c r="Q21">
        <f>Perhitungan!P$4+Perhitungan!P$3*Return!$B21</f>
        <v>-8.203031800382847E-2</v>
      </c>
      <c r="R21">
        <f>Perhitungan!Q$4+Perhitungan!Q$3*Return!$B21</f>
        <v>-4.7108910879102489E-2</v>
      </c>
      <c r="S21">
        <f>Perhitungan!R$4+Perhitungan!R$3*Return!$B21</f>
        <v>-4.3084115396712926E-2</v>
      </c>
      <c r="T21">
        <f>Perhitungan!S$4+Perhitungan!S$3*Return!$B21</f>
        <v>-4.4044600065126699E-2</v>
      </c>
      <c r="U21">
        <f>Perhitungan!T$4+Perhitungan!T$3*Return!$B21</f>
        <v>-8.6341099357055542E-2</v>
      </c>
      <c r="V21">
        <f>Perhitungan!U$4+Perhitungan!U$3*Return!$B21</f>
        <v>-7.2567815130538518E-2</v>
      </c>
      <c r="W21">
        <f>Perhitungan!V$4+Perhitungan!V$3*Return!$B21</f>
        <v>-0.14771788857442739</v>
      </c>
      <c r="X21">
        <f>Perhitungan!W$4+Perhitungan!W$3*Return!$B21</f>
        <v>-8.8408688996785154E-2</v>
      </c>
      <c r="Y21">
        <f>Perhitungan!X$4+Perhitungan!X$3*Return!$B21</f>
        <v>-6.4508305295159968E-2</v>
      </c>
      <c r="Z21">
        <f>Perhitungan!Y$4+Perhitungan!Y$3*Return!$B21</f>
        <v>-6.2389037442980681E-2</v>
      </c>
      <c r="AA21">
        <f>Perhitungan!Z$4+Perhitungan!Z$3*Return!$B21</f>
        <v>-8.9486424199285319E-2</v>
      </c>
      <c r="AB21">
        <f>Perhitungan!AA$4+Perhitungan!AA$3*Return!$B21</f>
        <v>-8.4084115430988871E-2</v>
      </c>
      <c r="AC21">
        <f>Perhitungan!AB$4+Perhitungan!AB$3*Return!$B21</f>
        <v>-6.7012083400666125E-2</v>
      </c>
      <c r="AD21">
        <f>Perhitungan!AC$4+Perhitungan!AC$3*Return!$B21</f>
        <v>-7.6241087304692728E-2</v>
      </c>
      <c r="AE21">
        <f>Perhitungan!AD$4+Perhitungan!AD$3*Return!$B21</f>
        <v>-6.0324641290347994E-2</v>
      </c>
      <c r="AF21">
        <f>Perhitungan!AE$4+Perhitungan!AE$3*Return!$B21</f>
        <v>18.901700434934394</v>
      </c>
    </row>
    <row r="22" spans="1:32" x14ac:dyDescent="0.3">
      <c r="A22" s="1">
        <v>45904</v>
      </c>
      <c r="C22">
        <f>Perhitungan!B$4+Perhitungan!B$3*Return!$B22</f>
        <v>-5.6718058332045455E-3</v>
      </c>
      <c r="D22">
        <f>Perhitungan!C$4+Perhitungan!C$3*Return!$B22</f>
        <v>-3.4335296846845715E-3</v>
      </c>
      <c r="E22">
        <f>Perhitungan!D$4+Perhitungan!D$3*Return!$B22</f>
        <v>-4.5176519485988949E-3</v>
      </c>
      <c r="F22">
        <f>Perhitungan!E$4+Perhitungan!E$3*Return!$B22</f>
        <v>-4.0864590799885563E-3</v>
      </c>
      <c r="G22">
        <f>Perhitungan!F$4+Perhitungan!F$3*Return!$B22</f>
        <v>-2.6114538692626637E-3</v>
      </c>
      <c r="H22">
        <f>Perhitungan!G$4+Perhitungan!G$3*Return!$B22</f>
        <v>-2.7058640895666237E-3</v>
      </c>
      <c r="I22">
        <f>Perhitungan!H$4+Perhitungan!H$3*Return!$B22</f>
        <v>-3.8548966678324291E-3</v>
      </c>
      <c r="J22">
        <f>Perhitungan!I$4+Perhitungan!I$3*Return!$B22</f>
        <v>-1.4084354400229228E-3</v>
      </c>
      <c r="K22">
        <f>Perhitungan!J$4+Perhitungan!J$3*Return!$B22</f>
        <v>-3.0984781944270292E-3</v>
      </c>
      <c r="L22">
        <f>Perhitungan!K$4+Perhitungan!K$3*Return!$B22</f>
        <v>-2.1899881627018181E-3</v>
      </c>
      <c r="M22">
        <f>Perhitungan!L$4+Perhitungan!L$3*Return!$B22</f>
        <v>5.6020782593154891E-4</v>
      </c>
      <c r="N22">
        <f>Perhitungan!M$4+Perhitungan!M$3*Return!$B22</f>
        <v>-8.8200247865009226E-3</v>
      </c>
      <c r="O22">
        <f>Perhitungan!N$4+Perhitungan!N$3*Return!$B22</f>
        <v>-2.7360291277323603E-3</v>
      </c>
      <c r="P22">
        <f>Perhitungan!O$4+Perhitungan!O$3*Return!$B22</f>
        <v>-6.009553647971214E-3</v>
      </c>
      <c r="Q22">
        <f>Perhitungan!P$4+Perhitungan!P$3*Return!$B22</f>
        <v>-2.9865588429872254E-3</v>
      </c>
      <c r="R22">
        <f>Perhitungan!Q$4+Perhitungan!Q$3*Return!$B22</f>
        <v>-3.5894289687947089E-3</v>
      </c>
      <c r="S22">
        <f>Perhitungan!R$4+Perhitungan!R$3*Return!$B22</f>
        <v>-2.6488216776091042E-3</v>
      </c>
      <c r="T22">
        <f>Perhitungan!S$4+Perhitungan!S$3*Return!$B22</f>
        <v>-1.5655345578448148E-3</v>
      </c>
      <c r="U22">
        <f>Perhitungan!T$4+Perhitungan!T$3*Return!$B22</f>
        <v>-4.901047768943869E-3</v>
      </c>
      <c r="V22">
        <f>Perhitungan!U$4+Perhitungan!U$3*Return!$B22</f>
        <v>-4.3401371944597339E-3</v>
      </c>
      <c r="W22">
        <f>Perhitungan!V$4+Perhitungan!V$3*Return!$B22</f>
        <v>-6.668093560472689E-3</v>
      </c>
      <c r="X22">
        <f>Perhitungan!W$4+Perhitungan!W$3*Return!$B22</f>
        <v>-9.4867900983315896E-3</v>
      </c>
      <c r="Y22">
        <f>Perhitungan!X$4+Perhitungan!X$3*Return!$B22</f>
        <v>-5.3355048805268212E-3</v>
      </c>
      <c r="Z22">
        <f>Perhitungan!Y$4+Perhitungan!Y$3*Return!$B22</f>
        <v>-4.6819817350777582E-3</v>
      </c>
      <c r="AA22">
        <f>Perhitungan!Z$4+Perhitungan!Z$3*Return!$B22</f>
        <v>-3.0724700771511205E-3</v>
      </c>
      <c r="AB22">
        <f>Perhitungan!AA$4+Perhitungan!AA$3*Return!$B22</f>
        <v>-5.8190330953313274E-3</v>
      </c>
      <c r="AC22">
        <f>Perhitungan!AB$4+Perhitungan!AB$3*Return!$B22</f>
        <v>-2.9122232798137904E-3</v>
      </c>
      <c r="AD22">
        <f>Perhitungan!AC$4+Perhitungan!AC$3*Return!$B22</f>
        <v>-4.9210737861600396E-3</v>
      </c>
      <c r="AE22">
        <f>Perhitungan!AD$4+Perhitungan!AD$3*Return!$B22</f>
        <v>-3.6157199204128196E-3</v>
      </c>
      <c r="AF22">
        <f>Perhitungan!AE$4+Perhitungan!AE$3*Return!$B22</f>
        <v>16.811916820687507</v>
      </c>
    </row>
    <row r="23" spans="1:32" x14ac:dyDescent="0.3">
      <c r="A23" s="2">
        <v>45934</v>
      </c>
      <c r="C23">
        <f>Perhitungan!B$4+Perhitungan!B$3*Return!$B23</f>
        <v>3.9529812927024947E-2</v>
      </c>
      <c r="D23">
        <f>Perhitungan!C$4+Perhitungan!C$3*Return!$B23</f>
        <v>4.8314122515524402E-2</v>
      </c>
      <c r="E23">
        <f>Perhitungan!D$4+Perhitungan!D$3*Return!$B23</f>
        <v>4.6981291490569052E-2</v>
      </c>
      <c r="F23">
        <f>Perhitungan!E$4+Perhitungan!E$3*Return!$B23</f>
        <v>4.0485343818162697E-2</v>
      </c>
      <c r="G23">
        <f>Perhitungan!F$4+Perhitungan!F$3*Return!$B23</f>
        <v>4.4793399688013609E-2</v>
      </c>
      <c r="H23">
        <f>Perhitungan!G$4+Perhitungan!G$3*Return!$B23</f>
        <v>3.2697284956129384E-2</v>
      </c>
      <c r="I23">
        <f>Perhitungan!H$4+Perhitungan!H$3*Return!$B23</f>
        <v>1.8447213686167963E-2</v>
      </c>
      <c r="J23">
        <f>Perhitungan!I$4+Perhitungan!I$3*Return!$B23</f>
        <v>1.370793748897175E-2</v>
      </c>
      <c r="K23">
        <f>Perhitungan!J$4+Perhitungan!J$3*Return!$B23</f>
        <v>4.6437878742499564E-2</v>
      </c>
      <c r="L23">
        <f>Perhitungan!K$4+Perhitungan!K$3*Return!$B23</f>
        <v>1.6926317234359379E-2</v>
      </c>
      <c r="M23">
        <f>Perhitungan!L$4+Perhitungan!L$3*Return!$B23</f>
        <v>5.1616979758544859E-2</v>
      </c>
      <c r="N23">
        <f>Perhitungan!M$4+Perhitungan!M$3*Return!$B23</f>
        <v>6.5217057422012642E-2</v>
      </c>
      <c r="O23">
        <f>Perhitungan!N$4+Perhitungan!N$3*Return!$B23</f>
        <v>2.4269366804825526E-2</v>
      </c>
      <c r="P23">
        <f>Perhitungan!O$4+Perhitungan!O$3*Return!$B23</f>
        <v>4.0272867870682919E-2</v>
      </c>
      <c r="Q23">
        <f>Perhitungan!P$4+Perhitungan!P$3*Return!$B23</f>
        <v>5.2974879671007398E-2</v>
      </c>
      <c r="R23">
        <f>Perhitungan!Q$4+Perhitungan!Q$3*Return!$B23</f>
        <v>2.7221514702658461E-2</v>
      </c>
      <c r="S23">
        <f>Perhitungan!R$4+Perhitungan!R$3*Return!$B23</f>
        <v>2.597857695929625E-2</v>
      </c>
      <c r="T23">
        <f>Perhitungan!S$4+Perhitungan!S$3*Return!$B23</f>
        <v>2.8508814609690469E-2</v>
      </c>
      <c r="U23">
        <f>Perhitungan!T$4+Perhitungan!T$3*Return!$B23</f>
        <v>5.275691900678707E-2</v>
      </c>
      <c r="V23">
        <f>Perhitungan!U$4+Perhitungan!U$3*Return!$B23</f>
        <v>4.3963726947467613E-2</v>
      </c>
      <c r="W23">
        <f>Perhitungan!V$4+Perhitungan!V$3*Return!$B23</f>
        <v>9.3192407950130882E-2</v>
      </c>
      <c r="X23">
        <f>Perhitungan!W$4+Perhitungan!W$3*Return!$B23</f>
        <v>4.6388373728663009E-2</v>
      </c>
      <c r="Y23">
        <f>Perhitungan!X$4+Perhitungan!X$3*Return!$B23</f>
        <v>3.6557682731745214E-2</v>
      </c>
      <c r="Z23">
        <f>Perhitungan!Y$4+Perhitungan!Y$3*Return!$B23</f>
        <v>3.617348723686508E-2</v>
      </c>
      <c r="AA23">
        <f>Perhitungan!Z$4+Perhitungan!Z$3*Return!$B23</f>
        <v>5.810692259971785E-2</v>
      </c>
      <c r="AB23">
        <f>Perhitungan!AA$4+Perhitungan!AA$3*Return!$B23</f>
        <v>4.9591117426576285E-2</v>
      </c>
      <c r="AC23">
        <f>Perhitungan!AB$4+Perhitungan!AB$3*Return!$B23</f>
        <v>4.2469226425905865E-2</v>
      </c>
      <c r="AD23">
        <f>Perhitungan!AC$4+Perhitungan!AC$3*Return!$B23</f>
        <v>4.5572103584279128E-2</v>
      </c>
      <c r="AE23">
        <f>Perhitungan!AD$4+Perhitungan!AD$3*Return!$B23</f>
        <v>3.6533089424307219E-2</v>
      </c>
      <c r="AF23">
        <f>Perhitungan!AE$4+Perhitungan!AE$3*Return!$B23</f>
        <v>15.332390815373646</v>
      </c>
    </row>
    <row r="24" spans="1:32" x14ac:dyDescent="0.3">
      <c r="A24" s="1">
        <v>45965</v>
      </c>
      <c r="C24">
        <f>Perhitungan!B$4+Perhitungan!B$3*Return!$B24</f>
        <v>-5.1149474067981688E-4</v>
      </c>
      <c r="D24">
        <f>Perhitungan!C$4+Perhitungan!C$3*Return!$B24</f>
        <v>2.474090240993823E-3</v>
      </c>
      <c r="E24">
        <f>Perhitungan!D$4+Perhitungan!D$3*Return!$B24</f>
        <v>1.361574866089029E-3</v>
      </c>
      <c r="F24">
        <f>Perhitungan!E$4+Perhitungan!E$3*Return!$B24</f>
        <v>1.0019509198657948E-3</v>
      </c>
      <c r="G24">
        <f>Perhitungan!F$4+Perhitungan!F$3*Return!$B24</f>
        <v>2.8003831038493389E-3</v>
      </c>
      <c r="H24">
        <f>Perhitungan!G$4+Perhitungan!G$3*Return!$B24</f>
        <v>1.3358332598113094E-3</v>
      </c>
      <c r="I24">
        <f>Perhitungan!H$4+Perhitungan!H$3*Return!$B24</f>
        <v>-1.308841225505732E-3</v>
      </c>
      <c r="J24">
        <f>Perhitungan!I$4+Perhitungan!I$3*Return!$B24</f>
        <v>3.1728122773642687E-4</v>
      </c>
      <c r="K24">
        <f>Perhitungan!J$4+Perhitungan!J$3*Return!$B24</f>
        <v>2.5566956510237396E-3</v>
      </c>
      <c r="L24">
        <f>Perhitungan!K$4+Perhitungan!K$3*Return!$B24</f>
        <v>-7.6308601501068546E-6</v>
      </c>
      <c r="M24">
        <f>Perhitungan!L$4+Perhitungan!L$3*Return!$B24</f>
        <v>6.3889554190195647E-3</v>
      </c>
      <c r="N24">
        <f>Perhitungan!M$4+Perhitungan!M$3*Return!$B24</f>
        <v>-3.6779703321286389E-4</v>
      </c>
      <c r="O24">
        <f>Perhitungan!N$4+Perhitungan!N$3*Return!$B24</f>
        <v>3.4696320774153767E-4</v>
      </c>
      <c r="P24">
        <f>Perhitungan!O$4+Perhitungan!O$3*Return!$B24</f>
        <v>-7.2585585788783181E-4</v>
      </c>
      <c r="Q24">
        <f>Perhitungan!P$4+Perhitungan!P$3*Return!$B24</f>
        <v>3.4021157186301977E-3</v>
      </c>
      <c r="R24">
        <f>Perhitungan!Q$4+Perhitungan!Q$3*Return!$B24</f>
        <v>-7.1987364715590221E-5</v>
      </c>
      <c r="S24">
        <f>Perhitungan!R$4+Perhitungan!R$3*Return!$B24</f>
        <v>6.1934187024433138E-4</v>
      </c>
      <c r="T24">
        <f>Perhitungan!S$4+Perhitungan!S$3*Return!$B24</f>
        <v>1.8678158810611534E-3</v>
      </c>
      <c r="U24">
        <f>Perhitungan!T$4+Perhitungan!T$3*Return!$B24</f>
        <v>1.6813059981519727E-3</v>
      </c>
      <c r="V24">
        <f>Perhitungan!U$4+Perhitungan!U$3*Return!$B24</f>
        <v>1.1743327024172445E-3</v>
      </c>
      <c r="W24">
        <f>Perhitungan!V$4+Perhitungan!V$3*Return!$B24</f>
        <v>4.7321896104398787E-3</v>
      </c>
      <c r="X24">
        <f>Perhitungan!W$4+Perhitungan!W$3*Return!$B24</f>
        <v>-3.1079648349592549E-3</v>
      </c>
      <c r="Y24">
        <f>Perhitungan!X$4+Perhitungan!X$3*Return!$B24</f>
        <v>-5.5289118955356969E-4</v>
      </c>
      <c r="Z24">
        <f>Perhitungan!Y$4+Perhitungan!Y$3*Return!$B24</f>
        <v>-1.783616886383353E-5</v>
      </c>
      <c r="AA24">
        <f>Perhitungan!Z$4+Perhitungan!Z$3*Return!$B24</f>
        <v>3.9118970168465174E-3</v>
      </c>
      <c r="AB24">
        <f>Perhitungan!AA$4+Perhitungan!AA$3*Return!$B24</f>
        <v>5.0670527907048946E-4</v>
      </c>
      <c r="AC24">
        <f>Perhitungan!AB$4+Perhitungan!AB$3*Return!$B24</f>
        <v>2.2686176885924761E-3</v>
      </c>
      <c r="AD24">
        <f>Perhitungan!AC$4+Perhitungan!AC$3*Return!$B24</f>
        <v>8.4333267599855175E-4</v>
      </c>
      <c r="AE24">
        <f>Perhitungan!AD$4+Perhitungan!AD$3*Return!$B24</f>
        <v>9.6775190859845384E-4</v>
      </c>
      <c r="AF24">
        <f>Perhitungan!AE$4+Perhitungan!AE$3*Return!$B24</f>
        <v>16.643011045489533</v>
      </c>
    </row>
    <row r="25" spans="1:32" x14ac:dyDescent="0.3">
      <c r="A25" s="4" t="s">
        <v>12</v>
      </c>
      <c r="C25">
        <f>Perhitungan!B$4+Perhitungan!B$3*Return!$B25</f>
        <v>1.2940601774332859E-2</v>
      </c>
      <c r="D25">
        <f>Perhitungan!C$4+Perhitungan!C$3*Return!$B25</f>
        <v>1.7874300032484594E-2</v>
      </c>
      <c r="E25">
        <f>Perhitungan!D$4+Perhitungan!D$3*Return!$B25</f>
        <v>1.6687768408838798E-2</v>
      </c>
      <c r="F25">
        <f>Perhitungan!E$4+Perhitungan!E$3*Return!$B25</f>
        <v>1.4266612913820639E-2</v>
      </c>
      <c r="G25">
        <f>Perhitungan!F$4+Perhitungan!F$3*Return!$B25</f>
        <v>1.6908166913875103E-2</v>
      </c>
      <c r="H25">
        <f>Perhitungan!G$4+Perhitungan!G$3*Return!$B25</f>
        <v>1.1871884643818506E-2</v>
      </c>
      <c r="I25">
        <f>Perhitungan!H$4+Perhitungan!H$3*Return!$B25</f>
        <v>5.3283135755616984E-3</v>
      </c>
      <c r="J25">
        <f>Perhitungan!I$4+Perhitungan!I$3*Return!$B25</f>
        <v>4.8159455051466731E-3</v>
      </c>
      <c r="K25">
        <f>Perhitungan!J$4+Perhitungan!J$3*Return!$B25</f>
        <v>1.7298819335849737E-2</v>
      </c>
      <c r="L25">
        <f>Perhitungan!K$4+Perhitungan!K$3*Return!$B25</f>
        <v>5.6814217062146509E-3</v>
      </c>
      <c r="M25">
        <f>Perhitungan!L$4+Perhitungan!L$3*Return!$B25</f>
        <v>2.158355779433984E-2</v>
      </c>
      <c r="N25">
        <f>Perhitungan!M$4+Perhitungan!M$3*Return!$B25</f>
        <v>2.1665793861880025E-2</v>
      </c>
      <c r="O25">
        <f>Perhitungan!N$4+Perhitungan!N$3*Return!$B25</f>
        <v>8.3838256581308061E-3</v>
      </c>
      <c r="P25">
        <f>Perhitungan!O$4+Perhitungan!O$3*Return!$B25</f>
        <v>1.3047889824096987E-2</v>
      </c>
      <c r="Q25">
        <f>Perhitungan!P$4+Perhitungan!P$3*Return!$B25</f>
        <v>2.0056357151938133E-2</v>
      </c>
      <c r="R25">
        <f>Perhitungan!Q$4+Perhitungan!Q$3*Return!$B25</f>
        <v>9.0974140716701089E-3</v>
      </c>
      <c r="S25">
        <f>Perhitungan!R$4+Perhitungan!R$3*Return!$B25</f>
        <v>9.1389157262191743E-3</v>
      </c>
      <c r="T25">
        <f>Perhitungan!S$4+Perhitungan!S$3*Return!$B25</f>
        <v>1.0818005248700113E-2</v>
      </c>
      <c r="U25">
        <f>Perhitungan!T$4+Perhitungan!T$3*Return!$B25</f>
        <v>1.8840437799178406E-2</v>
      </c>
      <c r="V25">
        <f>Perhitungan!U$4+Perhitungan!U$3*Return!$B25</f>
        <v>1.5549663947345601E-2</v>
      </c>
      <c r="W25">
        <f>Perhitungan!V$4+Perhitungan!V$3*Return!$B25</f>
        <v>3.4450884232503642E-2</v>
      </c>
      <c r="X25">
        <f>Perhitungan!W$4+Perhitungan!W$3*Return!$B25</f>
        <v>1.3520601070609664E-2</v>
      </c>
      <c r="Y25">
        <f>Perhitungan!X$4+Perhitungan!X$3*Return!$B25</f>
        <v>1.1914609279205211E-2</v>
      </c>
      <c r="Z25">
        <f>Perhitungan!Y$4+Perhitungan!Y$3*Return!$B25</f>
        <v>1.2140837056800321E-2</v>
      </c>
      <c r="AA25">
        <f>Perhitungan!Z$4+Perhitungan!Z$3*Return!$B25</f>
        <v>2.211901254924881E-2</v>
      </c>
      <c r="AB25">
        <f>Perhitungan!AA$4+Perhitungan!AA$3*Return!$B25</f>
        <v>1.699688225007543E-2</v>
      </c>
      <c r="AC25">
        <f>Perhitungan!AB$4+Perhitungan!AB$3*Return!$B25</f>
        <v>1.5774232270025557E-2</v>
      </c>
      <c r="AD25">
        <f>Perhitungan!AC$4+Perhitungan!AC$3*Return!$B25</f>
        <v>1.5870208127955334E-2</v>
      </c>
      <c r="AE25">
        <f>Perhitungan!AD$4+Perhitungan!AD$3*Return!$B25</f>
        <v>1.2916121747583283E-2</v>
      </c>
      <c r="AF25">
        <f>Perhitungan!AE$4+Perhitungan!AE$3*Return!$B25</f>
        <v>16.20270100426011</v>
      </c>
    </row>
    <row r="26" spans="1:32" x14ac:dyDescent="0.3">
      <c r="A26" s="3" t="s">
        <v>13</v>
      </c>
      <c r="C26">
        <f>Perhitungan!B$4+Perhitungan!B$3*Return!$B26</f>
        <v>8.2286910689014468E-3</v>
      </c>
      <c r="D26">
        <f>Perhitungan!C$4+Perhitungan!C$3*Return!$B26</f>
        <v>1.2480017193268239E-2</v>
      </c>
      <c r="E26">
        <f>Perhitungan!D$4+Perhitungan!D$3*Return!$B26</f>
        <v>1.1319411487893201E-2</v>
      </c>
      <c r="F26">
        <f>Perhitungan!E$4+Perhitungan!E$3*Return!$B26</f>
        <v>9.6203555231237862E-3</v>
      </c>
      <c r="G26">
        <f>Perhitungan!F$4+Perhitungan!F$3*Return!$B26</f>
        <v>1.1966586433078966E-2</v>
      </c>
      <c r="H26">
        <f>Perhitungan!G$4+Perhitungan!G$3*Return!$B26</f>
        <v>8.1813867906493209E-3</v>
      </c>
      <c r="I26">
        <f>Perhitungan!H$4+Perhitungan!H$3*Return!$B26</f>
        <v>3.0034952302685782E-3</v>
      </c>
      <c r="J26">
        <f>Perhitungan!I$4+Perhitungan!I$3*Return!$B26</f>
        <v>3.2401833668647476E-3</v>
      </c>
      <c r="K26">
        <f>Perhitungan!J$4+Perhitungan!J$3*Return!$B26</f>
        <v>1.2135046511754731E-2</v>
      </c>
      <c r="L26">
        <f>Perhitungan!K$4+Perhitungan!K$3*Return!$B26</f>
        <v>3.6886982923363719E-3</v>
      </c>
      <c r="M26">
        <f>Perhitungan!L$4+Perhitungan!L$3*Return!$B26</f>
        <v>1.6261293750430866E-2</v>
      </c>
      <c r="N26">
        <f>Perhitungan!M$4+Perhitungan!M$3*Return!$B26</f>
        <v>1.394801450296599E-2</v>
      </c>
      <c r="O26">
        <f>Perhitungan!N$4+Perhitungan!N$3*Return!$B26</f>
        <v>5.5687270468617921E-3</v>
      </c>
      <c r="P26">
        <f>Perhitungan!O$4+Perhitungan!O$3*Return!$B26</f>
        <v>8.2233139923369204E-3</v>
      </c>
      <c r="Q26">
        <f>Perhitungan!P$4+Perhitungan!P$3*Return!$B26</f>
        <v>1.4222820467684786E-2</v>
      </c>
      <c r="R26">
        <f>Perhitungan!Q$4+Perhitungan!Q$3*Return!$B26</f>
        <v>5.8856172530637099E-3</v>
      </c>
      <c r="S26">
        <f>Perhitungan!R$4+Perhitungan!R$3*Return!$B26</f>
        <v>6.1547361812032053E-3</v>
      </c>
      <c r="T26">
        <f>Perhitungan!S$4+Perhitungan!S$3*Return!$B26</f>
        <v>7.6829925724268286E-3</v>
      </c>
      <c r="U26">
        <f>Perhitungan!T$4+Perhitungan!T$3*Return!$B26</f>
        <v>1.2830051482150939E-2</v>
      </c>
      <c r="V26">
        <f>Perhitungan!U$4+Perhitungan!U$3*Return!$B26</f>
        <v>1.0514368734327515E-2</v>
      </c>
      <c r="W26">
        <f>Perhitungan!V$4+Perhitungan!V$3*Return!$B26</f>
        <v>2.4041217963392928E-2</v>
      </c>
      <c r="X26">
        <f>Perhitungan!W$4+Perhitungan!W$3*Return!$B26</f>
        <v>7.6960578390784301E-3</v>
      </c>
      <c r="Y26">
        <f>Perhitungan!X$4+Perhitungan!X$3*Return!$B26</f>
        <v>7.5475763142577174E-3</v>
      </c>
      <c r="Z26">
        <f>Perhitungan!Y$4+Perhitungan!Y$3*Return!$B26</f>
        <v>7.8819780401472393E-3</v>
      </c>
      <c r="AA26">
        <f>Perhitungan!Z$4+Perhitungan!Z$3*Return!$B26</f>
        <v>1.57415454758889E-2</v>
      </c>
      <c r="AB26">
        <f>Perhitungan!AA$4+Perhitungan!AA$3*Return!$B26</f>
        <v>1.1220812972143737E-2</v>
      </c>
      <c r="AC26">
        <f>Perhitungan!AB$4+Perhitungan!AB$3*Return!$B26</f>
        <v>1.1043575613000735E-2</v>
      </c>
      <c r="AD26">
        <f>Perhitungan!AC$4+Perhitungan!AC$3*Return!$B26</f>
        <v>1.0606694352816996E-2</v>
      </c>
      <c r="AE26">
        <f>Perhitungan!AD$4+Perhitungan!AD$3*Return!$B26</f>
        <v>8.730926399487509E-3</v>
      </c>
      <c r="AF26">
        <f>Perhitungan!AE$4+Perhitungan!AE$3*Return!$B26</f>
        <v>16.356929870716911</v>
      </c>
    </row>
    <row r="27" spans="1:32" x14ac:dyDescent="0.3">
      <c r="A27" s="4" t="s">
        <v>14</v>
      </c>
      <c r="C27">
        <f>Perhitungan!B$4+Perhitungan!B$3*Return!$B27</f>
        <v>-7.1904188684546715E-3</v>
      </c>
      <c r="D27">
        <f>Perhitungan!C$4+Perhitungan!C$3*Return!$B27</f>
        <v>-5.1720660763053435E-3</v>
      </c>
      <c r="E27">
        <f>Perhitungan!D$4+Perhitungan!D$3*Return!$B27</f>
        <v>-6.2478326136581634E-3</v>
      </c>
      <c r="F27">
        <f>Perhitungan!E$4+Perhitungan!E$3*Return!$B27</f>
        <v>-5.5839125505108616E-3</v>
      </c>
      <c r="G27">
        <f>Perhitungan!F$4+Perhitungan!F$3*Return!$B27</f>
        <v>-4.2040877288611368E-3</v>
      </c>
      <c r="H27">
        <f>Perhitungan!G$4+Perhitungan!G$3*Return!$B27</f>
        <v>-3.8952835197619161E-3</v>
      </c>
      <c r="I27">
        <f>Perhitungan!H$4+Perhitungan!H$3*Return!$B27</f>
        <v>-4.6041679644385301E-3</v>
      </c>
      <c r="J27">
        <f>Perhitungan!I$4+Perhitungan!I$3*Return!$B27</f>
        <v>-1.9162916098968902E-3</v>
      </c>
      <c r="K27">
        <f>Perhitungan!J$4+Perhitungan!J$3*Return!$B27</f>
        <v>-4.7627229588071834E-3</v>
      </c>
      <c r="L27">
        <f>Perhitungan!K$4+Perhitungan!K$3*Return!$B27</f>
        <v>-2.8322277850434331E-3</v>
      </c>
      <c r="M27">
        <f>Perhitungan!L$4+Perhitungan!L$3*Return!$B27</f>
        <v>-1.1551174549161063E-3</v>
      </c>
      <c r="N27">
        <f>Perhitungan!M$4+Perhitungan!M$3*Return!$B27</f>
        <v>-1.130740646037713E-2</v>
      </c>
      <c r="O27">
        <f>Perhitungan!N$4+Perhitungan!N$3*Return!$B27</f>
        <v>-3.6433140305765104E-3</v>
      </c>
      <c r="P27">
        <f>Perhitungan!O$4+Perhitungan!O$3*Return!$B27</f>
        <v>-7.5644777977896972E-3</v>
      </c>
      <c r="Q27">
        <f>Perhitungan!P$4+Perhitungan!P$3*Return!$B27</f>
        <v>-4.8666634129030566E-3</v>
      </c>
      <c r="R27">
        <f>Perhitungan!Q$4+Perhitungan!Q$3*Return!$B27</f>
        <v>-4.6245666910966834E-3</v>
      </c>
      <c r="S27">
        <f>Perhitungan!R$4+Perhitungan!R$3*Return!$B27</f>
        <v>-3.6106000812966407E-3</v>
      </c>
      <c r="T27">
        <f>Perhitungan!S$4+Perhitungan!S$3*Return!$B27</f>
        <v>-2.5759253342182171E-3</v>
      </c>
      <c r="U27">
        <f>Perhitungan!T$4+Perhitungan!T$3*Return!$B27</f>
        <v>-6.8381496323993238E-3</v>
      </c>
      <c r="V27">
        <f>Perhitungan!U$4+Perhitungan!U$3*Return!$B27</f>
        <v>-5.9629746005267718E-3</v>
      </c>
      <c r="W27">
        <f>Perhitungan!V$4+Perhitungan!V$3*Return!$B27</f>
        <v>-1.0023049941681888E-2</v>
      </c>
      <c r="X27">
        <f>Perhitungan!W$4+Perhitungan!W$3*Return!$B27</f>
        <v>-1.1363996146736822E-2</v>
      </c>
      <c r="Y27">
        <f>Perhitungan!X$4+Perhitungan!X$3*Return!$B27</f>
        <v>-6.7429664392299107E-3</v>
      </c>
      <c r="Z27">
        <f>Perhitungan!Y$4+Perhitungan!Y$3*Return!$B27</f>
        <v>-6.0545796517841918E-3</v>
      </c>
      <c r="AA27">
        <f>Perhitungan!Z$4+Perhitungan!Z$3*Return!$B27</f>
        <v>-5.1278792805384103E-3</v>
      </c>
      <c r="AB27">
        <f>Perhitungan!AA$4+Perhitungan!AA$3*Return!$B27</f>
        <v>-7.6806163566320602E-3</v>
      </c>
      <c r="AC27">
        <f>Perhitungan!AB$4+Perhitungan!AB$3*Return!$B27</f>
        <v>-4.436877992894335E-3</v>
      </c>
      <c r="AD27">
        <f>Perhitungan!AC$4+Perhitungan!AC$3*Return!$B27</f>
        <v>-6.6174643015681264E-3</v>
      </c>
      <c r="AE27">
        <f>Perhitungan!AD$4+Perhitungan!AD$3*Return!$B27</f>
        <v>-4.964576596189851E-3</v>
      </c>
      <c r="AF27">
        <f>Perhitungan!AE$4+Perhitungan!AE$3*Return!$B27</f>
        <v>16.861623613038894</v>
      </c>
    </row>
    <row r="28" spans="1:32" x14ac:dyDescent="0.3">
      <c r="A28" s="3" t="s">
        <v>15</v>
      </c>
      <c r="C28">
        <f>Perhitungan!B$4+Perhitungan!B$3*Return!$B28</f>
        <v>3.4905850762128629E-3</v>
      </c>
      <c r="D28">
        <f>Perhitungan!C$4+Perhitungan!C$3*Return!$B28</f>
        <v>7.0557455029565466E-3</v>
      </c>
      <c r="E28">
        <f>Perhitungan!D$4+Perhitungan!D$3*Return!$B28</f>
        <v>5.9212098478019122E-3</v>
      </c>
      <c r="F28">
        <f>Perhitungan!E$4+Perhitungan!E$3*Return!$B28</f>
        <v>4.948267836687296E-3</v>
      </c>
      <c r="G28">
        <f>Perhitungan!F$4+Perhitungan!F$3*Return!$B28</f>
        <v>6.9975338441951983E-3</v>
      </c>
      <c r="H28">
        <f>Perhitungan!G$4+Perhitungan!G$3*Return!$B28</f>
        <v>4.4703720691799146E-3</v>
      </c>
      <c r="I28">
        <f>Perhitungan!H$4+Perhitungan!H$3*Return!$B28</f>
        <v>6.6575234370486484E-4</v>
      </c>
      <c r="J28">
        <f>Perhitungan!I$4+Perhitungan!I$3*Return!$B28</f>
        <v>1.6556609730428162E-3</v>
      </c>
      <c r="K28">
        <f>Perhitungan!J$4+Perhitungan!J$3*Return!$B28</f>
        <v>6.9425663286042938E-3</v>
      </c>
      <c r="L28">
        <f>Perhitungan!K$4+Perhitungan!K$3*Return!$B28</f>
        <v>1.6848965780585422E-3</v>
      </c>
      <c r="M28">
        <f>Perhitungan!L$4+Perhitungan!L$3*Return!$B28</f>
        <v>1.0909441235049375E-2</v>
      </c>
      <c r="N28">
        <f>Perhitungan!M$4+Perhitungan!M$3*Return!$B28</f>
        <v>6.1873291002126265E-3</v>
      </c>
      <c r="O28">
        <f>Perhitungan!N$4+Perhitungan!N$3*Return!$B28</f>
        <v>2.7379782415654476E-3</v>
      </c>
      <c r="P28">
        <f>Perhitungan!O$4+Perhitungan!O$3*Return!$B28</f>
        <v>3.3719165254254765E-3</v>
      </c>
      <c r="Q28">
        <f>Perhitungan!P$4+Perhitungan!P$3*Return!$B28</f>
        <v>8.3568529546822617E-3</v>
      </c>
      <c r="R28">
        <f>Perhitungan!Q$4+Perhitungan!Q$3*Return!$B28</f>
        <v>2.6559648456028601E-3</v>
      </c>
      <c r="S28">
        <f>Perhitungan!R$4+Perhitungan!R$3*Return!$B28</f>
        <v>3.1539664575324141E-3</v>
      </c>
      <c r="T28">
        <f>Perhitungan!S$4+Perhitungan!S$3*Return!$B28</f>
        <v>4.5305511792818106E-3</v>
      </c>
      <c r="U28">
        <f>Perhitungan!T$4+Perhitungan!T$3*Return!$B28</f>
        <v>6.7862511626213418E-3</v>
      </c>
      <c r="V28">
        <f>Perhitungan!U$4+Perhitungan!U$3*Return!$B28</f>
        <v>5.4510804177097319E-3</v>
      </c>
      <c r="W28">
        <f>Perhitungan!V$4+Perhitungan!V$3*Return!$B28</f>
        <v>1.3573680436693165E-2</v>
      </c>
      <c r="X28">
        <f>Perhitungan!W$4+Perhitungan!W$3*Return!$B28</f>
        <v>1.8391337767908111E-3</v>
      </c>
      <c r="Y28">
        <f>Perhitungan!X$4+Perhitungan!X$3*Return!$B28</f>
        <v>3.1562653673768075E-3</v>
      </c>
      <c r="Z28">
        <f>Perhitungan!Y$4+Perhitungan!Y$3*Return!$B28</f>
        <v>3.5994424213037948E-3</v>
      </c>
      <c r="AA28">
        <f>Perhitungan!Z$4+Perhitungan!Z$3*Return!$B28</f>
        <v>9.3286236597709769E-3</v>
      </c>
      <c r="AB28">
        <f>Perhitungan!AA$4+Perhitungan!AA$3*Return!$B28</f>
        <v>5.4126323484307362E-3</v>
      </c>
      <c r="AC28">
        <f>Perhitungan!AB$4+Perhitungan!AB$3*Return!$B28</f>
        <v>6.2866194529095729E-3</v>
      </c>
      <c r="AD28">
        <f>Perhitungan!AC$4+Perhitungan!AC$3*Return!$B28</f>
        <v>5.3139187210898015E-3</v>
      </c>
      <c r="AE28">
        <f>Perhitungan!AD$4+Perhitungan!AD$3*Return!$B28</f>
        <v>4.5224639732944424E-3</v>
      </c>
      <c r="AF28">
        <f>Perhitungan!AE$4+Perhitungan!AE$3*Return!$B28</f>
        <v>16.51201615356225</v>
      </c>
    </row>
    <row r="29" spans="1:32" x14ac:dyDescent="0.3">
      <c r="A29" s="4" t="s">
        <v>16</v>
      </c>
      <c r="C29">
        <f>Perhitungan!B$4+Perhitungan!B$3*Return!$B29</f>
        <v>-6.118090407592658E-4</v>
      </c>
      <c r="D29">
        <f>Perhitungan!C$4+Perhitungan!C$3*Return!$B29</f>
        <v>2.3592485682043069E-3</v>
      </c>
      <c r="E29">
        <f>Perhitungan!D$4+Perhitungan!D$3*Return!$B29</f>
        <v>1.247285143560848E-3</v>
      </c>
      <c r="F29">
        <f>Perhitungan!E$4+Perhitungan!E$3*Return!$B29</f>
        <v>9.0303434710488405E-4</v>
      </c>
      <c r="G29">
        <f>Perhitungan!F$4+Perhitungan!F$3*Return!$B29</f>
        <v>2.6951792453284371E-3</v>
      </c>
      <c r="H29">
        <f>Perhitungan!G$4+Perhitungan!G$3*Return!$B29</f>
        <v>1.2572643453667646E-3</v>
      </c>
      <c r="I29">
        <f>Perhitungan!H$4+Perhitungan!H$3*Return!$B29</f>
        <v>-1.3583354837163383E-3</v>
      </c>
      <c r="J29">
        <f>Perhitungan!I$4+Perhitungan!I$3*Return!$B29</f>
        <v>2.8373401390420413E-4</v>
      </c>
      <c r="K29">
        <f>Perhitungan!J$4+Perhitungan!J$3*Return!$B29</f>
        <v>2.4467614249737276E-3</v>
      </c>
      <c r="L29">
        <f>Perhitungan!K$4+Perhitungan!K$3*Return!$B29</f>
        <v>-5.0054977883218091E-5</v>
      </c>
      <c r="M29">
        <f>Perhitungan!L$4+Perhitungan!L$3*Return!$B29</f>
        <v>6.2756469915514201E-3</v>
      </c>
      <c r="N29">
        <f>Perhitungan!M$4+Perhitungan!M$3*Return!$B29</f>
        <v>-5.3210482318533851E-4</v>
      </c>
      <c r="O29">
        <f>Perhitungan!N$4+Perhitungan!N$3*Return!$B29</f>
        <v>2.8703111978440308E-4</v>
      </c>
      <c r="P29">
        <f>Perhitungan!O$4+Perhitungan!O$3*Return!$B29</f>
        <v>-8.2856874401815678E-4</v>
      </c>
      <c r="Q29">
        <f>Perhitungan!P$4+Perhitungan!P$3*Return!$B29</f>
        <v>3.2779225439178421E-3</v>
      </c>
      <c r="R29">
        <f>Perhitungan!Q$4+Perhitungan!Q$3*Return!$B29</f>
        <v>-1.4036496565028426E-4</v>
      </c>
      <c r="S29">
        <f>Perhitungan!R$4+Perhitungan!R$3*Return!$B29</f>
        <v>5.558101309809752E-4</v>
      </c>
      <c r="T29">
        <f>Perhitungan!S$4+Perhitungan!S$3*Return!$B29</f>
        <v>1.8010729773813264E-3</v>
      </c>
      <c r="U29">
        <f>Perhitungan!T$4+Perhitungan!T$3*Return!$B29</f>
        <v>1.5533477802883123E-3</v>
      </c>
      <c r="V29">
        <f>Perhitungan!U$4+Perhitungan!U$3*Return!$B29</f>
        <v>1.0671337025709472E-3</v>
      </c>
      <c r="W29">
        <f>Perhitungan!V$4+Perhitungan!V$3*Return!$B29</f>
        <v>4.5105728500367597E-3</v>
      </c>
      <c r="X29">
        <f>Perhitungan!W$4+Perhitungan!W$3*Return!$B29</f>
        <v>-3.2319665434126944E-3</v>
      </c>
      <c r="Y29">
        <f>Perhitungan!X$4+Perhitungan!X$3*Return!$B29</f>
        <v>-6.4586320933264106E-4</v>
      </c>
      <c r="Z29">
        <f>Perhitungan!Y$4+Perhitungan!Y$3*Return!$B29</f>
        <v>-1.0850521760029245E-4</v>
      </c>
      <c r="AA29">
        <f>Perhitungan!Z$4+Perhitungan!Z$3*Return!$B29</f>
        <v>3.7761238272131931E-3</v>
      </c>
      <c r="AB29">
        <f>Perhitungan!AA$4+Perhitungan!AA$3*Return!$B29</f>
        <v>3.8373555764554266E-4</v>
      </c>
      <c r="AC29">
        <f>Perhitungan!AB$4+Perhitungan!AB$3*Return!$B29</f>
        <v>2.1679042962697796E-3</v>
      </c>
      <c r="AD29">
        <f>Perhitungan!AC$4+Perhitungan!AC$3*Return!$B29</f>
        <v>7.3127501333892012E-4</v>
      </c>
      <c r="AE29">
        <f>Perhitungan!AD$4+Perhitungan!AD$3*Return!$B29</f>
        <v>8.786511237393413E-4</v>
      </c>
      <c r="AF29">
        <f>Perhitungan!AE$4+Perhitungan!AE$3*Return!$B29</f>
        <v>16.646294503466109</v>
      </c>
    </row>
    <row r="30" spans="1:32" x14ac:dyDescent="0.3">
      <c r="A30" s="3" t="s">
        <v>17</v>
      </c>
      <c r="C30">
        <f>Perhitungan!B$4+Perhitungan!B$3*Return!$B30</f>
        <v>1.0660712240798767E-2</v>
      </c>
      <c r="D30">
        <f>Perhitungan!C$4+Perhitungan!C$3*Return!$B30</f>
        <v>1.5264240174627863E-2</v>
      </c>
      <c r="E30">
        <f>Perhitungan!D$4+Perhitungan!D$3*Return!$B30</f>
        <v>1.4090252980069957E-2</v>
      </c>
      <c r="F30">
        <f>Perhitungan!E$4+Perhitungan!E$3*Return!$B30</f>
        <v>1.2018490176064872E-2</v>
      </c>
      <c r="G30">
        <f>Perhitungan!F$4+Perhitungan!F$3*Return!$B30</f>
        <v>1.4517150122258725E-2</v>
      </c>
      <c r="H30">
        <f>Perhitungan!G$4+Perhitungan!G$3*Return!$B30</f>
        <v>1.008621255557801E-2</v>
      </c>
      <c r="I30">
        <f>Perhitungan!H$4+Perhitungan!H$3*Return!$B30</f>
        <v>4.2034346582485692E-3</v>
      </c>
      <c r="J30">
        <f>Perhitungan!I$4+Perhitungan!I$3*Return!$B30</f>
        <v>4.0535024473299956E-3</v>
      </c>
      <c r="K30">
        <f>Perhitungan!J$4+Perhitungan!J$3*Return!$B30</f>
        <v>1.4800293291705593E-2</v>
      </c>
      <c r="L30">
        <f>Perhitungan!K$4+Perhitungan!K$3*Return!$B30</f>
        <v>4.7172291443113691E-3</v>
      </c>
      <c r="M30">
        <f>Perhitungan!L$4+Perhitungan!L$3*Return!$B30</f>
        <v>1.9008344712643309E-2</v>
      </c>
      <c r="N30">
        <f>Perhitungan!M$4+Perhitungan!M$3*Return!$B30</f>
        <v>1.7931494660872026E-2</v>
      </c>
      <c r="O30">
        <f>Perhitungan!N$4+Perhitungan!N$3*Return!$B30</f>
        <v>7.0217213524824771E-3</v>
      </c>
      <c r="P30">
        <f>Perhitungan!O$4+Perhitungan!O$3*Return!$B30</f>
        <v>1.0713486515075829E-2</v>
      </c>
      <c r="Q30">
        <f>Perhitungan!P$4+Perhitungan!P$3*Return!$B30</f>
        <v>1.7233761381057821E-2</v>
      </c>
      <c r="R30">
        <f>Perhitungan!Q$4+Perhitungan!Q$3*Return!$B30</f>
        <v>7.5433646831411325E-3</v>
      </c>
      <c r="S30">
        <f>Perhitungan!R$4+Perhitungan!R$3*Return!$B30</f>
        <v>7.6950004790507726E-3</v>
      </c>
      <c r="T30">
        <f>Perhitungan!S$4+Perhitungan!S$3*Return!$B30</f>
        <v>9.301108381386123E-3</v>
      </c>
      <c r="U30">
        <f>Perhitungan!T$4+Perhitungan!T$3*Return!$B30</f>
        <v>1.5932272149754702E-2</v>
      </c>
      <c r="V30">
        <f>Perhitungan!U$4+Perhitungan!U$3*Return!$B30</f>
        <v>1.3113302655273286E-2</v>
      </c>
      <c r="W30">
        <f>Perhitungan!V$4+Perhitungan!V$3*Return!$B30</f>
        <v>2.941409753211657E-2</v>
      </c>
      <c r="X30">
        <f>Perhitungan!W$4+Perhitungan!W$3*Return!$B30</f>
        <v>1.0702356842025737E-2</v>
      </c>
      <c r="Y30">
        <f>Perhitungan!X$4+Perhitungan!X$3*Return!$B30</f>
        <v>9.8015911488095169E-3</v>
      </c>
      <c r="Z30">
        <f>Perhitungan!Y$4+Perhitungan!Y$3*Return!$B30</f>
        <v>1.0080159615338567E-2</v>
      </c>
      <c r="AA30">
        <f>Perhitungan!Z$4+Perhitungan!Z$3*Return!$B30</f>
        <v>1.9033232418854698E-2</v>
      </c>
      <c r="AB30">
        <f>Perhitungan!AA$4+Perhitungan!AA$3*Return!$B30</f>
        <v>1.4202092468396285E-2</v>
      </c>
      <c r="AC30">
        <f>Perhitungan!AB$4+Perhitungan!AB$3*Return!$B30</f>
        <v>1.3485272382338809E-2</v>
      </c>
      <c r="AD30">
        <f>Perhitungan!AC$4+Perhitungan!AC$3*Return!$B30</f>
        <v>1.3323421757042625E-2</v>
      </c>
      <c r="AE30">
        <f>Perhitungan!AD$4+Perhitungan!AD$3*Return!$B30</f>
        <v>1.0891086965213506E-2</v>
      </c>
      <c r="AF30">
        <f>Perhitungan!AE$4+Perhitungan!AE$3*Return!$B30</f>
        <v>16.277325673610989</v>
      </c>
    </row>
    <row r="31" spans="1:32" x14ac:dyDescent="0.3">
      <c r="A31" s="4" t="s">
        <v>18</v>
      </c>
      <c r="C31">
        <f>Perhitungan!B$4+Perhitungan!B$3*Return!$B31</f>
        <v>1.0987627794687092E-2</v>
      </c>
      <c r="D31">
        <f>Perhitungan!C$4+Perhitungan!C$3*Return!$B31</f>
        <v>1.563849916900565E-2</v>
      </c>
      <c r="E31">
        <f>Perhitungan!D$4+Perhitungan!D$3*Return!$B31</f>
        <v>1.4462713216690773E-2</v>
      </c>
      <c r="F31">
        <f>Perhitungan!E$4+Perhitungan!E$3*Return!$B31</f>
        <v>1.2340850658541016E-2</v>
      </c>
      <c r="G31">
        <f>Perhitungan!F$4+Perhitungan!F$3*Return!$B31</f>
        <v>1.4860000320608416E-2</v>
      </c>
      <c r="H31">
        <f>Perhitungan!G$4+Perhitungan!G$3*Return!$B31</f>
        <v>1.0342261794457212E-2</v>
      </c>
      <c r="I31">
        <f>Perhitungan!H$4+Perhitungan!H$3*Return!$B31</f>
        <v>4.364732128543403E-3</v>
      </c>
      <c r="J31">
        <f>Perhitungan!I$4+Perhitungan!I$3*Return!$B31</f>
        <v>4.1628298910013888E-3</v>
      </c>
      <c r="K31">
        <f>Perhitungan!J$4+Perhitungan!J$3*Return!$B31</f>
        <v>1.5158559345219003E-2</v>
      </c>
      <c r="L31">
        <f>Perhitungan!K$4+Perhitungan!K$3*Return!$B31</f>
        <v>4.8554856434940303E-3</v>
      </c>
      <c r="M31">
        <f>Perhitungan!L$4+Perhitungan!L$3*Return!$B31</f>
        <v>1.9377606994258452E-2</v>
      </c>
      <c r="N31">
        <f>Perhitungan!M$4+Perhitungan!M$3*Return!$B31</f>
        <v>1.8466959416390191E-2</v>
      </c>
      <c r="O31">
        <f>Perhitungan!N$4+Perhitungan!N$3*Return!$B31</f>
        <v>7.2170347994653392E-3</v>
      </c>
      <c r="P31">
        <f>Perhitungan!O$4+Perhitungan!O$3*Return!$B31</f>
        <v>1.1048218851683564E-2</v>
      </c>
      <c r="Q31">
        <f>Perhitungan!P$4+Perhitungan!P$3*Return!$B31</f>
        <v>1.7638496104502868E-2</v>
      </c>
      <c r="R31">
        <f>Perhitungan!Q$4+Perhitungan!Q$3*Return!$B31</f>
        <v>7.7662013202448778E-3</v>
      </c>
      <c r="S31">
        <f>Perhitungan!R$4+Perhitungan!R$3*Return!$B31</f>
        <v>7.9020448756554357E-3</v>
      </c>
      <c r="T31">
        <f>Perhitungan!S$4+Perhitungan!S$3*Return!$B31</f>
        <v>9.5186176827252618E-3</v>
      </c>
      <c r="U31">
        <f>Perhitungan!T$4+Perhitungan!T$3*Return!$B31</f>
        <v>1.6349276820418118E-2</v>
      </c>
      <c r="V31">
        <f>Perhitungan!U$4+Perhitungan!U$3*Return!$B31</f>
        <v>1.3462654845173141E-2</v>
      </c>
      <c r="W31">
        <f>Perhitungan!V$4+Perhitungan!V$3*Return!$B31</f>
        <v>3.0136327223404268E-2</v>
      </c>
      <c r="X31">
        <f>Perhitungan!W$4+Perhitungan!W$3*Return!$B31</f>
        <v>1.1106467593633918E-2</v>
      </c>
      <c r="Y31">
        <f>Perhitungan!X$4+Perhitungan!X$3*Return!$B31</f>
        <v>1.0104578851640711E-2</v>
      </c>
      <c r="Z31">
        <f>Perhitungan!Y$4+Perhitungan!Y$3*Return!$B31</f>
        <v>1.0375642136422112E-2</v>
      </c>
      <c r="AA31">
        <f>Perhitungan!Z$4+Perhitungan!Z$3*Return!$B31</f>
        <v>1.9475705400842397E-2</v>
      </c>
      <c r="AB31">
        <f>Perhitungan!AA$4+Perhitungan!AA$3*Return!$B31</f>
        <v>1.4602840064295278E-2</v>
      </c>
      <c r="AC31">
        <f>Perhitungan!AB$4+Perhitungan!AB$3*Return!$B31</f>
        <v>1.3813488543036439E-2</v>
      </c>
      <c r="AD31">
        <f>Perhitungan!AC$4+Perhitungan!AC$3*Return!$B31</f>
        <v>1.3688607905246728E-2</v>
      </c>
      <c r="AE31">
        <f>Perhitungan!AD$4+Perhitungan!AD$3*Return!$B31</f>
        <v>1.118145865111503E-2</v>
      </c>
      <c r="AF31">
        <f>Perhitungan!AE$4+Perhitungan!AE$3*Return!$B31</f>
        <v>16.26662517047005</v>
      </c>
    </row>
    <row r="32" spans="1:32" x14ac:dyDescent="0.3">
      <c r="A32" s="3" t="s">
        <v>19</v>
      </c>
      <c r="C32">
        <f>Perhitungan!B$4+Perhitungan!B$3*Return!$B32</f>
        <v>-4.3451613685718433E-3</v>
      </c>
      <c r="D32">
        <f>Perhitungan!C$4+Perhitungan!C$3*Return!$B32</f>
        <v>-1.9147624760741644E-3</v>
      </c>
      <c r="E32">
        <f>Perhitungan!D$4+Perhitungan!D$3*Return!$B32</f>
        <v>-3.0061842153212403E-3</v>
      </c>
      <c r="F32">
        <f>Perhitungan!E$4+Perhitungan!E$3*Return!$B32</f>
        <v>-2.7782993897971422E-3</v>
      </c>
      <c r="G32">
        <f>Perhitungan!F$4+Perhitungan!F$3*Return!$B32</f>
        <v>-1.2201455866527166E-3</v>
      </c>
      <c r="H32">
        <f>Perhitungan!G$4+Perhitungan!G$3*Return!$B32</f>
        <v>-1.6667997153198479E-3</v>
      </c>
      <c r="I32">
        <f>Perhitungan!H$4+Perhitungan!H$3*Return!$B32</f>
        <v>-3.2003410996412672E-3</v>
      </c>
      <c r="J32">
        <f>Perhitungan!I$4+Perhitungan!I$3*Return!$B32</f>
        <v>-9.6477760161783183E-4</v>
      </c>
      <c r="K32">
        <f>Perhitungan!J$4+Perhitungan!J$3*Return!$B32</f>
        <v>-1.6446113743682643E-3</v>
      </c>
      <c r="L32">
        <f>Perhitungan!K$4+Perhitungan!K$3*Return!$B32</f>
        <v>-1.6289343457187653E-3</v>
      </c>
      <c r="M32">
        <f>Perhitungan!L$4+Perhitungan!L$3*Return!$B32</f>
        <v>2.0586980509323298E-3</v>
      </c>
      <c r="N32">
        <f>Perhitungan!M$4+Perhitungan!M$3*Return!$B32</f>
        <v>-6.6470741713804682E-3</v>
      </c>
      <c r="O32">
        <f>Perhitungan!N$4+Perhitungan!N$3*Return!$B32</f>
        <v>-1.943434525773894E-3</v>
      </c>
      <c r="P32">
        <f>Perhitungan!O$4+Perhitungan!O$3*Return!$B32</f>
        <v>-4.6511881734244732E-3</v>
      </c>
      <c r="Q32">
        <f>Perhitungan!P$4+Perhitungan!P$3*Return!$B32</f>
        <v>-1.3441191544600749E-3</v>
      </c>
      <c r="R32">
        <f>Perhitungan!Q$4+Perhitungan!Q$3*Return!$B32</f>
        <v>-2.685143480952684E-3</v>
      </c>
      <c r="S32">
        <f>Perhitungan!R$4+Perhitungan!R$3*Return!$B32</f>
        <v>-1.8086221232537754E-3</v>
      </c>
      <c r="T32">
        <f>Perhitungan!S$4+Perhitungan!S$3*Return!$B32</f>
        <v>-6.8286774314113585E-4</v>
      </c>
      <c r="U32">
        <f>Perhitungan!T$4+Perhitungan!T$3*Return!$B32</f>
        <v>-3.2088158409072413E-3</v>
      </c>
      <c r="V32">
        <f>Perhitungan!U$4+Perhitungan!U$3*Return!$B32</f>
        <v>-2.9224434095495256E-3</v>
      </c>
      <c r="W32">
        <f>Perhitungan!V$4+Perhitungan!V$3*Return!$B32</f>
        <v>-3.7372387548689229E-3</v>
      </c>
      <c r="X32">
        <f>Perhitungan!W$4+Perhitungan!W$3*Return!$B32</f>
        <v>-7.8468825278808652E-3</v>
      </c>
      <c r="Y32">
        <f>Perhitungan!X$4+Perhitungan!X$3*Return!$B32</f>
        <v>-4.1059611832878276E-3</v>
      </c>
      <c r="Z32">
        <f>Perhitungan!Y$4+Perhitungan!Y$3*Return!$B32</f>
        <v>-3.4828945508530765E-3</v>
      </c>
      <c r="AA32">
        <f>Perhitungan!Z$4+Perhitungan!Z$3*Return!$B32</f>
        <v>-1.2768860943100004E-3</v>
      </c>
      <c r="AB32">
        <f>Perhitungan!AA$4+Perhitungan!AA$3*Return!$B32</f>
        <v>-4.1927734282985437E-3</v>
      </c>
      <c r="AC32">
        <f>Perhitungan!AB$4+Perhitungan!AB$3*Return!$B32</f>
        <v>-1.5803008686174993E-3</v>
      </c>
      <c r="AD32">
        <f>Perhitungan!AC$4+Perhitungan!AC$3*Return!$B32</f>
        <v>-3.4391247742111965E-3</v>
      </c>
      <c r="AE32">
        <f>Perhitungan!AD$4+Perhitungan!AD$3*Return!$B32</f>
        <v>-2.4373728359577368E-3</v>
      </c>
      <c r="AF32">
        <f>Perhitungan!AE$4+Perhitungan!AE$3*Return!$B32</f>
        <v>16.768493486765745</v>
      </c>
    </row>
    <row r="33" spans="1:32" x14ac:dyDescent="0.3">
      <c r="A33" s="4" t="s">
        <v>20</v>
      </c>
      <c r="C33">
        <f>Perhitungan!B$4+Perhitungan!B$3*Return!$B33</f>
        <v>6.8604859857844397E-3</v>
      </c>
      <c r="D33">
        <f>Perhitungan!C$4+Perhitungan!C$3*Return!$B33</f>
        <v>1.091367061715864E-2</v>
      </c>
      <c r="E33">
        <f>Perhitungan!D$4+Perhitungan!D$3*Return!$B33</f>
        <v>9.7605930623323057E-3</v>
      </c>
      <c r="F33">
        <f>Perhitungan!E$4+Perhitungan!E$3*Return!$B33</f>
        <v>8.2712142985047268E-3</v>
      </c>
      <c r="G33">
        <f>Perhitungan!F$4+Perhitungan!F$3*Return!$B33</f>
        <v>1.0531691768232378E-2</v>
      </c>
      <c r="H33">
        <f>Perhitungan!G$4+Perhitungan!G$3*Return!$B33</f>
        <v>7.1097709987545197E-3</v>
      </c>
      <c r="I33">
        <f>Perhitungan!H$4+Perhitungan!H$3*Return!$B33</f>
        <v>2.3284339915895041E-3</v>
      </c>
      <c r="J33">
        <f>Perhitungan!I$4+Perhitungan!I$3*Return!$B33</f>
        <v>2.7826267826757739E-3</v>
      </c>
      <c r="K33">
        <f>Perhitungan!J$4+Perhitungan!J$3*Return!$B33</f>
        <v>1.0635633499143027E-2</v>
      </c>
      <c r="L33">
        <f>Perhitungan!K$4+Perhitungan!K$3*Return!$B33</f>
        <v>3.1100679925363875E-3</v>
      </c>
      <c r="M33">
        <f>Perhitungan!L$4+Perhitungan!L$3*Return!$B33</f>
        <v>1.471585938764185E-2</v>
      </c>
      <c r="N33">
        <f>Perhitungan!M$4+Perhitungan!M$3*Return!$B33</f>
        <v>1.1706990508799508E-2</v>
      </c>
      <c r="O33">
        <f>Perhitungan!N$4+Perhitungan!N$3*Return!$B33</f>
        <v>4.7513023395187341E-3</v>
      </c>
      <c r="P33">
        <f>Perhitungan!O$4+Perhitungan!O$3*Return!$B33</f>
        <v>6.8223941554459962E-3</v>
      </c>
      <c r="Q33">
        <f>Perhitungan!P$4+Perhitungan!P$3*Return!$B33</f>
        <v>1.2528927046753714E-2</v>
      </c>
      <c r="R33">
        <f>Perhitungan!Q$4+Perhitungan!Q$3*Return!$B33</f>
        <v>4.953002649800772E-3</v>
      </c>
      <c r="S33">
        <f>Perhitungan!R$4+Perhitungan!R$3*Return!$B33</f>
        <v>5.2882151714314764E-3</v>
      </c>
      <c r="T33">
        <f>Perhitungan!S$4+Perhitungan!S$3*Return!$B33</f>
        <v>6.7726739039577844E-3</v>
      </c>
      <c r="U33">
        <f>Perhitungan!T$4+Perhitungan!T$3*Return!$B33</f>
        <v>1.1084805949171137E-2</v>
      </c>
      <c r="V33">
        <f>Perhitungan!U$4+Perhitungan!U$3*Return!$B33</f>
        <v>9.0522619720952071E-3</v>
      </c>
      <c r="W33">
        <f>Perhitungan!V$4+Perhitungan!V$3*Return!$B33</f>
        <v>2.1018546441512954E-2</v>
      </c>
      <c r="X33">
        <f>Perhitungan!W$4+Perhitungan!W$3*Return!$B33</f>
        <v>6.0047758614658791E-3</v>
      </c>
      <c r="Y33">
        <f>Perhitungan!X$4+Perhitungan!X$3*Return!$B33</f>
        <v>6.2795139348299136E-3</v>
      </c>
      <c r="Z33">
        <f>Perhitungan!Y$4+Perhitungan!Y$3*Return!$B33</f>
        <v>6.6453263039106692E-3</v>
      </c>
      <c r="AA33">
        <f>Perhitungan!Z$4+Perhitungan!Z$3*Return!$B33</f>
        <v>1.3889710113829879E-2</v>
      </c>
      <c r="AB33">
        <f>Perhitungan!AA$4+Perhitungan!AA$3*Return!$B33</f>
        <v>9.5436064543307983E-3</v>
      </c>
      <c r="AC33">
        <f>Perhitungan!AB$4+Perhitungan!AB$3*Return!$B33</f>
        <v>9.6699272377966349E-3</v>
      </c>
      <c r="AD33">
        <f>Perhitungan!AC$4+Perhitungan!AC$3*Return!$B33</f>
        <v>9.078319399976862E-3</v>
      </c>
      <c r="AE33">
        <f>Perhitungan!AD$4+Perhitungan!AD$3*Return!$B33</f>
        <v>7.5156645010602541E-3</v>
      </c>
      <c r="AF33">
        <f>Perhitungan!AE$4+Perhitungan!AE$3*Return!$B33</f>
        <v>16.401713554500716</v>
      </c>
    </row>
    <row r="34" spans="1:32" x14ac:dyDescent="0.3">
      <c r="A34" s="3" t="s">
        <v>21</v>
      </c>
      <c r="C34">
        <f>Perhitungan!B$4+Perhitungan!B$3*Return!$B34</f>
        <v>4.0262054510982505E-3</v>
      </c>
      <c r="D34">
        <f>Perhitungan!C$4+Perhitungan!C$3*Return!$B34</f>
        <v>7.6689336504416851E-3</v>
      </c>
      <c r="E34">
        <f>Perhitungan!D$4+Perhitungan!D$3*Return!$B34</f>
        <v>6.5314508999510914E-3</v>
      </c>
      <c r="F34">
        <f>Perhitungan!E$4+Perhitungan!E$3*Return!$B34</f>
        <v>5.4764251556599182E-3</v>
      </c>
      <c r="G34">
        <f>Perhitungan!F$4+Perhitungan!F$3*Return!$B34</f>
        <v>7.5592616347068837E-3</v>
      </c>
      <c r="H34">
        <f>Perhitungan!G$4+Perhitungan!G$3*Return!$B34</f>
        <v>4.8898846548810085E-3</v>
      </c>
      <c r="I34">
        <f>Perhitungan!H$4+Perhitungan!H$3*Return!$B34</f>
        <v>9.3002307197035707E-4</v>
      </c>
      <c r="J34">
        <f>Perhitungan!I$4+Perhitungan!I$3*Return!$B34</f>
        <v>1.8347837026530943E-3</v>
      </c>
      <c r="K34">
        <f>Perhitungan!J$4+Perhitungan!J$3*Return!$B34</f>
        <v>7.5295515472920309E-3</v>
      </c>
      <c r="L34">
        <f>Perhitungan!K$4+Perhitungan!K$3*Return!$B34</f>
        <v>1.9114168431293656E-3</v>
      </c>
      <c r="M34">
        <f>Perhitungan!L$4+Perhitungan!L$3*Return!$B34</f>
        <v>1.1514442738823953E-2</v>
      </c>
      <c r="N34">
        <f>Perhitungan!M$4+Perhitungan!M$3*Return!$B34</f>
        <v>7.0646377191427821E-3</v>
      </c>
      <c r="O34">
        <f>Perhitungan!N$4+Perhitungan!N$3*Return!$B34</f>
        <v>3.0579809470006711E-3</v>
      </c>
      <c r="P34">
        <f>Perhitungan!O$4+Perhitungan!O$3*Return!$B34</f>
        <v>3.920343963299368E-3</v>
      </c>
      <c r="Q34">
        <f>Perhitungan!P$4+Perhitungan!P$3*Return!$B34</f>
        <v>9.0199727167197211E-3</v>
      </c>
      <c r="R34">
        <f>Perhitungan!Q$4+Perhitungan!Q$3*Return!$B34</f>
        <v>3.0210617083372632E-3</v>
      </c>
      <c r="S34">
        <f>Perhitungan!R$4+Perhitungan!R$3*Return!$B34</f>
        <v>3.4931892201336455E-3</v>
      </c>
      <c r="T34">
        <f>Perhitungan!S$4+Perhitungan!S$3*Return!$B34</f>
        <v>4.8869197036259492E-3</v>
      </c>
      <c r="U34">
        <f>Perhitungan!T$4+Perhitungan!T$3*Return!$B34</f>
        <v>7.4694740786713839E-3</v>
      </c>
      <c r="V34">
        <f>Perhitungan!U$4+Perhitungan!U$3*Return!$B34</f>
        <v>6.0234611095905249E-3</v>
      </c>
      <c r="W34">
        <f>Perhitungan!V$4+Perhitungan!V$3*Return!$B34</f>
        <v>1.4756985829782606E-2</v>
      </c>
      <c r="X34">
        <f>Perhitungan!W$4+Perhitungan!W$3*Return!$B34</f>
        <v>2.5012312196843666E-3</v>
      </c>
      <c r="Y34">
        <f>Perhitungan!X$4+Perhitungan!X$3*Return!$B34</f>
        <v>3.6526822097260859E-3</v>
      </c>
      <c r="Z34">
        <f>Perhitungan!Y$4+Perhitungan!Y$3*Return!$B34</f>
        <v>4.0835627295376254E-3</v>
      </c>
      <c r="AA34">
        <f>Perhitungan!Z$4+Perhitungan!Z$3*Return!$B34</f>
        <v>1.0053574007559771E-2</v>
      </c>
      <c r="AB34">
        <f>Perhitungan!AA$4+Perhitungan!AA$3*Return!$B34</f>
        <v>6.0692195771410657E-3</v>
      </c>
      <c r="AC34">
        <f>Perhitungan!AB$4+Perhitungan!AB$3*Return!$B34</f>
        <v>6.8243707496752236E-3</v>
      </c>
      <c r="AD34">
        <f>Perhitungan!AC$4+Perhitungan!AC$3*Return!$B34</f>
        <v>5.9122418638022176E-3</v>
      </c>
      <c r="AE34">
        <f>Perhitungan!AD$4+Perhitungan!AD$3*Return!$B34</f>
        <v>4.9982106589715842E-3</v>
      </c>
      <c r="AF34">
        <f>Perhitungan!AE$4+Perhitungan!AE$3*Return!$B34</f>
        <v>16.494484385998295</v>
      </c>
    </row>
    <row r="35" spans="1:32" x14ac:dyDescent="0.3">
      <c r="A35" s="4" t="s">
        <v>22</v>
      </c>
      <c r="C35">
        <f>Perhitungan!B$4+Perhitungan!B$3*Return!$B35</f>
        <v>1.6969115308406927E-3</v>
      </c>
      <c r="D35">
        <f>Perhitungan!C$4+Perhitungan!C$3*Return!$B35</f>
        <v>5.0023147336076225E-3</v>
      </c>
      <c r="E35">
        <f>Perhitungan!D$4+Perhitungan!D$3*Return!$B35</f>
        <v>3.8776482454743709E-3</v>
      </c>
      <c r="F35">
        <f>Perhitungan!E$4+Perhitungan!E$3*Return!$B35</f>
        <v>3.1795864062271577E-3</v>
      </c>
      <c r="G35">
        <f>Perhitungan!F$4+Perhitungan!F$3*Return!$B35</f>
        <v>5.1164323686272353E-3</v>
      </c>
      <c r="H35">
        <f>Perhitungan!G$4+Perhitungan!G$3*Return!$B35</f>
        <v>3.0655176943183505E-3</v>
      </c>
      <c r="I35">
        <f>Perhitungan!H$4+Perhitungan!H$3*Return!$B35</f>
        <v>-2.192315671620071E-4</v>
      </c>
      <c r="J35">
        <f>Perhitungan!I$4+Perhitungan!I$3*Return!$B35</f>
        <v>1.0558187778209542E-3</v>
      </c>
      <c r="K35">
        <f>Perhitungan!J$4+Perhitungan!J$3*Return!$B35</f>
        <v>4.9768833418247444E-3</v>
      </c>
      <c r="L35">
        <f>Perhitungan!K$4+Perhitungan!K$3*Return!$B35</f>
        <v>9.2633057497255389E-4</v>
      </c>
      <c r="M35">
        <f>Perhitungan!L$4+Perhitungan!L$3*Return!$B35</f>
        <v>8.8834257152643949E-3</v>
      </c>
      <c r="N35">
        <f>Perhitungan!M$4+Perhitungan!M$3*Return!$B35</f>
        <v>3.2494175966804222E-3</v>
      </c>
      <c r="O35">
        <f>Perhitungan!N$4+Perhitungan!N$3*Return!$B35</f>
        <v>1.6663603306345878E-3</v>
      </c>
      <c r="P35">
        <f>Perhitungan!O$4+Perhitungan!O$3*Return!$B35</f>
        <v>1.5353549736340049E-3</v>
      </c>
      <c r="Q35">
        <f>Perhitungan!P$4+Perhitungan!P$3*Return!$B35</f>
        <v>6.1362123100193438E-3</v>
      </c>
      <c r="R35">
        <f>Perhitungan!Q$4+Perhitungan!Q$3*Return!$B35</f>
        <v>1.4333366281359633E-3</v>
      </c>
      <c r="S35">
        <f>Perhitungan!R$4+Perhitungan!R$3*Return!$B35</f>
        <v>2.0179848485503259E-3</v>
      </c>
      <c r="T35">
        <f>Perhitungan!S$4+Perhitungan!S$3*Return!$B35</f>
        <v>3.3371522264205103E-3</v>
      </c>
      <c r="U35">
        <f>Perhitungan!T$4+Perhitungan!T$3*Return!$B35</f>
        <v>4.498289524916245E-3</v>
      </c>
      <c r="V35">
        <f>Perhitungan!U$4+Perhitungan!U$3*Return!$B35</f>
        <v>3.5343047440283808E-3</v>
      </c>
      <c r="W35">
        <f>Perhitungan!V$4+Perhitungan!V$3*Return!$B35</f>
        <v>9.6110537719870139E-3</v>
      </c>
      <c r="X35">
        <f>Perhitungan!W$4+Perhitungan!W$3*Return!$B35</f>
        <v>-3.7808334836215117E-4</v>
      </c>
      <c r="Y35">
        <f>Perhitungan!X$4+Perhitungan!X$3*Return!$B35</f>
        <v>1.4938757359337948E-3</v>
      </c>
      <c r="Z35">
        <f>Perhitungan!Y$4+Perhitungan!Y$3*Return!$B35</f>
        <v>1.9782311485954866E-3</v>
      </c>
      <c r="AA35">
        <f>Perhitungan!Z$4+Perhitungan!Z$3*Return!$B35</f>
        <v>6.9009261308721551E-3</v>
      </c>
      <c r="AB35">
        <f>Perhitungan!AA$4+Perhitungan!AA$3*Return!$B35</f>
        <v>3.2138677054334465E-3</v>
      </c>
      <c r="AC35">
        <f>Perhitungan!AB$4+Perhitungan!AB$3*Return!$B35</f>
        <v>4.4858099239507097E-3</v>
      </c>
      <c r="AD35">
        <f>Perhitungan!AC$4+Perhitungan!AC$3*Return!$B35</f>
        <v>3.3102675476316579E-3</v>
      </c>
      <c r="AE35">
        <f>Perhitungan!AD$4+Perhitungan!AD$3*Return!$B35</f>
        <v>2.9292941007327874E-3</v>
      </c>
      <c r="AF35">
        <f>Perhitungan!AE$4+Perhitungan!AE$3*Return!$B35</f>
        <v>16.570726145111415</v>
      </c>
    </row>
    <row r="36" spans="1:32" x14ac:dyDescent="0.3">
      <c r="A36" s="3" t="s">
        <v>23</v>
      </c>
      <c r="C36">
        <f>Perhitungan!B$4+Perhitungan!B$3*Return!$B36</f>
        <v>6.1489895928422888E-4</v>
      </c>
      <c r="D36">
        <f>Perhitungan!C$4+Perhitungan!C$3*Return!$B36</f>
        <v>3.7636066571079007E-3</v>
      </c>
      <c r="E36">
        <f>Perhitungan!D$4+Perhitungan!D$3*Return!$B36</f>
        <v>2.6448936284631267E-3</v>
      </c>
      <c r="F36">
        <f>Perhitungan!E$4+Perhitungan!E$3*Return!$B36</f>
        <v>2.1126500354622883E-3</v>
      </c>
      <c r="G36">
        <f>Perhitungan!F$4+Perhitungan!F$3*Return!$B36</f>
        <v>3.9816799215114307E-3</v>
      </c>
      <c r="H36">
        <f>Perhitungan!G$4+Perhitungan!G$3*Return!$B36</f>
        <v>2.2180557363002829E-3</v>
      </c>
      <c r="I36">
        <f>Perhitungan!H$4+Perhitungan!H$3*Return!$B36</f>
        <v>-7.530877527838313E-4</v>
      </c>
      <c r="J36">
        <f>Perhitungan!I$4+Perhitungan!I$3*Return!$B36</f>
        <v>6.9397099461946147E-4</v>
      </c>
      <c r="K36">
        <f>Perhitungan!J$4+Perhitungan!J$3*Return!$B36</f>
        <v>3.7911080880849001E-3</v>
      </c>
      <c r="L36">
        <f>Perhitungan!K$4+Perhitungan!K$3*Return!$B36</f>
        <v>4.6873451251623041E-4</v>
      </c>
      <c r="M36">
        <f>Perhitungan!L$4+Perhitungan!L$3*Return!$B36</f>
        <v>7.6612555671725941E-3</v>
      </c>
      <c r="N36">
        <f>Perhitungan!M$4+Perhitungan!M$3*Return!$B36</f>
        <v>1.4771568700036419E-3</v>
      </c>
      <c r="O36">
        <f>Perhitungan!N$4+Perhitungan!N$3*Return!$B36</f>
        <v>1.0199193689981272E-3</v>
      </c>
      <c r="P36">
        <f>Perhitungan!O$4+Perhitungan!O$3*Return!$B36</f>
        <v>4.2747071420300652E-4</v>
      </c>
      <c r="Q36">
        <f>Perhitungan!P$4+Perhitungan!P$3*Return!$B36</f>
        <v>4.7966368334038502E-3</v>
      </c>
      <c r="R36">
        <f>Perhitungan!Q$4+Perhitungan!Q$3*Return!$B36</f>
        <v>6.9580046663542442E-4</v>
      </c>
      <c r="S36">
        <f>Perhitungan!R$4+Perhitungan!R$3*Return!$B36</f>
        <v>1.3327172394322333E-3</v>
      </c>
      <c r="T36">
        <f>Perhitungan!S$4+Perhitungan!S$3*Return!$B36</f>
        <v>2.617248276668985E-3</v>
      </c>
      <c r="U36">
        <f>Perhitungan!T$4+Perhitungan!T$3*Return!$B36</f>
        <v>3.1181034472305392E-3</v>
      </c>
      <c r="V36">
        <f>Perhitungan!U$4+Perhitungan!U$3*Return!$B36</f>
        <v>2.3780322544620022E-3</v>
      </c>
      <c r="W36">
        <f>Perhitungan!V$4+Perhitungan!V$3*Return!$B36</f>
        <v>7.220645618474731E-3</v>
      </c>
      <c r="X36">
        <f>Perhitungan!W$4+Perhitungan!W$3*Return!$B36</f>
        <v>-1.7155936269050648E-3</v>
      </c>
      <c r="Y36">
        <f>Perhitungan!X$4+Perhitungan!X$3*Return!$B36</f>
        <v>4.9105864879588025E-4</v>
      </c>
      <c r="Z36">
        <f>Perhitungan!Y$4+Perhitungan!Y$3*Return!$B36</f>
        <v>1.0002544243775517E-3</v>
      </c>
      <c r="AA36">
        <f>Perhitungan!Z$4+Perhitungan!Z$3*Return!$B36</f>
        <v>5.4364460124122198E-3</v>
      </c>
      <c r="AB36">
        <f>Perhitungan!AA$4+Perhitungan!AA$3*Return!$B36</f>
        <v>1.8874886707673083E-3</v>
      </c>
      <c r="AC36">
        <f>Perhitungan!AB$4+Perhitungan!AB$3*Return!$B36</f>
        <v>3.3994926538212285E-3</v>
      </c>
      <c r="AD36">
        <f>Perhitungan!AC$4+Perhitungan!AC$3*Return!$B36</f>
        <v>2.1015884296900827E-3</v>
      </c>
      <c r="AE36">
        <f>Perhitungan!AD$4+Perhitungan!AD$3*Return!$B36</f>
        <v>1.9682330229327904E-3</v>
      </c>
      <c r="AF36">
        <f>Perhitungan!AE$4+Perhitungan!AE$3*Return!$B36</f>
        <v>16.606142260321494</v>
      </c>
    </row>
    <row r="37" spans="1:32" x14ac:dyDescent="0.3">
      <c r="A37" s="2">
        <v>45693</v>
      </c>
      <c r="C37">
        <f>Perhitungan!B$4+Perhitungan!B$3*Return!$B37</f>
        <v>4.573382153239363E-3</v>
      </c>
      <c r="D37">
        <f>Perhitungan!C$4+Perhitungan!C$3*Return!$B37</f>
        <v>8.295351695880547E-3</v>
      </c>
      <c r="E37">
        <f>Perhitungan!D$4+Perhitungan!D$3*Return!$B37</f>
        <v>7.1548582647242486E-3</v>
      </c>
      <c r="F37">
        <f>Perhitungan!E$4+Perhitungan!E$3*Return!$B37</f>
        <v>6.0159777820307314E-3</v>
      </c>
      <c r="G37">
        <f>Perhitungan!F$4+Perhitungan!F$3*Return!$B37</f>
        <v>8.1331090354503054E-3</v>
      </c>
      <c r="H37">
        <f>Perhitungan!G$4+Perhitungan!G$3*Return!$B37</f>
        <v>5.3184484734245694E-3</v>
      </c>
      <c r="I37">
        <f>Perhitungan!H$4+Perhitungan!H$3*Return!$B37</f>
        <v>1.1999955979327685E-3</v>
      </c>
      <c r="J37">
        <f>Perhitungan!I$4+Perhitungan!I$3*Return!$B37</f>
        <v>2.0177711113894374E-3</v>
      </c>
      <c r="K37">
        <f>Perhitungan!J$4+Perhitungan!J$3*Return!$B37</f>
        <v>8.1292013202041644E-3</v>
      </c>
      <c r="L37">
        <f>Perhitungan!K$4+Perhitungan!K$3*Return!$B37</f>
        <v>2.1428244172645083E-3</v>
      </c>
      <c r="M37">
        <f>Perhitungan!L$4+Perhitungan!L$3*Return!$B37</f>
        <v>1.213249750885884E-2</v>
      </c>
      <c r="N37">
        <f>Perhitungan!M$4+Perhitungan!M$3*Return!$B37</f>
        <v>7.9608747918435644E-3</v>
      </c>
      <c r="O37">
        <f>Perhitungan!N$4+Perhitungan!N$3*Return!$B37</f>
        <v>3.3848879005939632E-3</v>
      </c>
      <c r="P37">
        <f>Perhitungan!O$4+Perhitungan!O$3*Return!$B37</f>
        <v>4.4806040484086165E-3</v>
      </c>
      <c r="Q37">
        <f>Perhitungan!P$4+Perhitungan!P$3*Return!$B37</f>
        <v>9.6973996809084865E-3</v>
      </c>
      <c r="R37">
        <f>Perhitungan!Q$4+Perhitungan!Q$3*Return!$B37</f>
        <v>3.3940357524180624E-3</v>
      </c>
      <c r="S37">
        <f>Perhitungan!R$4+Perhitungan!R$3*Return!$B37</f>
        <v>3.8397309150253996E-3</v>
      </c>
      <c r="T37">
        <f>Perhitungan!S$4+Perhitungan!S$3*Return!$B37</f>
        <v>5.2509770902390805E-3</v>
      </c>
      <c r="U37">
        <f>Perhitungan!T$4+Perhitungan!T$3*Return!$B37</f>
        <v>8.1674379343433974E-3</v>
      </c>
      <c r="V37">
        <f>Perhitungan!U$4+Perhitungan!U$3*Return!$B37</f>
        <v>6.6081912543681526E-3</v>
      </c>
      <c r="W37">
        <f>Perhitungan!V$4+Perhitungan!V$3*Return!$B37</f>
        <v>1.5965821738526776E-2</v>
      </c>
      <c r="X37">
        <f>Perhitungan!W$4+Perhitungan!W$3*Return!$B37</f>
        <v>3.1776138075873765E-3</v>
      </c>
      <c r="Y37">
        <f>Perhitungan!X$4+Perhitungan!X$3*Return!$B37</f>
        <v>4.1598095398656561E-3</v>
      </c>
      <c r="Z37">
        <f>Perhitungan!Y$4+Perhitungan!Y$3*Return!$B37</f>
        <v>4.5781282205453345E-3</v>
      </c>
      <c r="AA37">
        <f>Perhitungan!Z$4+Perhitungan!Z$3*Return!$B37</f>
        <v>1.0794165589058154E-2</v>
      </c>
      <c r="AB37">
        <f>Perhitungan!AA$4+Perhitungan!AA$3*Return!$B37</f>
        <v>6.7399730647218301E-3</v>
      </c>
      <c r="AC37">
        <f>Perhitungan!AB$4+Perhitungan!AB$3*Return!$B37</f>
        <v>7.3737243495999782E-3</v>
      </c>
      <c r="AD37">
        <f>Perhitungan!AC$4+Perhitungan!AC$3*Return!$B37</f>
        <v>6.5234741831741994E-3</v>
      </c>
      <c r="AE37">
        <f>Perhitungan!AD$4+Perhitungan!AD$3*Return!$B37</f>
        <v>5.4842218615496893E-3</v>
      </c>
      <c r="AF37">
        <f>Perhitungan!AE$4+Perhitungan!AE$3*Return!$B37</f>
        <v>16.476574360151346</v>
      </c>
    </row>
    <row r="38" spans="1:32" x14ac:dyDescent="0.3">
      <c r="A38" s="1">
        <v>45782</v>
      </c>
      <c r="C38">
        <f>Perhitungan!B$4+Perhitungan!B$3*Return!$B38</f>
        <v>4.0507243484339504E-4</v>
      </c>
      <c r="D38">
        <f>Perhitungan!C$4+Perhitungan!C$3*Return!$B38</f>
        <v>3.5233933570767888E-3</v>
      </c>
      <c r="E38">
        <f>Perhitungan!D$4+Perhitungan!D$3*Return!$B38</f>
        <v>2.405834837857973E-3</v>
      </c>
      <c r="F38">
        <f>Perhitungan!E$4+Perhitungan!E$3*Return!$B38</f>
        <v>1.905747124754816E-3</v>
      </c>
      <c r="G38">
        <f>Perhitungan!F$4+Perhitungan!F$3*Return!$B38</f>
        <v>3.7616259514022528E-3</v>
      </c>
      <c r="H38">
        <f>Perhitungan!G$4+Perhitungan!G$3*Return!$B38</f>
        <v>2.0537138405393464E-3</v>
      </c>
      <c r="I38">
        <f>Perhitungan!H$4+Perhitungan!H$3*Return!$B38</f>
        <v>-8.5661445009302482E-4</v>
      </c>
      <c r="J38">
        <f>Perhitungan!I$4+Perhitungan!I$3*Return!$B38</f>
        <v>6.2380058743410698E-4</v>
      </c>
      <c r="K38">
        <f>Perhitungan!J$4+Perhitungan!J$3*Return!$B38</f>
        <v>3.5611596505152028E-3</v>
      </c>
      <c r="L38">
        <f>Perhitungan!K$4+Perhitungan!K$3*Return!$B38</f>
        <v>3.7999636482086353E-4</v>
      </c>
      <c r="M38">
        <f>Perhitungan!L$4+Perhitungan!L$3*Return!$B38</f>
        <v>7.4242493426695359E-3</v>
      </c>
      <c r="N38">
        <f>Perhitungan!M$4+Perhitungan!M$3*Return!$B38</f>
        <v>1.1334757349992226E-3</v>
      </c>
      <c r="O38">
        <f>Perhitungan!N$4+Perhitungan!N$3*Return!$B38</f>
        <v>8.9455995654578232E-4</v>
      </c>
      <c r="P38">
        <f>Perhitungan!O$4+Perhitungan!O$3*Return!$B38</f>
        <v>2.1262708876830625E-4</v>
      </c>
      <c r="Q38">
        <f>Perhitungan!P$4+Perhitungan!P$3*Return!$B38</f>
        <v>4.5368630804241833E-3</v>
      </c>
      <c r="R38">
        <f>Perhitungan!Q$4+Perhitungan!Q$3*Return!$B38</f>
        <v>5.5277565020979001E-4</v>
      </c>
      <c r="S38">
        <f>Perhitungan!R$4+Perhitungan!R$3*Return!$B38</f>
        <v>1.1998284685316395E-3</v>
      </c>
      <c r="T38">
        <f>Perhitungan!S$4+Perhitungan!S$3*Return!$B38</f>
        <v>2.4776427418734875E-3</v>
      </c>
      <c r="U38">
        <f>Perhitungan!T$4+Perhitungan!T$3*Return!$B38</f>
        <v>2.8504543871592379E-3</v>
      </c>
      <c r="V38">
        <f>Perhitungan!U$4+Perhitungan!U$3*Return!$B38</f>
        <v>2.153805065083544E-3</v>
      </c>
      <c r="W38">
        <f>Perhitungan!V$4+Perhitungan!V$3*Return!$B38</f>
        <v>6.7570918224915573E-3</v>
      </c>
      <c r="X38">
        <f>Perhitungan!W$4+Perhitungan!W$3*Return!$B38</f>
        <v>-1.9749668916230951E-3</v>
      </c>
      <c r="Y38">
        <f>Perhitungan!X$4+Perhitungan!X$3*Return!$B38</f>
        <v>2.9658990640285391E-4</v>
      </c>
      <c r="Z38">
        <f>Perhitungan!Y$4+Perhitungan!Y$3*Return!$B38</f>
        <v>8.1060278592062014E-4</v>
      </c>
      <c r="AA38">
        <f>Perhitungan!Z$4+Perhitungan!Z$3*Return!$B38</f>
        <v>5.152450445773729E-3</v>
      </c>
      <c r="AB38">
        <f>Perhitungan!AA$4+Perhitungan!AA$3*Return!$B38</f>
        <v>1.630274004088492E-3</v>
      </c>
      <c r="AC38">
        <f>Perhitungan!AB$4+Perhitungan!AB$3*Return!$B38</f>
        <v>3.1888313517039737E-3</v>
      </c>
      <c r="AD38">
        <f>Perhitungan!AC$4+Perhitungan!AC$3*Return!$B38</f>
        <v>1.867198418752341E-3</v>
      </c>
      <c r="AE38">
        <f>Perhitungan!AD$4+Perhitungan!AD$3*Return!$B38</f>
        <v>1.7818617080043002E-3</v>
      </c>
      <c r="AF38">
        <f>Perhitungan!AE$4+Perhitungan!AE$3*Return!$B38</f>
        <v>16.613010240009601</v>
      </c>
    </row>
    <row r="39" spans="1:32" x14ac:dyDescent="0.3">
      <c r="A39" s="2">
        <v>45813</v>
      </c>
      <c r="C39">
        <f>Perhitungan!B$4+Perhitungan!B$3*Return!$B39</f>
        <v>6.6905296745333465E-3</v>
      </c>
      <c r="D39">
        <f>Perhitungan!C$4+Perhitungan!C$3*Return!$B39</f>
        <v>1.0719101477267788E-2</v>
      </c>
      <c r="E39">
        <f>Perhitungan!D$4+Perhitungan!D$3*Return!$B39</f>
        <v>9.5669590576149648E-3</v>
      </c>
      <c r="F39">
        <f>Perhitungan!E$4+Perhitungan!E$3*Return!$B39</f>
        <v>8.1036260701591156E-3</v>
      </c>
      <c r="G39">
        <f>Perhitungan!F$4+Perhitungan!F$3*Return!$B39</f>
        <v>1.0353451380676133E-2</v>
      </c>
      <c r="H39">
        <f>Perhitungan!G$4+Perhitungan!G$3*Return!$B39</f>
        <v>6.976656548796519E-3</v>
      </c>
      <c r="I39">
        <f>Perhitungan!H$4+Perhitungan!H$3*Return!$B39</f>
        <v>2.2445789325707837E-3</v>
      </c>
      <c r="J39">
        <f>Perhitungan!I$4+Perhitungan!I$3*Return!$B39</f>
        <v>2.7257898141562244E-3</v>
      </c>
      <c r="K39">
        <f>Perhitungan!J$4+Perhitungan!J$3*Return!$B39</f>
        <v>1.0449378742593798E-2</v>
      </c>
      <c r="L39">
        <f>Perhitungan!K$4+Perhitungan!K$3*Return!$B39</f>
        <v>3.0381914350337065E-3</v>
      </c>
      <c r="M39">
        <f>Perhitungan!L$4+Perhitungan!L$3*Return!$B39</f>
        <v>1.4523887930422932E-2</v>
      </c>
      <c r="N39">
        <f>Perhitungan!M$4+Perhitungan!M$3*Return!$B39</f>
        <v>1.1428613987491733E-2</v>
      </c>
      <c r="O39">
        <f>Perhitungan!N$4+Perhitungan!N$3*Return!$B39</f>
        <v>4.6497631114455328E-3</v>
      </c>
      <c r="P39">
        <f>Perhitungan!O$4+Perhitungan!O$3*Return!$B39</f>
        <v>6.6483740682716048E-3</v>
      </c>
      <c r="Q39">
        <f>Perhitungan!P$4+Perhitungan!P$3*Return!$B39</f>
        <v>1.2318514235818905E-2</v>
      </c>
      <c r="R39">
        <f>Perhitungan!Q$4+Perhitungan!Q$3*Return!$B39</f>
        <v>4.8371547116916897E-3</v>
      </c>
      <c r="S39">
        <f>Perhitungan!R$4+Perhitungan!R$3*Return!$B39</f>
        <v>5.1805772768938616E-3</v>
      </c>
      <c r="T39">
        <f>Perhitungan!S$4+Perhitungan!S$3*Return!$B39</f>
        <v>6.6595955322537844E-3</v>
      </c>
      <c r="U39">
        <f>Perhitungan!T$4+Perhitungan!T$3*Return!$B39</f>
        <v>1.0868014258603115E-2</v>
      </c>
      <c r="V39">
        <f>Perhitungan!U$4+Perhitungan!U$3*Return!$B39</f>
        <v>8.8706413400491905E-3</v>
      </c>
      <c r="W39">
        <f>Perhitungan!V$4+Perhitungan!V$3*Return!$B39</f>
        <v>2.0643074877840565E-2</v>
      </c>
      <c r="X39">
        <f>Perhitungan!W$4+Perhitungan!W$3*Return!$B39</f>
        <v>5.7946874399657641E-3</v>
      </c>
      <c r="Y39">
        <f>Perhitungan!X$4+Perhitungan!X$3*Return!$B39</f>
        <v>6.1219971947569611E-3</v>
      </c>
      <c r="Z39">
        <f>Perhitungan!Y$4+Perhitungan!Y$3*Return!$B39</f>
        <v>6.4917113451690971E-3</v>
      </c>
      <c r="AA39">
        <f>Perhitungan!Z$4+Perhitungan!Z$3*Return!$B39</f>
        <v>1.3659678000177096E-2</v>
      </c>
      <c r="AB39">
        <f>Perhitungan!AA$4+Perhitungan!AA$3*Return!$B39</f>
        <v>9.3352664645944775E-3</v>
      </c>
      <c r="AC39">
        <f>Perhitungan!AB$4+Perhitungan!AB$3*Return!$B39</f>
        <v>9.499294769253333E-3</v>
      </c>
      <c r="AD39">
        <f>Perhitungan!AC$4+Perhitungan!AC$3*Return!$B39</f>
        <v>8.8884670361766161E-3</v>
      </c>
      <c r="AE39">
        <f>Perhitungan!AD$4+Perhitungan!AD$3*Return!$B39</f>
        <v>7.3647065547630796E-3</v>
      </c>
      <c r="AF39">
        <f>Perhitungan!AE$4+Perhitungan!AE$3*Return!$B39</f>
        <v>16.407276514172516</v>
      </c>
    </row>
    <row r="40" spans="1:32" x14ac:dyDescent="0.3">
      <c r="A40" s="1">
        <v>45843</v>
      </c>
      <c r="C40">
        <f>Perhitungan!B$4+Perhitungan!B$3*Return!$B40</f>
        <v>1.8512530304945936E-3</v>
      </c>
      <c r="D40">
        <f>Perhitungan!C$4+Perhitungan!C$3*Return!$B40</f>
        <v>5.1790077473360578E-3</v>
      </c>
      <c r="E40">
        <f>Perhitungan!D$4+Perhitungan!D$3*Return!$B40</f>
        <v>4.0534920399887837E-3</v>
      </c>
      <c r="F40">
        <f>Perhitungan!E$4+Perhitungan!E$3*Return!$B40</f>
        <v>3.3317773916445087E-3</v>
      </c>
      <c r="G40">
        <f>Perhitungan!F$4+Perhitungan!F$3*Return!$B40</f>
        <v>5.2782968413956528E-3</v>
      </c>
      <c r="H40">
        <f>Perhitungan!G$4+Perhitungan!G$3*Return!$B40</f>
        <v>3.1864021950520046E-3</v>
      </c>
      <c r="I40">
        <f>Perhitungan!H$4+Perhitungan!H$3*Return!$B40</f>
        <v>-1.4308072894220962E-4</v>
      </c>
      <c r="J40">
        <f>Perhitungan!I$4+Perhitungan!I$3*Return!$B40</f>
        <v>1.1074338246086462E-3</v>
      </c>
      <c r="K40">
        <f>Perhitungan!J$4+Perhitungan!J$3*Return!$B40</f>
        <v>5.1460258598746301E-3</v>
      </c>
      <c r="L40">
        <f>Perhitungan!K$4+Perhitungan!K$3*Return!$B40</f>
        <v>9.9160344182440017E-4</v>
      </c>
      <c r="M40">
        <f>Perhitungan!L$4+Perhitungan!L$3*Return!$B40</f>
        <v>9.0577597095703698E-3</v>
      </c>
      <c r="N40">
        <f>Perhitungan!M$4+Perhitungan!M$3*Return!$B40</f>
        <v>3.5022181514277025E-3</v>
      </c>
      <c r="O40">
        <f>Perhitungan!N$4+Perhitungan!N$3*Return!$B40</f>
        <v>1.7585705970210117E-3</v>
      </c>
      <c r="P40">
        <f>Perhitungan!O$4+Perhitungan!O$3*Return!$B40</f>
        <v>1.693386887992967E-3</v>
      </c>
      <c r="Q40">
        <f>Perhitungan!P$4+Perhitungan!P$3*Return!$B40</f>
        <v>6.3272933504762152E-3</v>
      </c>
      <c r="R40">
        <f>Perhitungan!Q$4+Perhitungan!Q$3*Return!$B40</f>
        <v>1.5385409854672535E-3</v>
      </c>
      <c r="S40">
        <f>Perhitungan!R$4+Perhitungan!R$3*Return!$B40</f>
        <v>2.1157334637104874E-3</v>
      </c>
      <c r="T40">
        <f>Perhitungan!S$4+Perhitungan!S$3*Return!$B40</f>
        <v>3.4398414724905301E-3</v>
      </c>
      <c r="U40">
        <f>Perhitungan!T$4+Perhitungan!T$3*Return!$B40</f>
        <v>4.6951633826062909E-3</v>
      </c>
      <c r="V40">
        <f>Perhitungan!U$4+Perhitungan!U$3*Return!$B40</f>
        <v>3.6992388998224397E-3</v>
      </c>
      <c r="W40">
        <f>Perhitungan!V$4+Perhitungan!V$3*Return!$B40</f>
        <v>9.9520287189483799E-3</v>
      </c>
      <c r="X40">
        <f>Perhitungan!W$4+Perhitungan!W$3*Return!$B40</f>
        <v>-1.8729689391655535E-4</v>
      </c>
      <c r="Y40">
        <f>Perhitungan!X$4+Perhitungan!X$3*Return!$B40</f>
        <v>1.6369205555376728E-3</v>
      </c>
      <c r="Z40">
        <f>Perhitungan!Y$4+Perhitungan!Y$3*Return!$B40</f>
        <v>2.1177326647611227E-3</v>
      </c>
      <c r="AA40">
        <f>Perhitungan!Z$4+Perhitungan!Z$3*Return!$B40</f>
        <v>7.1098239418941533E-3</v>
      </c>
      <c r="AB40">
        <f>Perhitungan!AA$4+Perhitungan!AA$3*Return!$B40</f>
        <v>3.4030663660602669E-3</v>
      </c>
      <c r="AC40">
        <f>Perhitungan!AB$4+Perhitungan!AB$3*Return!$B40</f>
        <v>4.6407654586452223E-3</v>
      </c>
      <c r="AD40">
        <f>Perhitungan!AC$4+Perhitungan!AC$3*Return!$B40</f>
        <v>3.4826771411681796E-3</v>
      </c>
      <c r="AE40">
        <f>Perhitungan!AD$4+Perhitungan!AD$3*Return!$B40</f>
        <v>3.0663827186526997E-3</v>
      </c>
      <c r="AF40">
        <f>Perhitungan!AE$4+Perhitungan!AE$3*Return!$B40</f>
        <v>16.565674284830738</v>
      </c>
    </row>
    <row r="41" spans="1:32" x14ac:dyDescent="0.3">
      <c r="A41" s="2">
        <v>45874</v>
      </c>
      <c r="C41">
        <f>Perhitungan!B$4+Perhitungan!B$3*Return!$B41</f>
        <v>-1.3852556615289249E-2</v>
      </c>
      <c r="D41">
        <f>Perhitungan!C$4+Perhitungan!C$3*Return!$B41</f>
        <v>-1.2799005033111172E-2</v>
      </c>
      <c r="E41">
        <f>Perhitungan!D$4+Perhitungan!D$3*Return!$B41</f>
        <v>-1.3838115095091086E-2</v>
      </c>
      <c r="F41">
        <f>Perhitungan!E$4+Perhitungan!E$3*Return!$B41</f>
        <v>-1.2153223532654472E-2</v>
      </c>
      <c r="G41">
        <f>Perhitungan!F$4+Perhitungan!F$3*Return!$B41</f>
        <v>-1.1190953972354319E-2</v>
      </c>
      <c r="H41">
        <f>Perhitungan!G$4+Perhitungan!G$3*Return!$B41</f>
        <v>-9.1132527448300939E-3</v>
      </c>
      <c r="I41">
        <f>Perhitungan!H$4+Perhitungan!H$3*Return!$B41</f>
        <v>-7.8912124398054975E-3</v>
      </c>
      <c r="J41">
        <f>Perhitungan!I$4+Perhitungan!I$3*Return!$B41</f>
        <v>-4.1442507283453384E-3</v>
      </c>
      <c r="K41">
        <f>Perhitungan!J$4+Perhitungan!J$3*Return!$B41</f>
        <v>-1.2063745409811413E-2</v>
      </c>
      <c r="L41">
        <f>Perhitungan!K$4+Perhitungan!K$3*Return!$B41</f>
        <v>-5.6497255485932702E-3</v>
      </c>
      <c r="M41">
        <f>Perhitungan!L$4+Perhitungan!L$3*Return!$B41</f>
        <v>-8.6802295383591188E-3</v>
      </c>
      <c r="N41">
        <f>Perhitungan!M$4+Perhitungan!M$3*Return!$B41</f>
        <v>-2.2219520972541752E-2</v>
      </c>
      <c r="O41">
        <f>Perhitungan!N$4+Perhitungan!N$3*Return!$B41</f>
        <v>-7.6235623611695582E-3</v>
      </c>
      <c r="P41">
        <f>Perhitungan!O$4+Perhitungan!O$3*Return!$B41</f>
        <v>-1.4385911982479262E-2</v>
      </c>
      <c r="Q41">
        <f>Perhitungan!P$4+Perhitungan!P$3*Return!$B41</f>
        <v>-1.3114660323563983E-2</v>
      </c>
      <c r="R41">
        <f>Perhitungan!Q$4+Perhitungan!Q$3*Return!$B41</f>
        <v>-9.1657038556308308E-3</v>
      </c>
      <c r="S41">
        <f>Perhitungan!R$4+Perhitungan!R$3*Return!$B41</f>
        <v>-7.829910767143405E-3</v>
      </c>
      <c r="T41">
        <f>Perhitungan!S$4+Perhitungan!S$3*Return!$B41</f>
        <v>-7.0084979344014102E-3</v>
      </c>
      <c r="U41">
        <f>Perhitungan!T$4+Perhitungan!T$3*Return!$B41</f>
        <v>-1.5336193007790617E-2</v>
      </c>
      <c r="V41">
        <f>Perhitungan!U$4+Perhitungan!U$3*Return!$B41</f>
        <v>-1.3082343451561024E-2</v>
      </c>
      <c r="W41">
        <f>Perhitungan!V$4+Perhitungan!V$3*Return!$B41</f>
        <v>-2.4741204617969095E-2</v>
      </c>
      <c r="X41">
        <f>Perhitungan!W$4+Perhitungan!W$3*Return!$B41</f>
        <v>-1.9599277277197309E-2</v>
      </c>
      <c r="Y41">
        <f>Perhitungan!X$4+Perhitungan!X$3*Return!$B41</f>
        <v>-1.2917483949485626E-2</v>
      </c>
      <c r="Z41">
        <f>Perhitungan!Y$4+Perhitungan!Y$3*Return!$B41</f>
        <v>-1.2076150769544474E-2</v>
      </c>
      <c r="AA41">
        <f>Perhitungan!Z$4+Perhitungan!Z$3*Return!$B41</f>
        <v>-1.4144935582061768E-2</v>
      </c>
      <c r="AB41">
        <f>Perhitungan!AA$4+Perhitungan!AA$3*Return!$B41</f>
        <v>-1.5847360501524983E-2</v>
      </c>
      <c r="AC41">
        <f>Perhitungan!AB$4+Perhitungan!AB$3*Return!$B41</f>
        <v>-1.1125520510196404E-2</v>
      </c>
      <c r="AD41">
        <f>Perhitungan!AC$4+Perhitungan!AC$3*Return!$B41</f>
        <v>-1.4059509788956516E-2</v>
      </c>
      <c r="AE41">
        <f>Perhitungan!AD$4+Perhitungan!AD$3*Return!$B41</f>
        <v>-1.0881995165749199E-2</v>
      </c>
      <c r="AF41">
        <f>Perhitungan!AE$4+Perhitungan!AE$3*Return!$B41</f>
        <v>17.079686733736185</v>
      </c>
    </row>
    <row r="42" spans="1:32" x14ac:dyDescent="0.3">
      <c r="A42" s="1">
        <v>45905</v>
      </c>
      <c r="C42">
        <f>Perhitungan!B$4+Perhitungan!B$3*Return!$B42</f>
        <v>-1.0038029316512091E-3</v>
      </c>
      <c r="D42">
        <f>Perhitungan!C$4+Perhitungan!C$3*Return!$B42</f>
        <v>1.9104866856247736E-3</v>
      </c>
      <c r="E42">
        <f>Perhitungan!D$4+Perhitungan!D$3*Return!$B42</f>
        <v>8.0068009336062642E-4</v>
      </c>
      <c r="F42">
        <f>Perhitungan!E$4+Perhitungan!E$3*Return!$B42</f>
        <v>5.1650229534819583E-4</v>
      </c>
      <c r="G42">
        <f>Perhitungan!F$4+Perhitungan!F$3*Return!$B42</f>
        <v>2.2840786364841099E-3</v>
      </c>
      <c r="H42">
        <f>Perhitungan!G$4+Perhitungan!G$3*Return!$B42</f>
        <v>9.5024396590061755E-4</v>
      </c>
      <c r="I42">
        <f>Perhitungan!H$4+Perhitungan!H$3*Return!$B42</f>
        <v>-1.551742075173589E-3</v>
      </c>
      <c r="J42">
        <f>Perhitungan!I$4+Perhitungan!I$3*Return!$B42</f>
        <v>1.5264300426488073E-4</v>
      </c>
      <c r="K42">
        <f>Perhitungan!J$4+Perhitungan!J$3*Return!$B42</f>
        <v>2.0171761616821658E-3</v>
      </c>
      <c r="L42">
        <f>Perhitungan!K$4+Perhitungan!K$3*Return!$B42</f>
        <v>-2.1583388442684363E-4</v>
      </c>
      <c r="M42">
        <f>Perhitungan!L$4+Perhitungan!L$3*Return!$B42</f>
        <v>5.8328765059984366E-3</v>
      </c>
      <c r="N42">
        <f>Perhitungan!M$4+Perhitungan!M$3*Return!$B42</f>
        <v>-1.1741633317345259E-3</v>
      </c>
      <c r="O42">
        <f>Perhitungan!N$4+Perhitungan!N$3*Return!$B42</f>
        <v>5.2837068398021156E-5</v>
      </c>
      <c r="P42">
        <f>Perhitungan!O$4+Perhitungan!O$3*Return!$B42</f>
        <v>-1.2299354868163326E-3</v>
      </c>
      <c r="Q42">
        <f>Perhitungan!P$4+Perhitungan!P$3*Return!$B42</f>
        <v>2.79261819808517E-3</v>
      </c>
      <c r="R42">
        <f>Perhitungan!Q$4+Perhitungan!Q$3*Return!$B42</f>
        <v>-4.0756118611953783E-4</v>
      </c>
      <c r="S42">
        <f>Perhitungan!R$4+Perhitungan!R$3*Return!$B42</f>
        <v>3.0754987646839385E-4</v>
      </c>
      <c r="T42">
        <f>Perhitungan!S$4+Perhitungan!S$3*Return!$B42</f>
        <v>1.5402645933108535E-3</v>
      </c>
      <c r="U42">
        <f>Perhitungan!T$4+Perhitungan!T$3*Return!$B42</f>
        <v>1.0533309367051994E-3</v>
      </c>
      <c r="V42">
        <f>Perhitungan!U$4+Perhitungan!U$3*Return!$B42</f>
        <v>6.4823676548227648E-4</v>
      </c>
      <c r="W42">
        <f>Perhitungan!V$4+Perhitungan!V$3*Return!$B42</f>
        <v>3.644570534031129E-3</v>
      </c>
      <c r="X42">
        <f>Perhitungan!W$4+Perhitungan!W$3*Return!$B42</f>
        <v>-3.7165227047517529E-3</v>
      </c>
      <c r="Y42">
        <f>Perhitungan!X$4+Perhitungan!X$3*Return!$B42</f>
        <v>-1.009165986189151E-3</v>
      </c>
      <c r="Z42">
        <f>Perhitungan!Y$4+Perhitungan!Y$3*Return!$B42</f>
        <v>-4.6280877322024683E-4</v>
      </c>
      <c r="AA42">
        <f>Perhitungan!Z$4+Perhitungan!Z$3*Return!$B42</f>
        <v>3.245568753399943E-3</v>
      </c>
      <c r="AB42">
        <f>Perhitungan!AA$4+Perhitungan!AA$3*Return!$B42</f>
        <v>-9.6787952213831527E-5</v>
      </c>
      <c r="AC42">
        <f>Perhitungan!AB$4+Perhitungan!AB$3*Return!$B42</f>
        <v>1.7743508897242175E-3</v>
      </c>
      <c r="AD42">
        <f>Perhitungan!AC$4+Perhitungan!AC$3*Return!$B42</f>
        <v>2.9339208781966187E-4</v>
      </c>
      <c r="AE42">
        <f>Perhitungan!AD$4+Perhitungan!AD$3*Return!$B42</f>
        <v>5.3047580565620362E-4</v>
      </c>
      <c r="AF42">
        <f>Perhitungan!AE$4+Perhitungan!AE$3*Return!$B42</f>
        <v>16.65912513147028</v>
      </c>
    </row>
    <row r="43" spans="1:32" x14ac:dyDescent="0.3">
      <c r="A43" s="4" t="s">
        <v>24</v>
      </c>
      <c r="C43">
        <f>Perhitungan!B$4+Perhitungan!B$3*Return!$B43</f>
        <v>1.6851047425522635E-2</v>
      </c>
      <c r="D43">
        <f>Perhitungan!C$4+Perhitungan!C$3*Return!$B43</f>
        <v>2.235105080061485E-2</v>
      </c>
      <c r="E43">
        <f>Perhitungan!D$4+Perhitungan!D$3*Return!$B43</f>
        <v>2.1143003087065619E-2</v>
      </c>
      <c r="F43">
        <f>Perhitungan!E$4+Perhitungan!E$3*Return!$B43</f>
        <v>1.8122572447776906E-2</v>
      </c>
      <c r="G43">
        <f>Perhitungan!F$4+Perhitungan!F$3*Return!$B43</f>
        <v>2.1009217020546058E-2</v>
      </c>
      <c r="H43">
        <f>Perhitungan!G$4+Perhitungan!G$3*Return!$B43</f>
        <v>1.4934653058342044E-2</v>
      </c>
      <c r="I43">
        <f>Perhitungan!H$4+Perhitungan!H$3*Return!$B43</f>
        <v>7.2576955941297538E-3</v>
      </c>
      <c r="J43">
        <f>Perhitungan!I$4+Perhitungan!I$3*Return!$B43</f>
        <v>6.1236808562965166E-3</v>
      </c>
      <c r="K43">
        <f>Perhitungan!J$4+Perhitungan!J$3*Return!$B43</f>
        <v>2.1584268328004495E-2</v>
      </c>
      <c r="L43">
        <f>Perhitungan!K$4+Perhitungan!K$3*Return!$B43</f>
        <v>7.335195959373147E-3</v>
      </c>
      <c r="M43">
        <f>Perhitungan!L$4+Perhitungan!L$3*Return!$B43</f>
        <v>2.6000539691088669E-2</v>
      </c>
      <c r="N43">
        <f>Perhitungan!M$4+Perhitungan!M$3*Return!$B43</f>
        <v>2.8070829656832424E-2</v>
      </c>
      <c r="O43">
        <f>Perhitungan!N$4+Perhitungan!N$3*Return!$B43</f>
        <v>1.0720094490521465E-2</v>
      </c>
      <c r="P43">
        <f>Perhitungan!O$4+Perhitungan!O$3*Return!$B43</f>
        <v>1.7051837003824812E-2</v>
      </c>
      <c r="Q43">
        <f>Perhitungan!P$4+Perhitungan!P$3*Return!$B43</f>
        <v>2.4897647571915635E-2</v>
      </c>
      <c r="R43">
        <f>Perhitungan!Q$4+Perhitungan!Q$3*Return!$B43</f>
        <v>1.17629053525951E-2</v>
      </c>
      <c r="S43">
        <f>Perhitungan!R$4+Perhitungan!R$3*Return!$B43</f>
        <v>1.1615505936370186E-2</v>
      </c>
      <c r="T43">
        <f>Perhitungan!S$4+Perhitungan!S$3*Return!$B43</f>
        <v>1.3419772865439203E-2</v>
      </c>
      <c r="U43">
        <f>Perhitungan!T$4+Perhitungan!T$3*Return!$B43</f>
        <v>2.3828496891278427E-2</v>
      </c>
      <c r="V43">
        <f>Perhitungan!U$4+Perhitungan!U$3*Return!$B43</f>
        <v>1.9728488525983381E-2</v>
      </c>
      <c r="W43">
        <f>Perhitungan!V$4+Perhitungan!V$3*Return!$B43</f>
        <v>4.3089934659638979E-2</v>
      </c>
      <c r="X43">
        <f>Perhitungan!W$4+Perhitungan!W$3*Return!$B43</f>
        <v>1.8354427765087052E-2</v>
      </c>
      <c r="Y43">
        <f>Perhitungan!X$4+Perhitungan!X$3*Return!$B43</f>
        <v>1.5538838627757304E-2</v>
      </c>
      <c r="Z43">
        <f>Perhitungan!Y$4+Perhitungan!Y$3*Return!$B43</f>
        <v>1.5675292134971545E-2</v>
      </c>
      <c r="AA43">
        <f>Perhitungan!Z$4+Perhitungan!Z$3*Return!$B43</f>
        <v>2.7411714372710658E-2</v>
      </c>
      <c r="AB43">
        <f>Perhitungan!AA$4+Perhitungan!AA$3*Return!$B43</f>
        <v>2.1790480091991842E-2</v>
      </c>
      <c r="AC43">
        <f>Perhitungan!AB$4+Perhitungan!AB$3*Return!$B43</f>
        <v>1.9700235309601612E-2</v>
      </c>
      <c r="AD43">
        <f>Perhitungan!AC$4+Perhitungan!AC$3*Return!$B43</f>
        <v>2.0238432790668396E-2</v>
      </c>
      <c r="AE43">
        <f>Perhitungan!AD$4+Perhitungan!AD$3*Return!$B43</f>
        <v>1.6389442863256328E-2</v>
      </c>
      <c r="AF43">
        <f>Perhitungan!AE$4+Perhitungan!AE$3*Return!$B43</f>
        <v>16.074705454720362</v>
      </c>
    </row>
    <row r="44" spans="1:32" x14ac:dyDescent="0.3">
      <c r="A44" s="3" t="s">
        <v>25</v>
      </c>
      <c r="C44">
        <f>Perhitungan!B$4+Perhitungan!B$3*Return!$B44</f>
        <v>5.7792882799244105E-3</v>
      </c>
      <c r="D44">
        <f>Perhitungan!C$4+Perhitungan!C$3*Return!$B44</f>
        <v>9.6758954140339325E-3</v>
      </c>
      <c r="E44">
        <f>Perhitungan!D$4+Perhitungan!D$3*Return!$B44</f>
        <v>8.528766835134571E-3</v>
      </c>
      <c r="F44">
        <f>Perhitungan!E$4+Perhitungan!E$3*Return!$B44</f>
        <v>7.2050814395212071E-3</v>
      </c>
      <c r="G44">
        <f>Perhitungan!F$4+Perhitungan!F$3*Return!$B44</f>
        <v>9.3977939053121809E-3</v>
      </c>
      <c r="H44">
        <f>Perhitungan!G$4+Perhitungan!G$3*Return!$B44</f>
        <v>6.262947265926043E-3</v>
      </c>
      <c r="I44">
        <f>Perhitungan!H$4+Perhitungan!H$3*Return!$B44</f>
        <v>1.7949798540620628E-3</v>
      </c>
      <c r="J44">
        <f>Perhitungan!I$4+Perhitungan!I$3*Return!$B44</f>
        <v>2.4210515077182819E-3</v>
      </c>
      <c r="K44">
        <f>Perhitungan!J$4+Perhitungan!J$3*Return!$B44</f>
        <v>9.4507512549701269E-3</v>
      </c>
      <c r="L44">
        <f>Perhitungan!K$4+Perhitungan!K$3*Return!$B44</f>
        <v>2.6528165465327016E-3</v>
      </c>
      <c r="M44">
        <f>Perhitungan!L$4+Perhitungan!L$3*Return!$B44</f>
        <v>1.3494609658180171E-2</v>
      </c>
      <c r="N44">
        <f>Perhitungan!M$4+Perhitungan!M$3*Return!$B44</f>
        <v>9.936064474999012E-3</v>
      </c>
      <c r="O44">
        <f>Perhitungan!N$4+Perhitungan!N$3*Return!$B44</f>
        <v>4.1053482137825715E-3</v>
      </c>
      <c r="P44">
        <f>Perhitungan!O$4+Perhitungan!O$3*Return!$B44</f>
        <v>5.7153442457280792E-3</v>
      </c>
      <c r="Q44">
        <f>Perhitungan!P$4+Perhitungan!P$3*Return!$B44</f>
        <v>1.1190360406941388E-2</v>
      </c>
      <c r="R44">
        <f>Perhitungan!Q$4+Perhitungan!Q$3*Return!$B44</f>
        <v>4.2160219281663532E-3</v>
      </c>
      <c r="S44">
        <f>Perhitungan!R$4+Perhitungan!R$3*Return!$B44</f>
        <v>4.603463638634701E-3</v>
      </c>
      <c r="T44">
        <f>Perhitungan!S$4+Perhitungan!S$3*Return!$B44</f>
        <v>6.0533121152206507E-3</v>
      </c>
      <c r="U44">
        <f>Perhitungan!T$4+Perhitungan!T$3*Return!$B44</f>
        <v>9.7056592922084104E-3</v>
      </c>
      <c r="V44">
        <f>Perhitungan!U$4+Perhitungan!U$3*Return!$B44</f>
        <v>7.8968602735087542E-3</v>
      </c>
      <c r="W44">
        <f>Perhitungan!V$4+Perhitungan!V$3*Return!$B44</f>
        <v>1.8629938508863141E-2</v>
      </c>
      <c r="X44">
        <f>Perhitungan!W$4+Perhitungan!W$3*Return!$B44</f>
        <v>4.6682728644215936E-3</v>
      </c>
      <c r="Y44">
        <f>Perhitungan!X$4+Perhitungan!X$3*Return!$B44</f>
        <v>5.2774520711206252E-3</v>
      </c>
      <c r="Z44">
        <f>Perhitungan!Y$4+Perhitungan!Y$3*Return!$B44</f>
        <v>5.6680860957974682E-3</v>
      </c>
      <c r="AA44">
        <f>Perhitungan!Z$4+Perhitungan!Z$3*Return!$B44</f>
        <v>1.2426332898093084E-2</v>
      </c>
      <c r="AB44">
        <f>Perhitungan!AA$4+Perhitungan!AA$3*Return!$B44</f>
        <v>8.2182263182026538E-3</v>
      </c>
      <c r="AC44">
        <f>Perhitungan!AB$4+Perhitungan!AB$3*Return!$B44</f>
        <v>8.5844280752401525E-3</v>
      </c>
      <c r="AD44">
        <f>Perhitungan!AC$4+Perhitungan!AC$3*Return!$B44</f>
        <v>7.8705505405453052E-3</v>
      </c>
      <c r="AE44">
        <f>Perhitungan!AD$4+Perhitungan!AD$3*Return!$B44</f>
        <v>6.555327200159956E-3</v>
      </c>
      <c r="AF44">
        <f>Perhitungan!AE$4+Perhitungan!AE$3*Return!$B44</f>
        <v>16.437102997768022</v>
      </c>
    </row>
    <row r="45" spans="1:32" x14ac:dyDescent="0.3">
      <c r="A45" s="4" t="s">
        <v>26</v>
      </c>
      <c r="C45">
        <f>Perhitungan!B$4+Perhitungan!B$3*Return!$B45</f>
        <v>6.4588245865800208E-3</v>
      </c>
      <c r="D45">
        <f>Perhitungan!C$4+Perhitungan!C$3*Return!$B45</f>
        <v>1.045384119161233E-2</v>
      </c>
      <c r="E45">
        <f>Perhitungan!D$4+Perhitungan!D$3*Return!$B45</f>
        <v>9.3029736618181532E-3</v>
      </c>
      <c r="F45">
        <f>Perhitungan!E$4+Perhitungan!E$3*Return!$B45</f>
        <v>7.8751494404716606E-3</v>
      </c>
      <c r="G45">
        <f>Perhitungan!F$4+Perhitungan!F$3*Return!$B45</f>
        <v>1.0110452433643568E-2</v>
      </c>
      <c r="H45">
        <f>Perhitungan!G$4+Perhitungan!G$3*Return!$B45</f>
        <v>6.7951787613090685E-3</v>
      </c>
      <c r="I45">
        <f>Perhitungan!H$4+Perhitungan!H$3*Return!$B45</f>
        <v>2.1302575303101851E-3</v>
      </c>
      <c r="J45">
        <f>Perhitungan!I$4+Perhitungan!I$3*Return!$B45</f>
        <v>2.6483027547297231E-3</v>
      </c>
      <c r="K45">
        <f>Perhitungan!J$4+Perhitungan!J$3*Return!$B45</f>
        <v>1.0195453634251072E-2</v>
      </c>
      <c r="L45">
        <f>Perhitungan!K$4+Perhitungan!K$3*Return!$B45</f>
        <v>2.9402005810586747E-3</v>
      </c>
      <c r="M45">
        <f>Perhitungan!L$4+Perhitungan!L$3*Return!$B45</f>
        <v>1.4262169121324268E-2</v>
      </c>
      <c r="N45">
        <f>Perhitungan!M$4+Perhitungan!M$3*Return!$B45</f>
        <v>1.1049097299473808E-2</v>
      </c>
      <c r="O45">
        <f>Perhitungan!N$4+Perhitungan!N$3*Return!$B45</f>
        <v>4.5113325018481358E-3</v>
      </c>
      <c r="P45">
        <f>Perhitungan!O$4+Perhitungan!O$3*Return!$B45</f>
        <v>6.4111287473560636E-3</v>
      </c>
      <c r="Q45">
        <f>Perhitungan!P$4+Perhitungan!P$3*Return!$B45</f>
        <v>1.2031653933278406E-2</v>
      </c>
      <c r="R45">
        <f>Perhitungan!Q$4+Perhitungan!Q$3*Return!$B45</f>
        <v>4.67921673050593E-3</v>
      </c>
      <c r="S45">
        <f>Perhitungan!R$4+Perhitungan!R$3*Return!$B45</f>
        <v>5.033832224372088E-3</v>
      </c>
      <c r="T45">
        <f>Perhitungan!S$4+Perhitungan!S$3*Return!$B45</f>
        <v>6.5054333604084285E-3</v>
      </c>
      <c r="U45">
        <f>Perhitungan!T$4+Perhitungan!T$3*Return!$B45</f>
        <v>1.0572457492509263E-2</v>
      </c>
      <c r="V45">
        <f>Perhitungan!U$4+Perhitungan!U$3*Return!$B45</f>
        <v>8.6230340331326025E-3</v>
      </c>
      <c r="W45">
        <f>Perhitungan!V$4+Perhitungan!V$3*Return!$B45</f>
        <v>2.013118643401484E-2</v>
      </c>
      <c r="X45">
        <f>Perhitungan!W$4+Perhitungan!W$3*Return!$B45</f>
        <v>5.5082693845059623E-3</v>
      </c>
      <c r="Y45">
        <f>Perhitungan!X$4+Perhitungan!X$3*Return!$B45</f>
        <v>5.9072512412583402E-3</v>
      </c>
      <c r="Z45">
        <f>Perhitungan!Y$4+Perhitungan!Y$3*Return!$B45</f>
        <v>6.2822847739276398E-3</v>
      </c>
      <c r="AA45">
        <f>Perhitungan!Z$4+Perhitungan!Z$3*Return!$B45</f>
        <v>1.3346070281030603E-2</v>
      </c>
      <c r="AB45">
        <f>Perhitungan!AA$4+Perhitungan!AA$3*Return!$B45</f>
        <v>9.051232083695673E-3</v>
      </c>
      <c r="AC45">
        <f>Perhitungan!AB$4+Perhitungan!AB$3*Return!$B45</f>
        <v>9.266667861546991E-3</v>
      </c>
      <c r="AD45">
        <f>Perhitungan!AC$4+Perhitungan!AC$3*Return!$B45</f>
        <v>8.6296372326308581E-3</v>
      </c>
      <c r="AE45">
        <f>Perhitungan!AD$4+Perhitungan!AD$3*Return!$B45</f>
        <v>7.1589023456309813E-3</v>
      </c>
      <c r="AF45">
        <f>Perhitungan!AE$4+Perhitungan!AE$3*Return!$B45</f>
        <v>16.414860616525328</v>
      </c>
    </row>
    <row r="46" spans="1:32" x14ac:dyDescent="0.3">
      <c r="A46" s="3" t="s">
        <v>27</v>
      </c>
      <c r="C46">
        <f>Perhitungan!B$4+Perhitungan!B$3*Return!$B46</f>
        <v>2.5382308514922112E-3</v>
      </c>
      <c r="D46">
        <f>Perhitungan!C$4+Perhitungan!C$3*Return!$B46</f>
        <v>5.9654727086643948E-3</v>
      </c>
      <c r="E46">
        <f>Perhitungan!D$4+Perhitungan!D$3*Return!$B46</f>
        <v>4.8361771056538855E-3</v>
      </c>
      <c r="F46">
        <f>Perhitungan!E$4+Perhitungan!E$3*Return!$B46</f>
        <v>4.0091832207438862E-3</v>
      </c>
      <c r="G46">
        <f>Perhitungan!F$4+Perhitungan!F$3*Return!$B46</f>
        <v>5.9987596012413685E-3</v>
      </c>
      <c r="H46">
        <f>Perhitungan!G$4+Perhitungan!G$3*Return!$B46</f>
        <v>3.7244620888110536E-3</v>
      </c>
      <c r="I46">
        <f>Perhitungan!H$4+Perhitungan!H$3*Return!$B46</f>
        <v>1.9586852984229599E-4</v>
      </c>
      <c r="J46">
        <f>Perhitungan!I$4+Perhitungan!I$3*Return!$B46</f>
        <v>1.3371736706799333E-3</v>
      </c>
      <c r="K46">
        <f>Perhitungan!J$4+Perhitungan!J$3*Return!$B46</f>
        <v>5.8988833787436568E-3</v>
      </c>
      <c r="L46">
        <f>Perhitungan!K$4+Perhitungan!K$3*Return!$B46</f>
        <v>1.2821345818010213E-3</v>
      </c>
      <c r="M46">
        <f>Perhitungan!L$4+Perhitungan!L$3*Return!$B46</f>
        <v>9.8337246172762773E-3</v>
      </c>
      <c r="N46">
        <f>Perhitungan!M$4+Perhitungan!M$3*Return!$B46</f>
        <v>4.6274396546314052E-3</v>
      </c>
      <c r="O46">
        <f>Perhitungan!N$4+Perhitungan!N$3*Return!$B46</f>
        <v>2.169000766598247E-3</v>
      </c>
      <c r="P46">
        <f>Perhitungan!O$4+Perhitungan!O$3*Return!$B46</f>
        <v>2.3967908358478833E-3</v>
      </c>
      <c r="Q46">
        <f>Perhitungan!P$4+Perhitungan!P$3*Return!$B46</f>
        <v>7.1777997735793901E-3</v>
      </c>
      <c r="R46">
        <f>Perhitungan!Q$4+Perhitungan!Q$3*Return!$B46</f>
        <v>2.006808174272413E-3</v>
      </c>
      <c r="S46">
        <f>Perhitungan!R$4+Perhitungan!R$3*Return!$B46</f>
        <v>2.5508149602544742E-3</v>
      </c>
      <c r="T46">
        <f>Perhitungan!S$4+Perhitungan!S$3*Return!$B46</f>
        <v>3.8969138390495105E-3</v>
      </c>
      <c r="U46">
        <f>Perhitungan!T$4+Perhitungan!T$3*Return!$B46</f>
        <v>5.5714537780643218E-3</v>
      </c>
      <c r="V46">
        <f>Perhitungan!U$4+Perhitungan!U$3*Return!$B46</f>
        <v>4.4333648945132035E-3</v>
      </c>
      <c r="W46">
        <f>Perhitungan!V$4+Perhitungan!V$3*Return!$B46</f>
        <v>1.1469716616264194E-2</v>
      </c>
      <c r="X46">
        <f>Perhitungan!W$4+Perhitungan!W$3*Return!$B46</f>
        <v>6.6189831958598806E-4</v>
      </c>
      <c r="Y46">
        <f>Perhitungan!X$4+Perhitungan!X$3*Return!$B46</f>
        <v>2.2736165750582111E-3</v>
      </c>
      <c r="Z46">
        <f>Perhitungan!Y$4+Perhitungan!Y$3*Return!$B46</f>
        <v>2.7386573533007188E-3</v>
      </c>
      <c r="AA46">
        <f>Perhitungan!Z$4+Perhitungan!Z$3*Return!$B46</f>
        <v>8.0396332501415819E-3</v>
      </c>
      <c r="AB46">
        <f>Perhitungan!AA$4+Perhitungan!AA$3*Return!$B46</f>
        <v>4.2451942701206835E-3</v>
      </c>
      <c r="AC46">
        <f>Perhitungan!AB$4+Perhitungan!AB$3*Return!$B46</f>
        <v>5.3304763647506114E-3</v>
      </c>
      <c r="AD46">
        <f>Perhitungan!AC$4+Perhitungan!AC$3*Return!$B46</f>
        <v>4.2500764935938145E-3</v>
      </c>
      <c r="AE46">
        <f>Perhitungan!AD$4+Perhitungan!AD$3*Return!$B46</f>
        <v>3.676567537598872E-3</v>
      </c>
      <c r="AF46">
        <f>Perhitungan!AE$4+Perhitungan!AE$3*Return!$B46</f>
        <v>16.543188330143334</v>
      </c>
    </row>
    <row r="47" spans="1:32" x14ac:dyDescent="0.3">
      <c r="A47" s="4" t="s">
        <v>28</v>
      </c>
      <c r="C47">
        <f>Perhitungan!B$4+Perhitungan!B$3*Return!$B47</f>
        <v>-7.231315901695734E-3</v>
      </c>
      <c r="D47">
        <f>Perhitungan!C$4+Perhitungan!C$3*Return!$B47</f>
        <v>-5.2188857591004417E-3</v>
      </c>
      <c r="E47">
        <f>Perhitungan!D$4+Perhitungan!D$3*Return!$B47</f>
        <v>-6.2944272724221179E-3</v>
      </c>
      <c r="F47">
        <f>Perhitungan!E$4+Perhitungan!E$3*Return!$B47</f>
        <v>-5.6242397457471442E-3</v>
      </c>
      <c r="G47">
        <f>Perhitungan!F$4+Perhitungan!F$3*Return!$B47</f>
        <v>-4.2469781811257656E-3</v>
      </c>
      <c r="H47">
        <f>Perhitungan!G$4+Perhitungan!G$3*Return!$B47</f>
        <v>-3.9273151992254406E-3</v>
      </c>
      <c r="I47">
        <f>Perhitungan!H$4+Perhitungan!H$3*Return!$B47</f>
        <v>-4.6243462273748981E-3</v>
      </c>
      <c r="J47">
        <f>Perhitungan!I$4+Perhitungan!I$3*Return!$B47</f>
        <v>-1.9299684388051801E-3</v>
      </c>
      <c r="K47">
        <f>Perhitungan!J$4+Perhitungan!J$3*Return!$B47</f>
        <v>-4.8075419297169842E-3</v>
      </c>
      <c r="L47">
        <f>Perhitungan!K$4+Perhitungan!K$3*Return!$B47</f>
        <v>-2.849523629721407E-3</v>
      </c>
      <c r="M47">
        <f>Perhitungan!L$4+Perhitungan!L$3*Return!$B47</f>
        <v>-1.2013120505120194E-3</v>
      </c>
      <c r="N47">
        <f>Perhitungan!M$4+Perhitungan!M$3*Return!$B47</f>
        <v>-1.1374392933322142E-2</v>
      </c>
      <c r="O47">
        <f>Perhitungan!N$4+Perhitungan!N$3*Return!$B47</f>
        <v>-3.6677476815260559E-3</v>
      </c>
      <c r="P47">
        <f>Perhitungan!O$4+Perhitungan!O$3*Return!$B47</f>
        <v>-7.6063527080969069E-3</v>
      </c>
      <c r="Q47">
        <f>Perhitungan!P$4+Perhitungan!P$3*Return!$B47</f>
        <v>-4.9172955998445156E-3</v>
      </c>
      <c r="R47">
        <f>Perhitungan!Q$4+Perhitungan!Q$3*Return!$B47</f>
        <v>-4.6524434844965826E-3</v>
      </c>
      <c r="S47">
        <f>Perhitungan!R$4+Perhitungan!R$3*Return!$B47</f>
        <v>-3.6365012703639841E-3</v>
      </c>
      <c r="T47">
        <f>Perhitungan!S$4+Perhitungan!S$3*Return!$B47</f>
        <v>-2.6031356795851003E-3</v>
      </c>
      <c r="U47">
        <f>Perhitungan!T$4+Perhitungan!T$3*Return!$B47</f>
        <v>-6.8903167858888337E-3</v>
      </c>
      <c r="V47">
        <f>Perhitungan!U$4+Perhitungan!U$3*Return!$B47</f>
        <v>-6.0066784498947132E-3</v>
      </c>
      <c r="W47">
        <f>Perhitungan!V$4+Perhitungan!V$3*Return!$B47</f>
        <v>-1.0113400649505246E-2</v>
      </c>
      <c r="X47">
        <f>Perhitungan!W$4+Perhitungan!W$3*Return!$B47</f>
        <v>-1.1414550274997225E-2</v>
      </c>
      <c r="Y47">
        <f>Perhitungan!X$4+Perhitungan!X$3*Return!$B47</f>
        <v>-6.7808701058096697E-3</v>
      </c>
      <c r="Z47">
        <f>Perhitungan!Y$4+Perhitungan!Y$3*Return!$B47</f>
        <v>-6.0915444224816269E-3</v>
      </c>
      <c r="AA47">
        <f>Perhitungan!Z$4+Perhitungan!Z$3*Return!$B47</f>
        <v>-5.1832325117854156E-3</v>
      </c>
      <c r="AB47">
        <f>Perhitungan!AA$4+Perhitungan!AA$3*Return!$B47</f>
        <v>-7.7307497551682338E-3</v>
      </c>
      <c r="AC47">
        <f>Perhitungan!AB$4+Perhitungan!AB$3*Return!$B47</f>
        <v>-4.4779377316392531E-3</v>
      </c>
      <c r="AD47">
        <f>Perhitungan!AC$4+Perhitungan!AC$3*Return!$B47</f>
        <v>-6.6631489741529638E-3</v>
      </c>
      <c r="AE47">
        <f>Perhitungan!AD$4+Perhitungan!AD$3*Return!$B47</f>
        <v>-5.0009020030092367E-3</v>
      </c>
      <c r="AF47">
        <f>Perhitungan!AE$4+Perhitungan!AE$3*Return!$B47</f>
        <v>16.862962242625176</v>
      </c>
    </row>
    <row r="48" spans="1:32" x14ac:dyDescent="0.3">
      <c r="A48" s="3" t="s">
        <v>29</v>
      </c>
      <c r="C48">
        <f>Perhitungan!B$4+Perhitungan!B$3*Return!$B48</f>
        <v>4.1555671763305966E-3</v>
      </c>
      <c r="D48">
        <f>Perhitungan!C$4+Perhitungan!C$3*Return!$B48</f>
        <v>7.8170293547316447E-3</v>
      </c>
      <c r="E48">
        <f>Perhitungan!D$4+Perhitungan!D$3*Return!$B48</f>
        <v>6.678834828970805E-3</v>
      </c>
      <c r="F48">
        <f>Perhitungan!E$4+Perhitungan!E$3*Return!$B48</f>
        <v>5.6039844218491643E-3</v>
      </c>
      <c r="G48">
        <f>Perhitungan!F$4+Perhitungan!F$3*Return!$B48</f>
        <v>7.6949287592203881E-3</v>
      </c>
      <c r="H48">
        <f>Perhitungan!G$4+Perhitungan!G$3*Return!$B48</f>
        <v>4.9912043103451766E-3</v>
      </c>
      <c r="I48">
        <f>Perhitungan!H$4+Perhitungan!H$3*Return!$B48</f>
        <v>9.9384909304759458E-4</v>
      </c>
      <c r="J48">
        <f>Perhitungan!I$4+Perhitungan!I$3*Return!$B48</f>
        <v>1.8780449869828231E-3</v>
      </c>
      <c r="K48">
        <f>Perhitungan!J$4+Perhitungan!J$3*Return!$B48</f>
        <v>7.6713187841929422E-3</v>
      </c>
      <c r="L48">
        <f>Perhitungan!K$4+Perhitungan!K$3*Return!$B48</f>
        <v>1.9661254645030766E-3</v>
      </c>
      <c r="M48">
        <f>Perhitungan!L$4+Perhitungan!L$3*Return!$B48</f>
        <v>1.1660561224912522E-2</v>
      </c>
      <c r="N48">
        <f>Perhitungan!M$4+Perhitungan!M$3*Return!$B48</f>
        <v>7.2765231548495481E-3</v>
      </c>
      <c r="O48">
        <f>Perhitungan!N$4+Perhitungan!N$3*Return!$B48</f>
        <v>3.1352672191350662E-3</v>
      </c>
      <c r="P48">
        <f>Perhitungan!O$4+Perhitungan!O$3*Return!$B48</f>
        <v>4.0527988191164247E-3</v>
      </c>
      <c r="Q48">
        <f>Perhitungan!P$4+Perhitungan!P$3*Return!$B48</f>
        <v>9.1801277826489905E-3</v>
      </c>
      <c r="R48">
        <f>Perhitungan!Q$4+Perhitungan!Q$3*Return!$B48</f>
        <v>3.1092390112457753E-3</v>
      </c>
      <c r="S48">
        <f>Perhitungan!R$4+Perhitungan!R$3*Return!$B48</f>
        <v>3.5751174735492624E-3</v>
      </c>
      <c r="T48">
        <f>Perhitungan!S$4+Perhitungan!S$3*Return!$B48</f>
        <v>4.9729889595565655E-3</v>
      </c>
      <c r="U48">
        <f>Perhitungan!T$4+Perhitungan!T$3*Return!$B48</f>
        <v>7.6344844092761897E-3</v>
      </c>
      <c r="V48">
        <f>Perhitungan!U$4+Perhitungan!U$3*Return!$B48</f>
        <v>6.1617010968337792E-3</v>
      </c>
      <c r="W48">
        <f>Perhitungan!V$4+Perhitungan!V$3*Return!$B48</f>
        <v>1.5042774859297297E-2</v>
      </c>
      <c r="X48">
        <f>Perhitungan!W$4+Perhitungan!W$3*Return!$B48</f>
        <v>2.6611393775899774E-3</v>
      </c>
      <c r="Y48">
        <f>Perhitungan!X$4+Perhitungan!X$3*Return!$B48</f>
        <v>3.7725755934952111E-3</v>
      </c>
      <c r="Z48">
        <f>Perhitungan!Y$4+Perhitungan!Y$3*Return!$B48</f>
        <v>4.20048628440901E-3</v>
      </c>
      <c r="AA48">
        <f>Perhitungan!Z$4+Perhitungan!Z$3*Return!$B48</f>
        <v>1.0228662245601157E-2</v>
      </c>
      <c r="AB48">
        <f>Perhitungan!AA$4+Perhitungan!AA$3*Return!$B48</f>
        <v>6.2277969215702592E-3</v>
      </c>
      <c r="AC48">
        <f>Perhitungan!AB$4+Perhitungan!AB$3*Return!$B48</f>
        <v>6.9542471299574738E-3</v>
      </c>
      <c r="AD48">
        <f>Perhitungan!AC$4+Perhitungan!AC$3*Return!$B48</f>
        <v>6.0567474084321799E-3</v>
      </c>
      <c r="AE48">
        <f>Perhitungan!AD$4+Perhitungan!AD$3*Return!$B48</f>
        <v>5.1131118369671658E-3</v>
      </c>
      <c r="AF48">
        <f>Perhitungan!AE$4+Perhitungan!AE$3*Return!$B48</f>
        <v>16.490250156299822</v>
      </c>
    </row>
    <row r="49" spans="1:32" x14ac:dyDescent="0.3">
      <c r="A49" s="4" t="s">
        <v>30</v>
      </c>
      <c r="C49">
        <f>Perhitungan!B$4+Perhitungan!B$3*Return!$B49</f>
        <v>1.3097583680353091E-3</v>
      </c>
      <c r="D49">
        <f>Perhitungan!C$4+Perhitungan!C$3*Return!$B49</f>
        <v>4.5590946063963599E-3</v>
      </c>
      <c r="E49">
        <f>Perhitungan!D$4+Perhitungan!D$3*Return!$B49</f>
        <v>3.4365583159439751E-3</v>
      </c>
      <c r="F49">
        <f>Perhitungan!E$4+Perhitungan!E$3*Return!$B49</f>
        <v>2.7978276343678592E-3</v>
      </c>
      <c r="G49">
        <f>Perhitungan!F$4+Perhitungan!F$3*Return!$B49</f>
        <v>4.7104084365114825E-3</v>
      </c>
      <c r="H49">
        <f>Perhitungan!G$4+Perhitungan!G$3*Return!$B49</f>
        <v>2.762288706015587E-3</v>
      </c>
      <c r="I49">
        <f>Perhitungan!H$4+Perhitungan!H$3*Return!$B49</f>
        <v>-4.1024978282783306E-4</v>
      </c>
      <c r="J49">
        <f>Perhitungan!I$4+Perhitungan!I$3*Return!$B49</f>
        <v>9.2634660956411401E-4</v>
      </c>
      <c r="K49">
        <f>Perhitungan!J$4+Perhitungan!J$3*Return!$B49</f>
        <v>4.5526030220486438E-3</v>
      </c>
      <c r="L49">
        <f>Perhitungan!K$4+Perhitungan!K$3*Return!$B49</f>
        <v>7.6259887025454569E-4</v>
      </c>
      <c r="M49">
        <f>Perhitungan!L$4+Perhitungan!L$3*Return!$B49</f>
        <v>8.4461229973861549E-3</v>
      </c>
      <c r="N49">
        <f>Perhitungan!M$4+Perhitungan!M$3*Return!$B49</f>
        <v>2.6152878613283793E-3</v>
      </c>
      <c r="O49">
        <f>Perhitungan!N$4+Perhitungan!N$3*Return!$B49</f>
        <v>1.4350583389169717E-3</v>
      </c>
      <c r="P49">
        <f>Perhitungan!O$4+Perhitungan!O$3*Return!$B49</f>
        <v>1.138944704163648E-3</v>
      </c>
      <c r="Q49">
        <f>Perhitungan!P$4+Perhitungan!P$3*Return!$B49</f>
        <v>5.6569009820167607E-3</v>
      </c>
      <c r="R49">
        <f>Perhitungan!Q$4+Perhitungan!Q$3*Return!$B49</f>
        <v>1.1694400107449742E-3</v>
      </c>
      <c r="S49">
        <f>Perhitungan!R$4+Perhitungan!R$3*Return!$B49</f>
        <v>1.7727903570884413E-3</v>
      </c>
      <c r="T49">
        <f>Perhitungan!S$4+Perhitungan!S$3*Return!$B49</f>
        <v>3.0795645621094891E-3</v>
      </c>
      <c r="U49">
        <f>Perhitungan!T$4+Perhitungan!T$3*Return!$B49</f>
        <v>4.0044473836300942E-3</v>
      </c>
      <c r="V49">
        <f>Perhitungan!U$4+Perhitungan!U$3*Return!$B49</f>
        <v>3.1205807604368294E-3</v>
      </c>
      <c r="W49">
        <f>Perhitungan!V$4+Perhitungan!V$3*Return!$B49</f>
        <v>8.7557457087019432E-3</v>
      </c>
      <c r="X49">
        <f>Perhitungan!W$4+Perhitungan!W$3*Return!$B49</f>
        <v>-8.566557311928966E-4</v>
      </c>
      <c r="Y49">
        <f>Perhitungan!X$4+Perhitungan!X$3*Return!$B49</f>
        <v>1.1350593809239438E-3</v>
      </c>
      <c r="Z49">
        <f>Perhitungan!Y$4+Perhitungan!Y$3*Return!$B49</f>
        <v>1.6283028835418086E-3</v>
      </c>
      <c r="AA49">
        <f>Perhitungan!Z$4+Perhitungan!Z$3*Return!$B49</f>
        <v>6.3769228756125835E-3</v>
      </c>
      <c r="AB49">
        <f>Perhitungan!AA$4+Perhitungan!AA$3*Return!$B49</f>
        <v>2.7392781749152693E-3</v>
      </c>
      <c r="AC49">
        <f>Perhitungan!AB$4+Perhitungan!AB$3*Return!$B49</f>
        <v>4.0971165039327224E-3</v>
      </c>
      <c r="AD49">
        <f>Perhitungan!AC$4+Perhitungan!AC$3*Return!$B49</f>
        <v>2.8777920333640464E-3</v>
      </c>
      <c r="AE49">
        <f>Perhitungan!AD$4+Perhitungan!AD$3*Return!$B49</f>
        <v>2.5854183956804978E-3</v>
      </c>
      <c r="AF49">
        <f>Perhitungan!AE$4+Perhitungan!AE$3*Return!$B49</f>
        <v>16.58339832783674</v>
      </c>
    </row>
    <row r="50" spans="1:32" x14ac:dyDescent="0.3">
      <c r="A50" s="3" t="s">
        <v>31</v>
      </c>
      <c r="C50">
        <f>Perhitungan!B$4+Perhitungan!B$3*Return!$B50</f>
        <v>4.0155456923231352E-3</v>
      </c>
      <c r="D50">
        <f>Perhitungan!C$4+Perhitungan!C$3*Return!$B50</f>
        <v>7.6567301607268845E-3</v>
      </c>
      <c r="E50">
        <f>Perhitungan!D$4+Perhitungan!D$3*Return!$B50</f>
        <v>6.5193060624587264E-3</v>
      </c>
      <c r="F50">
        <f>Perhitungan!E$4+Perhitungan!E$3*Return!$B50</f>
        <v>5.4659139244231216E-3</v>
      </c>
      <c r="G50">
        <f>Perhitungan!F$4+Perhitungan!F$3*Return!$B50</f>
        <v>7.5480822938436571E-3</v>
      </c>
      <c r="H50">
        <f>Perhitungan!G$4+Perhitungan!G$3*Return!$B50</f>
        <v>4.8815356390922507E-3</v>
      </c>
      <c r="I50">
        <f>Perhitungan!H$4+Perhitungan!H$3*Return!$B50</f>
        <v>9.2476363385574642E-4</v>
      </c>
      <c r="J50">
        <f>Perhitungan!I$4+Perhitungan!I$3*Return!$B50</f>
        <v>1.8312188549021208E-3</v>
      </c>
      <c r="K50">
        <f>Perhitungan!J$4+Perhitungan!J$3*Return!$B50</f>
        <v>7.5178695405403112E-3</v>
      </c>
      <c r="L50">
        <f>Perhitungan!K$4+Perhitungan!K$3*Return!$B50</f>
        <v>1.9069087036026587E-3</v>
      </c>
      <c r="M50">
        <f>Perhitungan!L$4+Perhitungan!L$3*Return!$B50</f>
        <v>1.1502402177278477E-2</v>
      </c>
      <c r="N50">
        <f>Perhitungan!M$4+Perhitungan!M$3*Return!$B50</f>
        <v>7.047177781680309E-3</v>
      </c>
      <c r="O50">
        <f>Perhitungan!N$4+Perhitungan!N$3*Return!$B50</f>
        <v>3.0516123475088129E-3</v>
      </c>
      <c r="P50">
        <f>Perhitungan!O$4+Perhitungan!O$3*Return!$B50</f>
        <v>3.9094293221327743E-3</v>
      </c>
      <c r="Q50">
        <f>Perhitungan!P$4+Perhitungan!P$3*Return!$B50</f>
        <v>9.006775502734269E-3</v>
      </c>
      <c r="R50">
        <f>Perhitungan!Q$4+Perhitungan!Q$3*Return!$B50</f>
        <v>3.0137956582226965E-3</v>
      </c>
      <c r="S50">
        <f>Perhitungan!R$4+Perhitungan!R$3*Return!$B50</f>
        <v>3.4864381087310386E-3</v>
      </c>
      <c r="T50">
        <f>Perhitungan!S$4+Perhitungan!S$3*Return!$B50</f>
        <v>4.8798273623285038E-3</v>
      </c>
      <c r="U50">
        <f>Perhitungan!T$4+Perhitungan!T$3*Return!$B50</f>
        <v>7.4558767776421193E-3</v>
      </c>
      <c r="V50">
        <f>Perhitungan!U$4+Perhitungan!U$3*Return!$B50</f>
        <v>6.0120697578252211E-3</v>
      </c>
      <c r="W50">
        <f>Perhitungan!V$4+Perhitungan!V$3*Return!$B50</f>
        <v>1.4733436034742926E-2</v>
      </c>
      <c r="X50">
        <f>Perhitungan!W$4+Perhitungan!W$3*Return!$B50</f>
        <v>2.4880543515930879E-3</v>
      </c>
      <c r="Y50">
        <f>Perhitungan!X$4+Perhitungan!X$3*Return!$B50</f>
        <v>3.642802668096475E-3</v>
      </c>
      <c r="Z50">
        <f>Perhitungan!Y$4+Perhitungan!Y$3*Return!$B50</f>
        <v>4.0739279099043877E-3</v>
      </c>
      <c r="AA50">
        <f>Perhitungan!Z$4+Perhitungan!Z$3*Return!$B50</f>
        <v>1.0039146259487234E-2</v>
      </c>
      <c r="AB50">
        <f>Perhitungan!AA$4+Perhitungan!AA$3*Return!$B50</f>
        <v>6.0561523717077934E-3</v>
      </c>
      <c r="AC50">
        <f>Perhitungan!AB$4+Perhitungan!AB$3*Return!$B50</f>
        <v>6.8136685819211416E-3</v>
      </c>
      <c r="AD50">
        <f>Perhitungan!AC$4+Perhitungan!AC$3*Return!$B50</f>
        <v>5.9003342130295074E-3</v>
      </c>
      <c r="AE50">
        <f>Perhitungan!AD$4+Perhitungan!AD$3*Return!$B50</f>
        <v>4.988742488705537E-3</v>
      </c>
      <c r="AF50">
        <f>Perhitungan!AE$4+Perhitungan!AE$3*Return!$B50</f>
        <v>16.494833298067171</v>
      </c>
    </row>
    <row r="51" spans="1:32" x14ac:dyDescent="0.3">
      <c r="A51" s="4" t="s">
        <v>32</v>
      </c>
      <c r="C51">
        <f>Perhitungan!B$4+Perhitungan!B$3*Return!$B51</f>
        <v>-4.7123173959101924E-3</v>
      </c>
      <c r="D51">
        <f>Perhitungan!C$4+Perhitungan!C$3*Return!$B51</f>
        <v>-2.3350895114110483E-3</v>
      </c>
      <c r="E51">
        <f>Perhitungan!D$4+Perhitungan!D$3*Return!$B51</f>
        <v>-3.4244910813993092E-3</v>
      </c>
      <c r="F51">
        <f>Perhitungan!E$4+Perhitungan!E$3*Return!$B51</f>
        <v>-3.1403396558814106E-3</v>
      </c>
      <c r="G51">
        <f>Perhitungan!F$4+Perhitungan!F$3*Return!$B51</f>
        <v>-1.6051976751845437E-3</v>
      </c>
      <c r="H51">
        <f>Perhitungan!G$4+Perhitungan!G$3*Return!$B51</f>
        <v>-1.9543663980051574E-3</v>
      </c>
      <c r="I51">
        <f>Perhitungan!H$4+Perhitungan!H$3*Return!$B51</f>
        <v>-3.3814928916217958E-3</v>
      </c>
      <c r="J51">
        <f>Perhitungan!I$4+Perhitungan!I$3*Return!$B51</f>
        <v>-1.0875623067810431E-3</v>
      </c>
      <c r="K51">
        <f>Perhitungan!J$4+Perhitungan!J$3*Return!$B51</f>
        <v>-2.0469768763263212E-3</v>
      </c>
      <c r="L51">
        <f>Perhitungan!K$4+Perhitungan!K$3*Return!$B51</f>
        <v>-1.7842090225882361E-3</v>
      </c>
      <c r="M51">
        <f>Perhitungan!L$4+Perhitungan!L$3*Return!$B51</f>
        <v>1.6439827804254274E-3</v>
      </c>
      <c r="N51">
        <f>Perhitungan!M$4+Perhitungan!M$3*Return!$B51</f>
        <v>-7.248450000940751E-3</v>
      </c>
      <c r="O51">
        <f>Perhitungan!N$4+Perhitungan!N$3*Return!$B51</f>
        <v>-2.1627893665793086E-3</v>
      </c>
      <c r="P51">
        <f>Perhitungan!O$4+Perhitungan!O$3*Return!$B51</f>
        <v>-5.0271231617381911E-3</v>
      </c>
      <c r="Q51">
        <f>Perhitungan!P$4+Perhitungan!P$3*Return!$B51</f>
        <v>-1.7986732171790727E-3</v>
      </c>
      <c r="R51">
        <f>Perhitungan!Q$4+Perhitungan!Q$3*Return!$B51</f>
        <v>-2.9354093782198321E-3</v>
      </c>
      <c r="S51">
        <f>Perhitungan!R$4+Perhitungan!R$3*Return!$B51</f>
        <v>-2.0411518919842102E-3</v>
      </c>
      <c r="T51">
        <f>Perhitungan!S$4+Perhitungan!S$3*Return!$B51</f>
        <v>-9.2715055574814592E-4</v>
      </c>
      <c r="U51">
        <f>Perhitungan!T$4+Perhitungan!T$3*Return!$B51</f>
        <v>-3.6771501750840038E-3</v>
      </c>
      <c r="V51">
        <f>Perhitungan!U$4+Perhitungan!U$3*Return!$B51</f>
        <v>-3.3147978284812111E-3</v>
      </c>
      <c r="W51">
        <f>Perhitungan!V$4+Perhitungan!V$3*Return!$B51</f>
        <v>-4.5483686663248266E-3</v>
      </c>
      <c r="X51">
        <f>Perhitungan!W$4+Perhitungan!W$3*Return!$B51</f>
        <v>-8.3007358132337512E-3</v>
      </c>
      <c r="Y51">
        <f>Perhitungan!X$4+Perhitungan!X$3*Return!$B51</f>
        <v>-4.4462440483297137E-3</v>
      </c>
      <c r="Z51">
        <f>Perhitungan!Y$4+Perhitungan!Y$3*Return!$B51</f>
        <v>-3.8147484112723792E-3</v>
      </c>
      <c r="AA51">
        <f>Perhitungan!Z$4+Perhitungan!Z$3*Return!$B51</f>
        <v>-1.7738236683682018E-3</v>
      </c>
      <c r="AB51">
        <f>Perhitungan!AA$4+Perhitungan!AA$3*Return!$B51</f>
        <v>-4.6428495826008609E-3</v>
      </c>
      <c r="AC51">
        <f>Perhitungan!AB$4+Perhitungan!AB$3*Return!$B51</f>
        <v>-1.9489175961995482E-3</v>
      </c>
      <c r="AD51">
        <f>Perhitungan!AC$4+Perhitungan!AC$3*Return!$B51</f>
        <v>-3.8492621745852837E-3</v>
      </c>
      <c r="AE51">
        <f>Perhitungan!AD$4+Perhitungan!AD$3*Return!$B51</f>
        <v>-2.7634867616462108E-3</v>
      </c>
      <c r="AF51">
        <f>Perhitungan!AE$4+Perhitungan!AE$3*Return!$B51</f>
        <v>16.780511129172233</v>
      </c>
    </row>
    <row r="52" spans="1:32" x14ac:dyDescent="0.3">
      <c r="A52" s="3" t="s">
        <v>33</v>
      </c>
      <c r="C52">
        <f>Perhitungan!B$4+Perhitungan!B$3*Return!$B52</f>
        <v>-3.7007564104861597E-4</v>
      </c>
      <c r="D52">
        <f>Perhitungan!C$4+Perhitungan!C$3*Return!$B52</f>
        <v>2.6359894513075231E-3</v>
      </c>
      <c r="E52">
        <f>Perhitungan!D$4+Perhitungan!D$3*Return!$B52</f>
        <v>1.522695958936552E-3</v>
      </c>
      <c r="F52">
        <f>Perhitungan!E$4+Perhitungan!E$3*Return!$B52</f>
        <v>1.1413995592658918E-3</v>
      </c>
      <c r="G52">
        <f>Perhitungan!F$4+Perhitungan!F$3*Return!$B52</f>
        <v>2.9486953079714932E-3</v>
      </c>
      <c r="H52">
        <f>Perhitungan!G$4+Perhitungan!G$3*Return!$B52</f>
        <v>1.4465965819991566E-3</v>
      </c>
      <c r="I52">
        <f>Perhitungan!H$4+Perhitungan!H$3*Return!$B52</f>
        <v>-1.2390661941541247E-3</v>
      </c>
      <c r="J52">
        <f>Perhitungan!I$4+Perhitungan!I$3*Return!$B52</f>
        <v>3.6457475190527307E-4</v>
      </c>
      <c r="K52">
        <f>Perhitungan!J$4+Perhitungan!J$3*Return!$B52</f>
        <v>2.7116765386372959E-3</v>
      </c>
      <c r="L52">
        <f>Perhitungan!K$4+Perhitungan!K$3*Return!$B52</f>
        <v>5.2176969119628266E-5</v>
      </c>
      <c r="M52">
        <f>Perhitungan!L$4+Perhitungan!L$3*Return!$B52</f>
        <v>6.5486931212263401E-3</v>
      </c>
      <c r="N52">
        <f>Perhitungan!M$4+Perhitungan!M$3*Return!$B52</f>
        <v>-1.361624636460456E-4</v>
      </c>
      <c r="O52">
        <f>Perhitungan!N$4+Perhitungan!N$3*Return!$B52</f>
        <v>4.3145307520014813E-4</v>
      </c>
      <c r="P52">
        <f>Perhitungan!O$4+Perhitungan!O$3*Return!$B52</f>
        <v>-5.8105532729978626E-4</v>
      </c>
      <c r="Q52">
        <f>Perhitungan!P$4+Perhitungan!P$3*Return!$B52</f>
        <v>3.5771983034087558E-3</v>
      </c>
      <c r="R52">
        <f>Perhitungan!Q$4+Perhitungan!Q$3*Return!$B52</f>
        <v>2.4408650124441763E-5</v>
      </c>
      <c r="S52">
        <f>Perhitungan!R$4+Perhitungan!R$3*Return!$B52</f>
        <v>7.0890638255725435E-4</v>
      </c>
      <c r="T52">
        <f>Perhitungan!S$4+Perhitungan!S$3*Return!$B52</f>
        <v>1.9619073649044102E-3</v>
      </c>
      <c r="U52">
        <f>Perhitungan!T$4+Perhitungan!T$3*Return!$B52</f>
        <v>1.8616963906120715E-3</v>
      </c>
      <c r="V52">
        <f>Perhitungan!U$4+Perhitungan!U$3*Return!$B52</f>
        <v>1.3254575772119837E-3</v>
      </c>
      <c r="W52">
        <f>Perhitungan!V$4+Perhitungan!V$3*Return!$B52</f>
        <v>5.0446160809886533E-3</v>
      </c>
      <c r="X52">
        <f>Perhitungan!W$4+Perhitungan!W$3*Return!$B52</f>
        <v>-2.9331521716766777E-3</v>
      </c>
      <c r="Y52">
        <f>Perhitungan!X$4+Perhitungan!X$3*Return!$B52</f>
        <v>-4.2182294387336974E-4</v>
      </c>
      <c r="Z52">
        <f>Perhitungan!Y$4+Perhitungan!Y$3*Return!$B52</f>
        <v>1.0998544008496256E-4</v>
      </c>
      <c r="AA52">
        <f>Perhitungan!Z$4+Perhitungan!Z$3*Return!$B52</f>
        <v>4.1033046448396742E-3</v>
      </c>
      <c r="AB52">
        <f>Perhitungan!AA$4+Perhitungan!AA$3*Return!$B52</f>
        <v>6.8006308819683033E-4</v>
      </c>
      <c r="AC52">
        <f>Perhitungan!AB$4+Perhitungan!AB$3*Return!$B52</f>
        <v>2.4105994125520657E-3</v>
      </c>
      <c r="AD52">
        <f>Perhitungan!AC$4+Perhitungan!AC$3*Return!$B52</f>
        <v>1.0013070998598659E-3</v>
      </c>
      <c r="AE52">
        <f>Perhitungan!AD$4+Perhitungan!AD$3*Return!$B52</f>
        <v>1.0933626416766828E-3</v>
      </c>
      <c r="AF52">
        <f>Perhitungan!AE$4+Perhitungan!AE$3*Return!$B52</f>
        <v>16.638382157381294</v>
      </c>
    </row>
    <row r="53" spans="1:32" x14ac:dyDescent="0.3">
      <c r="A53" s="4" t="s">
        <v>34</v>
      </c>
      <c r="C53">
        <f>Perhitungan!B$4+Perhitungan!B$3*Return!$B53</f>
        <v>-4.4014087508623973E-3</v>
      </c>
      <c r="D53">
        <f>Perhitungan!C$4+Perhitungan!C$3*Return!$B53</f>
        <v>-1.9791555233980517E-3</v>
      </c>
      <c r="E53">
        <f>Perhitungan!D$4+Perhitungan!D$3*Return!$B53</f>
        <v>-3.0702677777827495E-3</v>
      </c>
      <c r="F53">
        <f>Perhitungan!E$4+Perhitungan!E$3*Return!$B53</f>
        <v>-2.8337630502976671E-3</v>
      </c>
      <c r="G53">
        <f>Perhitungan!F$4+Perhitungan!F$3*Return!$B53</f>
        <v>-1.2791346006216114E-3</v>
      </c>
      <c r="H53">
        <f>Perhitungan!G$4+Perhitungan!G$3*Return!$B53</f>
        <v>-1.7108542096782402E-3</v>
      </c>
      <c r="I53">
        <f>Perhitungan!H$4+Perhitungan!H$3*Return!$B53</f>
        <v>-3.228093099710594E-3</v>
      </c>
      <c r="J53">
        <f>Perhitungan!I$4+Perhitungan!I$3*Return!$B53</f>
        <v>-9.8358791041437948E-4</v>
      </c>
      <c r="K53">
        <f>Perhitungan!J$4+Perhitungan!J$3*Return!$B53</f>
        <v>-1.7062527598392674E-3</v>
      </c>
      <c r="L53">
        <f>Perhitungan!K$4+Perhitungan!K$3*Return!$B53</f>
        <v>-1.6527220366719382E-3</v>
      </c>
      <c r="M53">
        <f>Perhitungan!L$4+Perhitungan!L$3*Return!$B53</f>
        <v>1.9951647119019569E-3</v>
      </c>
      <c r="N53">
        <f>Perhitungan!M$4+Perhitungan!M$3*Return!$B53</f>
        <v>-6.7392034397756847E-3</v>
      </c>
      <c r="O53">
        <f>Perhitungan!N$4+Perhitungan!N$3*Return!$B53</f>
        <v>-1.9770391370818154E-3</v>
      </c>
      <c r="P53">
        <f>Perhitungan!O$4+Perhitungan!O$3*Return!$B53</f>
        <v>-4.7087804705123549E-3</v>
      </c>
      <c r="Q53">
        <f>Perhitungan!P$4+Perhitungan!P$3*Return!$B53</f>
        <v>-1.4137556965123136E-3</v>
      </c>
      <c r="R53">
        <f>Perhitungan!Q$4+Perhitungan!Q$3*Return!$B53</f>
        <v>-2.7234835885628509E-3</v>
      </c>
      <c r="S53">
        <f>Perhitungan!R$4+Perhitungan!R$3*Return!$B53</f>
        <v>-1.8442451004673887E-3</v>
      </c>
      <c r="T53">
        <f>Perhitungan!S$4+Perhitungan!S$3*Return!$B53</f>
        <v>-7.2029125719135184E-4</v>
      </c>
      <c r="U53">
        <f>Perhitungan!T$4+Perhitungan!T$3*Return!$B53</f>
        <v>-3.2805634859757412E-3</v>
      </c>
      <c r="V53">
        <f>Perhitungan!U$4+Perhitungan!U$3*Return!$B53</f>
        <v>-2.9825511222160571E-3</v>
      </c>
      <c r="W53">
        <f>Perhitungan!V$4+Perhitungan!V$3*Return!$B53</f>
        <v>-3.8615018223928533E-3</v>
      </c>
      <c r="X53">
        <f>Perhitungan!W$4+Perhitungan!W$3*Return!$B53</f>
        <v>-7.9164117125986814E-3</v>
      </c>
      <c r="Y53">
        <f>Perhitungan!X$4+Perhitungan!X$3*Return!$B53</f>
        <v>-4.1580916645322435E-3</v>
      </c>
      <c r="Z53">
        <f>Perhitungan!Y$4+Perhitungan!Y$3*Return!$B53</f>
        <v>-3.5337337297354629E-3</v>
      </c>
      <c r="AA53">
        <f>Perhitungan!Z$4+Perhitungan!Z$3*Return!$B53</f>
        <v>-1.3530156839703486E-3</v>
      </c>
      <c r="AB53">
        <f>Perhitungan!AA$4+Perhitungan!AA$3*Return!$B53</f>
        <v>-4.2617239660152385E-3</v>
      </c>
      <c r="AC53">
        <f>Perhitungan!AB$4+Perhitungan!AB$3*Return!$B53</f>
        <v>-1.6367720265208761E-3</v>
      </c>
      <c r="AD53">
        <f>Perhitungan!AC$4+Perhitungan!AC$3*Return!$B53</f>
        <v>-3.5019567950218913E-3</v>
      </c>
      <c r="AE53">
        <f>Perhitungan!AD$4+Perhitungan!AD$3*Return!$B53</f>
        <v>-2.4873326712393433E-3</v>
      </c>
      <c r="AF53">
        <f>Perhitungan!AE$4+Perhitungan!AE$3*Return!$B53</f>
        <v>16.770334559433319</v>
      </c>
    </row>
    <row r="54" spans="1:32" x14ac:dyDescent="0.3">
      <c r="A54" s="1">
        <v>45694</v>
      </c>
      <c r="C54">
        <f>Perhitungan!B$4+Perhitungan!B$3*Return!$B54</f>
        <v>-1.4896536846468305E-2</v>
      </c>
      <c r="D54">
        <f>Perhitungan!C$4+Perhitungan!C$3*Return!$B54</f>
        <v>-1.3994172980381239E-2</v>
      </c>
      <c r="E54">
        <f>Perhitungan!D$4+Perhitungan!D$3*Return!$B54</f>
        <v>-1.5027538844764488E-2</v>
      </c>
      <c r="F54">
        <f>Perhitungan!E$4+Perhitungan!E$3*Return!$B54</f>
        <v>-1.3182657485905289E-2</v>
      </c>
      <c r="G54">
        <f>Perhitungan!F$4+Perhitungan!F$3*Return!$B54</f>
        <v>-1.2285820292037498E-2</v>
      </c>
      <c r="H54">
        <f>Perhitungan!G$4+Perhitungan!G$3*Return!$B54</f>
        <v>-9.9309267294996791E-3</v>
      </c>
      <c r="I54">
        <f>Perhitungan!H$4+Perhitungan!H$3*Return!$B54</f>
        <v>-8.406303778605859E-3</v>
      </c>
      <c r="J54">
        <f>Perhitungan!I$4+Perhitungan!I$3*Return!$B54</f>
        <v>-4.4933796962416334E-3</v>
      </c>
      <c r="K54">
        <f>Perhitungan!J$4+Perhitungan!J$3*Return!$B54</f>
        <v>-1.320784110339932E-2</v>
      </c>
      <c r="L54">
        <f>Perhitungan!K$4+Perhitungan!K$3*Return!$B54</f>
        <v>-6.091237279258822E-3</v>
      </c>
      <c r="M54">
        <f>Perhitungan!L$4+Perhitungan!L$3*Return!$B54</f>
        <v>-9.8594408592679143E-3</v>
      </c>
      <c r="N54">
        <f>Perhitungan!M$4+Perhitungan!M$3*Return!$B54</f>
        <v>-2.3929487392325664E-2</v>
      </c>
      <c r="O54">
        <f>Perhitungan!N$4+Perhitungan!N$3*Return!$B54</f>
        <v>-8.2472811628855579E-3</v>
      </c>
      <c r="P54">
        <f>Perhitungan!O$4+Perhitungan!O$3*Return!$B54</f>
        <v>-1.5454854521304519E-2</v>
      </c>
      <c r="Q54">
        <f>Perhitungan!P$4+Perhitungan!P$3*Return!$B54</f>
        <v>-1.4407150219265587E-2</v>
      </c>
      <c r="R54">
        <f>Perhitungan!Q$4+Perhitungan!Q$3*Return!$B54</f>
        <v>-9.877315894739256E-3</v>
      </c>
      <c r="S54">
        <f>Perhitungan!R$4+Perhitungan!R$3*Return!$B54</f>
        <v>-8.4910914740898343E-3</v>
      </c>
      <c r="T54">
        <f>Perhitungan!S$4+Perhitungan!S$3*Return!$B54</f>
        <v>-7.7030975274608457E-3</v>
      </c>
      <c r="U54">
        <f>Perhitungan!T$4+Perhitungan!T$3*Return!$B54</f>
        <v>-1.6667866057004582E-2</v>
      </c>
      <c r="V54">
        <f>Perhitungan!U$4+Perhitungan!U$3*Return!$B54</f>
        <v>-1.419797339218829E-2</v>
      </c>
      <c r="W54">
        <f>Perhitungan!V$4+Perhitungan!V$3*Return!$B54</f>
        <v>-2.7047590811917144E-2</v>
      </c>
      <c r="X54">
        <f>Perhitungan!W$4+Perhitungan!W$3*Return!$B54</f>
        <v>-2.0889774565772231E-2</v>
      </c>
      <c r="Y54">
        <f>Perhitungan!X$4+Perhitungan!X$3*Return!$B54</f>
        <v>-1.3885052388135616E-2</v>
      </c>
      <c r="Z54">
        <f>Perhitungan!Y$4+Perhitungan!Y$3*Return!$B54</f>
        <v>-1.301975197481337E-2</v>
      </c>
      <c r="AA54">
        <f>Perhitungan!Z$4+Perhitungan!Z$3*Return!$B54</f>
        <v>-1.5557939767796545E-2</v>
      </c>
      <c r="AB54">
        <f>Perhitungan!AA$4+Perhitungan!AA$3*Return!$B54</f>
        <v>-1.7127117805314819E-2</v>
      </c>
      <c r="AC54">
        <f>Perhitungan!AB$4+Perhitungan!AB$3*Return!$B54</f>
        <v>-1.2173654131391022E-2</v>
      </c>
      <c r="AD54">
        <f>Perhitungan!AC$4+Perhitungan!AC$3*Return!$B54</f>
        <v>-1.522570428441862E-2</v>
      </c>
      <c r="AE54">
        <f>Perhitungan!AD$4+Perhitungan!AD$3*Return!$B54</f>
        <v>-1.1809275303294698E-2</v>
      </c>
      <c r="AF54">
        <f>Perhitungan!AE$4+Perhitungan!AE$3*Return!$B54</f>
        <v>17.113857985638827</v>
      </c>
    </row>
    <row r="55" spans="1:32" x14ac:dyDescent="0.3">
      <c r="A55" s="2">
        <v>45722</v>
      </c>
      <c r="C55">
        <f>Perhitungan!B$4+Perhitungan!B$3*Return!$B55</f>
        <v>-4.1011722655987419E-3</v>
      </c>
      <c r="D55">
        <f>Perhitungan!C$4+Perhitungan!C$3*Return!$B55</f>
        <v>-1.6354392220051788E-3</v>
      </c>
      <c r="E55">
        <f>Perhitungan!D$4+Perhitungan!D$3*Return!$B55</f>
        <v>-2.7282034403309317E-3</v>
      </c>
      <c r="F55">
        <f>Perhitungan!E$4+Perhitungan!E$3*Return!$B55</f>
        <v>-2.537709904170531E-3</v>
      </c>
      <c r="G55">
        <f>Perhitungan!F$4+Perhitungan!F$3*Return!$B55</f>
        <v>-9.6426387238571307E-4</v>
      </c>
      <c r="H55">
        <f>Perhitungan!G$4+Perhitungan!G$3*Return!$B55</f>
        <v>-1.4757007499508804E-3</v>
      </c>
      <c r="I55">
        <f>Perhitungan!H$4+Perhitungan!H$3*Return!$B55</f>
        <v>-3.0799588644708016E-3</v>
      </c>
      <c r="J55">
        <f>Perhitungan!I$4+Perhitungan!I$3*Return!$B55</f>
        <v>-8.8318250895718232E-4</v>
      </c>
      <c r="K55">
        <f>Perhitungan!J$4+Perhitungan!J$3*Return!$B55</f>
        <v>-1.3772242403430953E-3</v>
      </c>
      <c r="L55">
        <f>Perhitungan!K$4+Perhitungan!K$3*Return!$B55</f>
        <v>-1.5257484348174379E-3</v>
      </c>
      <c r="M55">
        <f>Perhitungan!L$4+Perhitungan!L$3*Return!$B55</f>
        <v>2.3342920744698461E-3</v>
      </c>
      <c r="N55">
        <f>Perhitungan!M$4+Perhitungan!M$3*Return!$B55</f>
        <v>-6.2474371280563752E-3</v>
      </c>
      <c r="O55">
        <f>Perhitungan!N$4+Perhitungan!N$3*Return!$B55</f>
        <v>-1.7976649159736457E-3</v>
      </c>
      <c r="P55">
        <f>Perhitungan!O$4+Perhitungan!O$3*Return!$B55</f>
        <v>-4.401365117979057E-3</v>
      </c>
      <c r="Q55">
        <f>Perhitungan!P$4+Perhitungan!P$3*Return!$B55</f>
        <v>-1.0420507427834711E-3</v>
      </c>
      <c r="R55">
        <f>Perhitungan!Q$4+Perhitungan!Q$3*Return!$B55</f>
        <v>-2.5188323019652869E-3</v>
      </c>
      <c r="S55">
        <f>Perhitungan!R$4+Perhitungan!R$3*Return!$B55</f>
        <v>-1.6540972742451058E-3</v>
      </c>
      <c r="T55">
        <f>Perhitungan!S$4+Perhitungan!S$3*Return!$B55</f>
        <v>-5.2053255079304852E-4</v>
      </c>
      <c r="U55">
        <f>Perhitungan!T$4+Perhitungan!T$3*Return!$B55</f>
        <v>-2.8975899162896682E-3</v>
      </c>
      <c r="V55">
        <f>Perhitungan!U$4+Perhitungan!U$3*Return!$B55</f>
        <v>-2.6617090198224717E-3</v>
      </c>
      <c r="W55">
        <f>Perhitungan!V$4+Perhitungan!V$3*Return!$B55</f>
        <v>-3.1982121701074609E-3</v>
      </c>
      <c r="X55">
        <f>Perhitungan!W$4+Perhitungan!W$3*Return!$B55</f>
        <v>-7.5452798093379979E-3</v>
      </c>
      <c r="Y55">
        <f>Perhitungan!X$4+Perhitungan!X$3*Return!$B55</f>
        <v>-3.8798303157093548E-3</v>
      </c>
      <c r="Z55">
        <f>Perhitungan!Y$4+Perhitungan!Y$3*Return!$B55</f>
        <v>-3.2623650764799094E-3</v>
      </c>
      <c r="AA55">
        <f>Perhitungan!Z$4+Perhitungan!Z$3*Return!$B55</f>
        <v>-9.4665223213686233E-4</v>
      </c>
      <c r="AB55">
        <f>Perhitungan!AA$4+Perhitungan!AA$3*Return!$B55</f>
        <v>-3.8936807565701625E-3</v>
      </c>
      <c r="AC55">
        <f>Perhitungan!AB$4+Perhitungan!AB$3*Return!$B55</f>
        <v>-1.3353410749417111E-3</v>
      </c>
      <c r="AD55">
        <f>Perhitungan!AC$4+Perhitungan!AC$3*Return!$B55</f>
        <v>-3.1665729189728911E-3</v>
      </c>
      <c r="AE55">
        <f>Perhitungan!AD$4+Perhitungan!AD$3*Return!$B55</f>
        <v>-2.2206577658754421E-3</v>
      </c>
      <c r="AF55">
        <f>Perhitungan!AE$4+Perhitungan!AE$3*Return!$B55</f>
        <v>16.760507307669442</v>
      </c>
    </row>
    <row r="56" spans="1:32" x14ac:dyDescent="0.3">
      <c r="A56" s="1">
        <v>45753</v>
      </c>
      <c r="C56">
        <f>Perhitungan!B$4+Perhitungan!B$3*Return!$B56</f>
        <v>1.3140500233091092E-3</v>
      </c>
      <c r="D56">
        <f>Perhitungan!C$4+Perhitungan!C$3*Return!$B56</f>
        <v>4.5640077730165606E-3</v>
      </c>
      <c r="E56">
        <f>Perhitungan!D$4+Perhitungan!D$3*Return!$B56</f>
        <v>3.4414478689791927E-3</v>
      </c>
      <c r="F56">
        <f>Perhitungan!E$4+Perhitungan!E$3*Return!$B56</f>
        <v>2.8020594919476796E-3</v>
      </c>
      <c r="G56">
        <f>Perhitungan!F$4+Perhitungan!F$3*Return!$B56</f>
        <v>4.7149092773077373E-3</v>
      </c>
      <c r="H56">
        <f>Perhitungan!G$4+Perhitungan!G$3*Return!$B56</f>
        <v>2.765650048274523E-3</v>
      </c>
      <c r="I56">
        <f>Perhitungan!H$4+Perhitungan!H$3*Return!$B56</f>
        <v>-4.0813231508789812E-4</v>
      </c>
      <c r="J56">
        <f>Perhitungan!I$4+Perhitungan!I$3*Return!$B56</f>
        <v>9.2778182943855183E-4</v>
      </c>
      <c r="K56">
        <f>Perhitungan!J$4+Perhitungan!J$3*Return!$B56</f>
        <v>4.557306237847638E-3</v>
      </c>
      <c r="L56">
        <f>Perhitungan!K$4+Perhitungan!K$3*Return!$B56</f>
        <v>7.6441386261816117E-4</v>
      </c>
      <c r="M56">
        <f>Perhitungan!L$4+Perhitungan!L$3*Return!$B56</f>
        <v>8.450970568569173E-3</v>
      </c>
      <c r="N56">
        <f>Perhitungan!M$4+Perhitungan!M$3*Return!$B56</f>
        <v>2.6223172917565762E-3</v>
      </c>
      <c r="O56">
        <f>Perhitungan!N$4+Perhitungan!N$3*Return!$B56</f>
        <v>1.4376223588139095E-3</v>
      </c>
      <c r="P56">
        <f>Perhitungan!O$4+Perhitungan!O$3*Return!$B56</f>
        <v>1.1433389759583905E-3</v>
      </c>
      <c r="Q56">
        <f>Perhitungan!P$4+Perhitungan!P$3*Return!$B56</f>
        <v>5.6622142254207641E-3</v>
      </c>
      <c r="R56">
        <f>Perhitungan!Q$4+Perhitungan!Q$3*Return!$B56</f>
        <v>1.1723653473263867E-3</v>
      </c>
      <c r="S56">
        <f>Perhitungan!R$4+Perhitungan!R$3*Return!$B56</f>
        <v>1.7755083775864891E-3</v>
      </c>
      <c r="T56">
        <f>Perhitungan!S$4+Perhitungan!S$3*Return!$B56</f>
        <v>3.0824199629281099E-3</v>
      </c>
      <c r="U56">
        <f>Perhitungan!T$4+Perhitungan!T$3*Return!$B56</f>
        <v>4.0099217034437768E-3</v>
      </c>
      <c r="V56">
        <f>Perhitungan!U$4+Perhitungan!U$3*Return!$B56</f>
        <v>3.1251669575460359E-3</v>
      </c>
      <c r="W56">
        <f>Perhitungan!V$4+Perhitungan!V$3*Return!$B56</f>
        <v>8.7652269365806525E-3</v>
      </c>
      <c r="X56">
        <f>Perhitungan!W$4+Perhitungan!W$3*Return!$B56</f>
        <v>-8.5135067911534671E-4</v>
      </c>
      <c r="Y56">
        <f>Perhitungan!X$4+Perhitungan!X$3*Return!$B56</f>
        <v>1.1390369181114106E-3</v>
      </c>
      <c r="Z56">
        <f>Perhitungan!Y$4+Perhitungan!Y$3*Return!$B56</f>
        <v>1.632181894818088E-3</v>
      </c>
      <c r="AA56">
        <f>Perhitungan!Z$4+Perhitungan!Z$3*Return!$B56</f>
        <v>6.3827315362409189E-3</v>
      </c>
      <c r="AB56">
        <f>Perhitungan!AA$4+Perhitungan!AA$3*Return!$B56</f>
        <v>2.7445390764323325E-3</v>
      </c>
      <c r="AC56">
        <f>Perhitungan!AB$4+Perhitungan!AB$3*Return!$B56</f>
        <v>4.1014252332062327E-3</v>
      </c>
      <c r="AD56">
        <f>Perhitungan!AC$4+Perhitungan!AC$3*Return!$B56</f>
        <v>2.8825860942162085E-3</v>
      </c>
      <c r="AE56">
        <f>Perhitungan!AD$4+Perhitungan!AD$3*Return!$B56</f>
        <v>2.5892303133526291E-3</v>
      </c>
      <c r="AF56">
        <f>Perhitungan!AE$4+Perhitungan!AE$3*Return!$B56</f>
        <v>16.583257854646675</v>
      </c>
    </row>
    <row r="57" spans="1:32" x14ac:dyDescent="0.3">
      <c r="A57" s="2">
        <v>45783</v>
      </c>
      <c r="C57">
        <f>Perhitungan!B$4+Perhitungan!B$3*Return!$B57</f>
        <v>3.7536512294066037E-3</v>
      </c>
      <c r="D57">
        <f>Perhitungan!C$4+Perhitungan!C$3*Return!$B57</f>
        <v>7.3569085182309908E-3</v>
      </c>
      <c r="E57">
        <f>Perhitungan!D$4+Perhitungan!D$3*Return!$B57</f>
        <v>6.2209254180771037E-3</v>
      </c>
      <c r="F57">
        <f>Perhitungan!E$4+Perhitungan!E$3*Return!$B57</f>
        <v>5.2076685628321476E-3</v>
      </c>
      <c r="G57">
        <f>Perhitungan!F$4+Perhitungan!F$3*Return!$B57</f>
        <v>7.2734224696485317E-3</v>
      </c>
      <c r="H57">
        <f>Perhitungan!G$4+Perhitungan!G$3*Return!$B57</f>
        <v>4.6764127041358959E-3</v>
      </c>
      <c r="I57">
        <f>Perhitungan!H$4+Perhitungan!H$3*Return!$B57</f>
        <v>7.9554703999771496E-4</v>
      </c>
      <c r="J57">
        <f>Perhitungan!I$4+Perhitungan!I$3*Return!$B57</f>
        <v>1.7436358329204328E-3</v>
      </c>
      <c r="K57">
        <f>Perhitungan!J$4+Perhitungan!J$3*Return!$B57</f>
        <v>7.2308599610017019E-3</v>
      </c>
      <c r="L57">
        <f>Perhitungan!K$4+Perhitungan!K$3*Return!$B57</f>
        <v>1.7961504017491717E-3</v>
      </c>
      <c r="M57">
        <f>Perhitungan!L$4+Perhitungan!L$3*Return!$B57</f>
        <v>1.1206583438253395E-2</v>
      </c>
      <c r="N57">
        <f>Perhitungan!M$4+Perhitungan!M$3*Return!$B57</f>
        <v>6.6182130142068505E-3</v>
      </c>
      <c r="O57">
        <f>Perhitungan!N$4+Perhitungan!N$3*Return!$B57</f>
        <v>2.8951453036818713E-3</v>
      </c>
      <c r="P57">
        <f>Perhitungan!O$4+Perhitungan!O$3*Return!$B57</f>
        <v>3.6412727768904349E-3</v>
      </c>
      <c r="Q57">
        <f>Perhitungan!P$4+Perhitungan!P$3*Return!$B57</f>
        <v>8.682539528766138E-3</v>
      </c>
      <c r="R57">
        <f>Perhitungan!Q$4+Perhitungan!Q$3*Return!$B57</f>
        <v>2.835279583663738E-3</v>
      </c>
      <c r="S57">
        <f>Perhitungan!R$4+Perhitungan!R$3*Return!$B57</f>
        <v>3.3205733145855176E-3</v>
      </c>
      <c r="T57">
        <f>Perhitungan!S$4+Perhitungan!S$3*Return!$B57</f>
        <v>4.7055790557672837E-3</v>
      </c>
      <c r="U57">
        <f>Perhitungan!T$4+Perhitungan!T$3*Return!$B57</f>
        <v>7.1218112584029002E-3</v>
      </c>
      <c r="V57">
        <f>Perhitungan!U$4+Perhitungan!U$3*Return!$B57</f>
        <v>5.7322011402133732E-3</v>
      </c>
      <c r="W57">
        <f>Perhitungan!V$4+Perhitungan!V$3*Return!$B57</f>
        <v>1.4154852498865101E-2</v>
      </c>
      <c r="X57">
        <f>Perhitungan!W$4+Perhitungan!W$3*Return!$B57</f>
        <v>2.1643182460684973E-3</v>
      </c>
      <c r="Y57">
        <f>Perhitungan!X$4+Perhitungan!X$3*Return!$B57</f>
        <v>3.4000769832537281E-3</v>
      </c>
      <c r="Z57">
        <f>Perhitungan!Y$4+Perhitungan!Y$3*Return!$B57</f>
        <v>3.8372146815492968E-3</v>
      </c>
      <c r="AA57">
        <f>Perhitungan!Z$4+Perhitungan!Z$3*Return!$B57</f>
        <v>9.6846778880853336E-3</v>
      </c>
      <c r="AB57">
        <f>Perhitungan!AA$4+Perhitungan!AA$3*Return!$B57</f>
        <v>5.7351105150425371E-3</v>
      </c>
      <c r="AC57">
        <f>Perhitungan!AB$4+Perhitungan!AB$3*Return!$B57</f>
        <v>6.5507321932909597E-3</v>
      </c>
      <c r="AD57">
        <f>Perhitungan!AC$4+Perhitungan!AC$3*Return!$B57</f>
        <v>5.6077808945626181E-3</v>
      </c>
      <c r="AE57">
        <f>Perhitungan!AD$4+Perhitungan!AD$3*Return!$B57</f>
        <v>4.7561235881336608E-3</v>
      </c>
      <c r="AF57">
        <f>Perhitungan!AE$4+Perhitungan!AE$3*Return!$B57</f>
        <v>16.503405550105047</v>
      </c>
    </row>
    <row r="58" spans="1:32" x14ac:dyDescent="0.3">
      <c r="A58" s="1">
        <v>45936</v>
      </c>
      <c r="C58">
        <f>Perhitungan!B$4+Perhitungan!B$3*Return!$B58</f>
        <v>1.2529137807701556E-2</v>
      </c>
      <c r="D58">
        <f>Perhitungan!C$4+Perhitungan!C$3*Return!$B58</f>
        <v>1.7403248445790338E-2</v>
      </c>
      <c r="E58">
        <f>Perhitungan!D$4+Perhitungan!D$3*Return!$B58</f>
        <v>1.6218980782953037E-2</v>
      </c>
      <c r="F58">
        <f>Perhitungan!E$4+Perhitungan!E$3*Return!$B58</f>
        <v>1.386088207224029E-2</v>
      </c>
      <c r="G58">
        <f>Perhitungan!F$4+Perhitungan!F$3*Return!$B58</f>
        <v>1.6476647211323768E-2</v>
      </c>
      <c r="H58">
        <f>Perhitungan!G$4+Perhitungan!G$3*Return!$B58</f>
        <v>1.1549614766386634E-2</v>
      </c>
      <c r="I58">
        <f>Perhitungan!H$4+Perhitungan!H$3*Return!$B58</f>
        <v>5.1253006073938411E-3</v>
      </c>
      <c r="J58">
        <f>Perhitungan!I$4+Perhitungan!I$3*Return!$B58</f>
        <v>4.6783432922826787E-3</v>
      </c>
      <c r="K58">
        <f>Perhitungan!J$4+Perhitungan!J$3*Return!$B58</f>
        <v>1.6847896858363919E-2</v>
      </c>
      <c r="L58">
        <f>Perhitungan!K$4+Perhitungan!K$3*Return!$B58</f>
        <v>5.5074086716874271E-3</v>
      </c>
      <c r="M58">
        <f>Perhitungan!L$4+Perhitungan!L$3*Return!$B58</f>
        <v>2.1118795193375939E-2</v>
      </c>
      <c r="N58">
        <f>Perhitungan!M$4+Perhitungan!M$3*Return!$B58</f>
        <v>2.0991844734418105E-2</v>
      </c>
      <c r="O58">
        <f>Perhitungan!N$4+Perhitungan!N$3*Return!$B58</f>
        <v>8.1379993440379179E-3</v>
      </c>
      <c r="P58">
        <f>Perhitungan!O$4+Perhitungan!O$3*Return!$B58</f>
        <v>1.2626587462241688E-2</v>
      </c>
      <c r="Q58">
        <f>Perhitungan!P$4+Perhitungan!P$3*Return!$B58</f>
        <v>1.9546948062155234E-2</v>
      </c>
      <c r="R58">
        <f>Perhitungan!Q$4+Perhitungan!Q$3*Return!$B58</f>
        <v>8.8169463927146793E-3</v>
      </c>
      <c r="S58">
        <f>Perhitungan!R$4+Perhitungan!R$3*Return!$B58</f>
        <v>8.8783245500500471E-3</v>
      </c>
      <c r="T58">
        <f>Perhitungan!S$4+Perhitungan!S$3*Return!$B58</f>
        <v>1.0544242685727111E-2</v>
      </c>
      <c r="U58">
        <f>Perhitungan!T$4+Perhitungan!T$3*Return!$B58</f>
        <v>1.8315585451671067E-2</v>
      </c>
      <c r="V58">
        <f>Perhitungan!U$4+Perhitungan!U$3*Return!$B58</f>
        <v>1.5109960678113475E-2</v>
      </c>
      <c r="W58">
        <f>Perhitungan!V$4+Perhitungan!V$3*Return!$B58</f>
        <v>3.3541868157674556E-2</v>
      </c>
      <c r="X58">
        <f>Perhitungan!W$4+Perhitungan!W$3*Return!$B58</f>
        <v>1.3011977327146356E-2</v>
      </c>
      <c r="Y58">
        <f>Perhitungan!X$4+Perhitungan!X$3*Return!$B58</f>
        <v>1.1533261495153255E-2</v>
      </c>
      <c r="Z58">
        <f>Perhitungan!Y$4+Perhitungan!Y$3*Return!$B58</f>
        <v>1.176893547931592E-2</v>
      </c>
      <c r="AA58">
        <f>Perhitungan!Z$4+Perhitungan!Z$3*Return!$B58</f>
        <v>2.1562105157935045E-2</v>
      </c>
      <c r="AB58">
        <f>Perhitungan!AA$4+Perhitungan!AA$3*Return!$B58</f>
        <v>1.6492491457207596E-2</v>
      </c>
      <c r="AC58">
        <f>Perhitungan!AB$4+Perhitungan!AB$3*Return!$B58</f>
        <v>1.5361131327635775E-2</v>
      </c>
      <c r="AD58">
        <f>Perhitungan!AC$4+Perhitungan!AC$3*Return!$B58</f>
        <v>1.5410575848879995E-2</v>
      </c>
      <c r="AE58">
        <f>Perhitungan!AD$4+Perhitungan!AD$3*Return!$B58</f>
        <v>1.2550652793116603E-2</v>
      </c>
      <c r="AF58">
        <f>Perhitungan!AE$4+Perhitungan!AE$3*Return!$B58</f>
        <v>16.216168921020124</v>
      </c>
    </row>
    <row r="59" spans="1:32" x14ac:dyDescent="0.3">
      <c r="A59" s="2">
        <v>45967</v>
      </c>
      <c r="C59">
        <f>Perhitungan!B$4+Perhitungan!B$3*Return!$B59</f>
        <v>-2.6239552205011697E-3</v>
      </c>
      <c r="D59">
        <f>Perhitungan!C$4+Perhitungan!C$3*Return!$B59</f>
        <v>5.5706271686460857E-5</v>
      </c>
      <c r="E59">
        <f>Perhitungan!D$4+Perhitungan!D$3*Return!$B59</f>
        <v>-1.0451859038043607E-3</v>
      </c>
      <c r="F59">
        <f>Perhitungan!E$4+Perhitungan!E$3*Return!$B59</f>
        <v>-1.0810756335897283E-3</v>
      </c>
      <c r="G59">
        <f>Perhitungan!F$4+Perhitungan!F$3*Return!$B59</f>
        <v>5.84956257685736E-4</v>
      </c>
      <c r="H59">
        <f>Perhitungan!G$4+Perhitungan!G$3*Return!$B59</f>
        <v>-3.1870379597350763E-4</v>
      </c>
      <c r="I59">
        <f>Perhitungan!H$4+Perhitungan!H$3*Return!$B59</f>
        <v>-2.3511120120752621E-3</v>
      </c>
      <c r="J59">
        <f>Perhitungan!I$4+Perhitungan!I$3*Return!$B59</f>
        <v>-3.8917002968709094E-4</v>
      </c>
      <c r="K59">
        <f>Perhitungan!J$4+Perhitungan!J$3*Return!$B59</f>
        <v>2.4165474731937717E-4</v>
      </c>
      <c r="L59">
        <f>Perhitungan!K$4+Perhitungan!K$3*Return!$B59</f>
        <v>-9.0101567200153061E-4</v>
      </c>
      <c r="M59">
        <f>Perhitungan!L$4+Perhitungan!L$3*Return!$B59</f>
        <v>4.0028591708517009E-3</v>
      </c>
      <c r="N59">
        <f>Perhitungan!M$4+Perhitungan!M$3*Return!$B59</f>
        <v>-3.8278591835617347E-3</v>
      </c>
      <c r="O59">
        <f>Perhitungan!N$4+Perhitungan!N$3*Return!$B59</f>
        <v>-9.1511176245068486E-4</v>
      </c>
      <c r="P59">
        <f>Perhitungan!O$4+Perhitungan!O$3*Return!$B59</f>
        <v>-2.8888267657928525E-3</v>
      </c>
      <c r="Q59">
        <f>Perhitungan!P$4+Perhitungan!P$3*Return!$B59</f>
        <v>7.8680391128451766E-4</v>
      </c>
      <c r="R59">
        <f>Perhitungan!Q$4+Perhitungan!Q$3*Return!$B59</f>
        <v>-1.5119114788761465E-3</v>
      </c>
      <c r="S59">
        <f>Perhitungan!R$4+Perhitungan!R$3*Return!$B59</f>
        <v>-7.185360624318831E-4</v>
      </c>
      <c r="T59">
        <f>Perhitungan!S$4+Perhitungan!S$3*Return!$B59</f>
        <v>4.6231590528011068E-4</v>
      </c>
      <c r="U59">
        <f>Perhitungan!T$4+Perhitungan!T$3*Return!$B59</f>
        <v>-1.013291662313889E-3</v>
      </c>
      <c r="V59">
        <f>Perhitungan!U$4+Perhitungan!U$3*Return!$B59</f>
        <v>-1.0831086640910913E-3</v>
      </c>
      <c r="W59">
        <f>Perhitungan!V$4+Perhitungan!V$3*Return!$B59</f>
        <v>6.5291195688957533E-5</v>
      </c>
      <c r="X59">
        <f>Perhitungan!W$4+Perhitungan!W$3*Return!$B59</f>
        <v>-5.7192446657586254E-3</v>
      </c>
      <c r="Y59">
        <f>Perhitungan!X$4+Perhitungan!X$3*Return!$B59</f>
        <v>-2.5107348604649876E-3</v>
      </c>
      <c r="Z59">
        <f>Perhitungan!Y$4+Perhitungan!Y$3*Return!$B59</f>
        <v>-1.9271829125192277E-3</v>
      </c>
      <c r="AA59">
        <f>Perhitungan!Z$4+Perhitungan!Z$3*Return!$B59</f>
        <v>1.0527284128435967E-3</v>
      </c>
      <c r="AB59">
        <f>Perhitungan!AA$4+Perhitungan!AA$3*Return!$B59</f>
        <v>-2.0828425373335983E-3</v>
      </c>
      <c r="AC59">
        <f>Perhitungan!AB$4+Perhitungan!AB$3*Return!$B59</f>
        <v>1.4775295742313612E-4</v>
      </c>
      <c r="AD59">
        <f>Perhitungan!AC$4+Perhitungan!AC$3*Return!$B59</f>
        <v>-1.5164244437953825E-3</v>
      </c>
      <c r="AE59">
        <f>Perhitungan!AD$4+Perhitungan!AD$3*Return!$B59</f>
        <v>-9.0856967852190784E-4</v>
      </c>
      <c r="AF59">
        <f>Perhitungan!AE$4+Perhitungan!AE$3*Return!$B59</f>
        <v>16.712155476614274</v>
      </c>
    </row>
    <row r="60" spans="1:32" x14ac:dyDescent="0.3">
      <c r="A60" s="1">
        <v>45997</v>
      </c>
      <c r="C60">
        <f>Perhitungan!B$4+Perhitungan!B$3*Return!$B60</f>
        <v>-3.7906256216793089E-3</v>
      </c>
      <c r="D60">
        <f>Perhitungan!C$4+Perhitungan!C$3*Return!$B60</f>
        <v>-1.2799196596034856E-3</v>
      </c>
      <c r="E60">
        <f>Perhitungan!D$4+Perhitungan!D$3*Return!$B60</f>
        <v>-2.3743925705197481E-3</v>
      </c>
      <c r="F60">
        <f>Perhitungan!E$4+Perhitungan!E$3*Return!$B60</f>
        <v>-2.231490255779579E-3</v>
      </c>
      <c r="G60">
        <f>Perhitungan!F$4+Perhitungan!F$3*Return!$B60</f>
        <v>-6.3858044375025586E-4</v>
      </c>
      <c r="H60">
        <f>Perhitungan!G$4+Perhitungan!G$3*Return!$B60</f>
        <v>-1.2324720908482179E-3</v>
      </c>
      <c r="I60">
        <f>Perhitungan!H$4+Perhitungan!H$3*Return!$B60</f>
        <v>-2.9267376809664321E-3</v>
      </c>
      <c r="J60">
        <f>Perhitungan!I$4+Perhitungan!I$3*Return!$B60</f>
        <v>-7.7932917338894008E-4</v>
      </c>
      <c r="K60">
        <f>Perhitungan!J$4+Perhitungan!J$3*Return!$B60</f>
        <v>-1.0368968401152812E-3</v>
      </c>
      <c r="L60">
        <f>Perhitungan!K$4+Perhitungan!K$3*Return!$B60</f>
        <v>-1.3944145435095558E-3</v>
      </c>
      <c r="M60">
        <f>Perhitungan!L$4+Perhitungan!L$3*Return!$B60</f>
        <v>2.6850651133102916E-3</v>
      </c>
      <c r="N60">
        <f>Perhitungan!M$4+Perhitungan!M$3*Return!$B60</f>
        <v>-5.7387834993577833E-3</v>
      </c>
      <c r="O60">
        <f>Perhitungan!N$4+Perhitungan!N$3*Return!$B60</f>
        <v>-1.6121309615580543E-3</v>
      </c>
      <c r="P60">
        <f>Perhitungan!O$4+Perhitungan!O$3*Return!$B60</f>
        <v>-4.0833930835852692E-3</v>
      </c>
      <c r="Q60">
        <f>Perhitungan!P$4+Perhitungan!P$3*Return!$B60</f>
        <v>-6.5758139420528947E-4</v>
      </c>
      <c r="R60">
        <f>Perhitungan!Q$4+Perhitungan!Q$3*Return!$B60</f>
        <v>-2.307153264453049E-3</v>
      </c>
      <c r="S60">
        <f>Perhitungan!R$4+Perhitungan!R$3*Return!$B60</f>
        <v>-1.4574197477611056E-3</v>
      </c>
      <c r="T60">
        <f>Perhitungan!S$4+Perhitungan!S$3*Return!$B60</f>
        <v>-3.1391410529930876E-4</v>
      </c>
      <c r="U60">
        <f>Perhitungan!T$4+Perhitungan!T$3*Return!$B60</f>
        <v>-2.5014649860653658E-3</v>
      </c>
      <c r="V60">
        <f>Perhitungan!U$4+Perhitungan!U$3*Return!$B60</f>
        <v>-2.3298491592899095E-3</v>
      </c>
      <c r="W60">
        <f>Perhitungan!V$4+Perhitungan!V$3*Return!$B60</f>
        <v>-2.5121450677603506E-3</v>
      </c>
      <c r="X60">
        <f>Perhitungan!W$4+Perhitungan!W$3*Return!$B60</f>
        <v>-7.1614031898531074E-3</v>
      </c>
      <c r="Y60">
        <f>Perhitungan!X$4+Perhitungan!X$3*Return!$B60</f>
        <v>-3.592013437179224E-3</v>
      </c>
      <c r="Z60">
        <f>Perhitungan!Y$4+Perhitungan!Y$3*Return!$B60</f>
        <v>-2.9816775895495857E-3</v>
      </c>
      <c r="AA60">
        <f>Perhitungan!Z$4+Perhitungan!Z$3*Return!$B60</f>
        <v>-5.2633420827115319E-4</v>
      </c>
      <c r="AB60">
        <f>Perhitungan!AA$4+Perhitungan!AA$3*Return!$B60</f>
        <v>-3.5129988970348811E-3</v>
      </c>
      <c r="AC60">
        <f>Perhitungan!AB$4+Perhitungan!AB$3*Return!$B60</f>
        <v>-1.0235589465833013E-3</v>
      </c>
      <c r="AD60">
        <f>Perhitungan!AC$4+Perhitungan!AC$3*Return!$B60</f>
        <v>-2.8196719184491004E-3</v>
      </c>
      <c r="AE60">
        <f>Perhitungan!AD$4+Perhitungan!AD$3*Return!$B60</f>
        <v>-1.9448252107295632E-3</v>
      </c>
      <c r="AF60">
        <f>Perhitungan!AE$4+Perhitungan!AE$3*Return!$B60</f>
        <v>16.750342586844312</v>
      </c>
    </row>
    <row r="61" spans="1:32" x14ac:dyDescent="0.3">
      <c r="A61" s="4" t="s">
        <v>35</v>
      </c>
      <c r="C61">
        <f>Perhitungan!B$4+Perhitungan!B$3*Return!$B61</f>
        <v>-6.2068846825339523E-3</v>
      </c>
      <c r="D61">
        <f>Perhitungan!C$4+Perhitungan!C$3*Return!$B61</f>
        <v>-4.0460978836612928E-3</v>
      </c>
      <c r="E61">
        <f>Perhitungan!D$4+Perhitungan!D$3*Return!$B61</f>
        <v>-5.1272760318265354E-3</v>
      </c>
      <c r="F61">
        <f>Perhitungan!E$4+Perhitungan!E$3*Return!$B61</f>
        <v>-4.6140824187408348E-3</v>
      </c>
      <c r="G61">
        <f>Perhitungan!F$4+Perhitungan!F$3*Return!$B61</f>
        <v>-3.1726137389701185E-3</v>
      </c>
      <c r="H61">
        <f>Perhitungan!G$4+Perhitungan!G$3*Return!$B61</f>
        <v>-3.1249525375820269E-3</v>
      </c>
      <c r="I61">
        <f>Perhitungan!H$4+Perhitungan!H$3*Return!$B61</f>
        <v>-4.1189002118014236E-3</v>
      </c>
      <c r="J61">
        <f>Perhitungan!I$4+Perhitungan!I$3*Return!$B61</f>
        <v>-1.5873770720867123E-3</v>
      </c>
      <c r="K61">
        <f>Perhitungan!J$4+Perhitungan!J$3*Return!$B61</f>
        <v>-3.6848699564207953E-3</v>
      </c>
      <c r="L61">
        <f>Perhitungan!K$4+Perhitungan!K$3*Return!$B61</f>
        <v>-2.4162794101358315E-3</v>
      </c>
      <c r="M61">
        <f>Perhitungan!L$4+Perhitungan!L$3*Return!$B61</f>
        <v>-4.4182006235558326E-5</v>
      </c>
      <c r="N61">
        <f>Perhitungan!M$4+Perhitungan!M$3*Return!$B61</f>
        <v>-9.6964464245395555E-3</v>
      </c>
      <c r="O61">
        <f>Perhitungan!N$4+Perhitungan!N$3*Return!$B61</f>
        <v>-3.0557083024523577E-3</v>
      </c>
      <c r="P61">
        <f>Perhitungan!O$4+Perhitungan!O$3*Return!$B61</f>
        <v>-6.5574266120290679E-3</v>
      </c>
      <c r="Q61">
        <f>Perhitungan!P$4+Perhitungan!P$3*Return!$B61</f>
        <v>-3.6490081744087926E-3</v>
      </c>
      <c r="R61">
        <f>Perhitungan!Q$4+Perhitungan!Q$3*Return!$B61</f>
        <v>-3.9541567094963266E-3</v>
      </c>
      <c r="S61">
        <f>Perhitungan!R$4+Perhitungan!R$3*Return!$B61</f>
        <v>-2.9877014775380167E-3</v>
      </c>
      <c r="T61">
        <f>Perhitungan!S$4+Perhitungan!S$3*Return!$B61</f>
        <v>-1.9215427847239419E-3</v>
      </c>
      <c r="U61">
        <f>Perhitungan!T$4+Perhitungan!T$3*Return!$B61</f>
        <v>-5.5835799295879899E-3</v>
      </c>
      <c r="V61">
        <f>Perhitungan!U$4+Perhitungan!U$3*Return!$B61</f>
        <v>-4.9119391951873582E-3</v>
      </c>
      <c r="W61">
        <f>Perhitungan!V$4+Perhitungan!V$3*Return!$B61</f>
        <v>-7.8502026023011713E-3</v>
      </c>
      <c r="X61">
        <f>Perhitungan!W$4+Perhitungan!W$3*Return!$B61</f>
        <v>-1.0148218144199399E-2</v>
      </c>
      <c r="Y61">
        <f>Perhitungan!X$4+Perhitungan!X$3*Return!$B61</f>
        <v>-5.8314198330691475E-3</v>
      </c>
      <c r="Z61">
        <f>Perhitungan!Y$4+Perhitungan!Y$3*Return!$B61</f>
        <v>-5.1656125856072693E-3</v>
      </c>
      <c r="AA61">
        <f>Perhitungan!Z$4+Perhitungan!Z$3*Return!$B61</f>
        <v>-3.7966874820599354E-3</v>
      </c>
      <c r="AB61">
        <f>Perhitungan!AA$4+Perhitungan!AA$3*Return!$B61</f>
        <v>-6.4749564979798618E-3</v>
      </c>
      <c r="AC61">
        <f>Perhitungan!AB$4+Perhitungan!AB$3*Return!$B61</f>
        <v>-3.4494308966082996E-3</v>
      </c>
      <c r="AD61">
        <f>Perhitungan!AC$4+Perhitungan!AC$3*Return!$B61</f>
        <v>-5.5187920092545579E-3</v>
      </c>
      <c r="AE61">
        <f>Perhitungan!AD$4+Perhitungan!AD$3*Return!$B61</f>
        <v>-4.0909856143268629E-3</v>
      </c>
      <c r="AF61">
        <f>Perhitungan!AE$4+Perhitungan!AE$3*Return!$B61</f>
        <v>16.82943086319726</v>
      </c>
    </row>
    <row r="62" spans="1:32" x14ac:dyDescent="0.3">
      <c r="A62" s="3" t="s">
        <v>36</v>
      </c>
      <c r="C62">
        <f>Perhitungan!B$4+Perhitungan!B$3*Return!$B62</f>
        <v>-7.4491700879039061E-3</v>
      </c>
      <c r="D62">
        <f>Perhitungan!C$4+Perhitungan!C$3*Return!$B62</f>
        <v>-5.4682892753342219E-3</v>
      </c>
      <c r="E62">
        <f>Perhitungan!D$4+Perhitungan!D$3*Return!$B62</f>
        <v>-6.5426321093557862E-3</v>
      </c>
      <c r="F62">
        <f>Perhitungan!E$4+Perhitungan!E$3*Return!$B62</f>
        <v>-5.8390584649552985E-3</v>
      </c>
      <c r="G62">
        <f>Perhitungan!F$4+Perhitungan!F$3*Return!$B62</f>
        <v>-4.4754511003992775E-3</v>
      </c>
      <c r="H62">
        <f>Perhitungan!G$4+Perhitungan!G$3*Return!$B62</f>
        <v>-4.0979445801214787E-3</v>
      </c>
      <c r="I62">
        <f>Perhitungan!H$4+Perhitungan!H$3*Return!$B62</f>
        <v>-4.7318337075836917E-3</v>
      </c>
      <c r="J62">
        <f>Perhitungan!I$4+Perhitungan!I$3*Return!$B62</f>
        <v>-2.0028234650893905E-3</v>
      </c>
      <c r="K62">
        <f>Perhitungan!J$4+Perhitungan!J$3*Return!$B62</f>
        <v>-5.0462878645795364E-3</v>
      </c>
      <c r="L62">
        <f>Perhitungan!K$4+Perhitungan!K$3*Return!$B62</f>
        <v>-2.9416567716266662E-3</v>
      </c>
      <c r="M62">
        <f>Perhitungan!L$4+Perhitungan!L$3*Return!$B62</f>
        <v>-1.4473857931095345E-3</v>
      </c>
      <c r="N62">
        <f>Perhitungan!M$4+Perhitungan!M$3*Return!$B62</f>
        <v>-1.1731222815440314E-2</v>
      </c>
      <c r="O62">
        <f>Perhitungan!N$4+Perhitungan!N$3*Return!$B62</f>
        <v>-3.7979031652339364E-3</v>
      </c>
      <c r="P62">
        <f>Perhitungan!O$4+Perhitungan!O$3*Return!$B62</f>
        <v>-7.8294159423844649E-3</v>
      </c>
      <c r="Q62">
        <f>Perhitungan!P$4+Perhitungan!P$3*Return!$B62</f>
        <v>-5.187007923891449E-3</v>
      </c>
      <c r="R62">
        <f>Perhitungan!Q$4+Perhitungan!Q$3*Return!$B62</f>
        <v>-4.8009402251875596E-3</v>
      </c>
      <c r="S62">
        <f>Perhitungan!R$4+Perhitungan!R$3*Return!$B62</f>
        <v>-3.7744741749712674E-3</v>
      </c>
      <c r="T62">
        <f>Perhitungan!S$4+Perhitungan!S$3*Return!$B62</f>
        <v>-2.7480823218367359E-3</v>
      </c>
      <c r="U62">
        <f>Perhitungan!T$4+Perhitungan!T$3*Return!$B62</f>
        <v>-7.1682057149772861E-3</v>
      </c>
      <c r="V62">
        <f>Perhitungan!U$4+Perhitungan!U$3*Return!$B62</f>
        <v>-6.2394842498190405E-3</v>
      </c>
      <c r="W62">
        <f>Perhitungan!V$4+Perhitungan!V$3*Return!$B62</f>
        <v>-1.0594689348618685E-2</v>
      </c>
      <c r="X62">
        <f>Perhitungan!W$4+Perhitungan!W$3*Return!$B62</f>
        <v>-1.1683846788676249E-2</v>
      </c>
      <c r="Y62">
        <f>Perhitungan!X$4+Perhitungan!X$3*Return!$B62</f>
        <v>-6.9827789432641337E-3</v>
      </c>
      <c r="Z62">
        <f>Perhitungan!Y$4+Perhitungan!Y$3*Return!$B62</f>
        <v>-6.2884518605149497E-3</v>
      </c>
      <c r="AA62">
        <f>Perhitungan!Z$4+Perhitungan!Z$3*Return!$B62</f>
        <v>-5.4780933413284541E-3</v>
      </c>
      <c r="AB62">
        <f>Perhitungan!AA$4+Perhitungan!AA$3*Return!$B62</f>
        <v>-7.9978050859442051E-3</v>
      </c>
      <c r="AC62">
        <f>Perhitungan!AB$4+Perhitungan!AB$3*Return!$B62</f>
        <v>-4.6966586329200118E-3</v>
      </c>
      <c r="AD62">
        <f>Perhitungan!AC$4+Perhitungan!AC$3*Return!$B62</f>
        <v>-6.9065064106078799E-3</v>
      </c>
      <c r="AE62">
        <f>Perhitungan!AD$4+Perhitungan!AD$3*Return!$B62</f>
        <v>-5.1944036170425084E-3</v>
      </c>
      <c r="AF62">
        <f>Perhitungan!AE$4+Perhitungan!AE$3*Return!$B62</f>
        <v>16.870092981362017</v>
      </c>
    </row>
    <row r="63" spans="1:32" x14ac:dyDescent="0.3">
      <c r="A63" s="4" t="s">
        <v>37</v>
      </c>
      <c r="C63">
        <f>Perhitungan!B$4+Perhitungan!B$3*Return!$B63</f>
        <v>2.9782741534687533E-3</v>
      </c>
      <c r="D63">
        <f>Perhitungan!C$4+Perhitungan!C$3*Return!$B63</f>
        <v>6.4692424489584928E-3</v>
      </c>
      <c r="E63">
        <f>Perhitungan!D$4+Perhitungan!D$3*Return!$B63</f>
        <v>5.3375256356586014E-3</v>
      </c>
      <c r="F63">
        <f>Perhitungan!E$4+Perhitungan!E$3*Return!$B63</f>
        <v>4.4430951880649987E-3</v>
      </c>
      <c r="G63">
        <f>Perhitungan!F$4+Perhitungan!F$3*Return!$B63</f>
        <v>6.4602516641630633E-3</v>
      </c>
      <c r="H63">
        <f>Perhitungan!G$4+Perhitungan!G$3*Return!$B63</f>
        <v>4.0691160864714821E-3</v>
      </c>
      <c r="I63">
        <f>Perhitungan!H$4+Perhitungan!H$3*Return!$B63</f>
        <v>4.1298230918009006E-4</v>
      </c>
      <c r="J63">
        <f>Perhitungan!I$4+Perhitungan!I$3*Return!$B63</f>
        <v>1.4843334149552037E-3</v>
      </c>
      <c r="K63">
        <f>Perhitungan!J$4+Perhitungan!J$3*Return!$B63</f>
        <v>6.3811258884652958E-3</v>
      </c>
      <c r="L63">
        <f>Perhitungan!K$4+Perhitungan!K$3*Return!$B63</f>
        <v>1.4682341591886364E-3</v>
      </c>
      <c r="M63">
        <f>Perhitungan!L$4+Perhitungan!L$3*Return!$B63</f>
        <v>1.0330768553438539E-2</v>
      </c>
      <c r="N63">
        <f>Perhitungan!M$4+Perhitungan!M$3*Return!$B63</f>
        <v>5.3481997295428824E-3</v>
      </c>
      <c r="O63">
        <f>Perhitungan!N$4+Perhitungan!N$3*Return!$B63</f>
        <v>2.4319016078354276E-3</v>
      </c>
      <c r="P63">
        <f>Perhitungan!O$4+Perhitungan!O$3*Return!$B63</f>
        <v>2.8473558852230157E-3</v>
      </c>
      <c r="Q63">
        <f>Perhitungan!P$4+Perhitungan!P$3*Return!$B63</f>
        <v>7.7225912404000887E-3</v>
      </c>
      <c r="R63">
        <f>Perhitungan!Q$4+Perhitungan!Q$3*Return!$B63</f>
        <v>2.306756489444891E-3</v>
      </c>
      <c r="S63">
        <f>Perhitungan!R$4+Perhitungan!R$3*Return!$B63</f>
        <v>2.8295061967344003E-3</v>
      </c>
      <c r="T63">
        <f>Perhitungan!S$4+Perhitungan!S$3*Return!$B63</f>
        <v>4.1896913163933444E-3</v>
      </c>
      <c r="U63">
        <f>Perhitungan!T$4+Perhitungan!T$3*Return!$B63</f>
        <v>6.1327611555684631E-3</v>
      </c>
      <c r="V63">
        <f>Perhitungan!U$4+Perhitungan!U$3*Return!$B63</f>
        <v>4.9036089357275391E-3</v>
      </c>
      <c r="W63">
        <f>Perhitungan!V$4+Perhitungan!V$3*Return!$B63</f>
        <v>1.2441870844962359E-2</v>
      </c>
      <c r="X63">
        <f>Perhitungan!W$4+Perhitungan!W$3*Return!$B63</f>
        <v>1.2058498917483593E-3</v>
      </c>
      <c r="Y63">
        <f>Perhitungan!X$4+Perhitungan!X$3*Return!$B63</f>
        <v>2.6814518940766262E-3</v>
      </c>
      <c r="Z63">
        <f>Perhitungan!Y$4+Perhitungan!Y$3*Return!$B63</f>
        <v>3.136390354093866E-3</v>
      </c>
      <c r="AA63">
        <f>Perhitungan!Z$4+Perhitungan!Z$3*Return!$B63</f>
        <v>8.6352221406468897E-3</v>
      </c>
      <c r="AB63">
        <f>Perhitungan!AA$4+Perhitungan!AA$3*Return!$B63</f>
        <v>4.7846188807306612E-3</v>
      </c>
      <c r="AC63">
        <f>Perhitungan!AB$4+Perhitungan!AB$3*Return!$B63</f>
        <v>5.7722703430352481E-3</v>
      </c>
      <c r="AD63">
        <f>Perhitungan!AC$4+Perhitungan!AC$3*Return!$B63</f>
        <v>4.7416337675763283E-3</v>
      </c>
      <c r="AE63">
        <f>Perhitungan!AD$4+Perhitungan!AD$3*Return!$B63</f>
        <v>4.067421120259096E-3</v>
      </c>
      <c r="AF63">
        <f>Perhitungan!AE$4+Perhitungan!AE$3*Return!$B63</f>
        <v>16.528784963038454</v>
      </c>
    </row>
    <row r="64" spans="1:32" x14ac:dyDescent="0.3">
      <c r="A64" s="3" t="s">
        <v>38</v>
      </c>
      <c r="C64">
        <f>Perhitungan!B$4+Perhitungan!B$3*Return!$B64</f>
        <v>-7.40824358299828E-3</v>
      </c>
      <c r="D64">
        <f>Perhitungan!C$4+Perhitungan!C$3*Return!$B64</f>
        <v>-5.4214358528304708E-3</v>
      </c>
      <c r="E64">
        <f>Perhitungan!D$4+Perhitungan!D$3*Return!$B64</f>
        <v>-6.4960038730424415E-3</v>
      </c>
      <c r="F64">
        <f>Perhitungan!E$4+Perhitungan!E$3*Return!$B64</f>
        <v>-5.7987022086973079E-3</v>
      </c>
      <c r="G64">
        <f>Perhitungan!F$4+Perhitungan!F$3*Return!$B64</f>
        <v>-4.432529739950803E-3</v>
      </c>
      <c r="H64">
        <f>Perhitungan!G$4+Perhitungan!G$3*Return!$B64</f>
        <v>-4.065889817640978E-3</v>
      </c>
      <c r="I64">
        <f>Perhitungan!H$4+Perhitungan!H$3*Return!$B64</f>
        <v>-4.7116409035681886E-3</v>
      </c>
      <c r="J64">
        <f>Perhitungan!I$4+Perhitungan!I$3*Return!$B64</f>
        <v>-1.9891367802360128E-3</v>
      </c>
      <c r="K64">
        <f>Perhitungan!J$4+Perhitungan!J$3*Return!$B64</f>
        <v>-5.001436595735825E-3</v>
      </c>
      <c r="L64">
        <f>Perhitungan!K$4+Perhitungan!K$3*Return!$B64</f>
        <v>-2.9243484630291292E-3</v>
      </c>
      <c r="M64">
        <f>Perhitungan!L$4+Perhitungan!L$3*Return!$B64</f>
        <v>-1.4011579082620993E-3</v>
      </c>
      <c r="N64">
        <f>Perhitungan!M$4+Perhitungan!M$3*Return!$B64</f>
        <v>-1.1664188069975158E-2</v>
      </c>
      <c r="O64">
        <f>Perhitungan!N$4+Perhitungan!N$3*Return!$B64</f>
        <v>-3.7734519066412982E-3</v>
      </c>
      <c r="P64">
        <f>Perhitungan!O$4+Perhitungan!O$3*Return!$B64</f>
        <v>-7.7875108557242936E-3</v>
      </c>
      <c r="Q64">
        <f>Perhitungan!P$4+Perhitungan!P$3*Return!$B64</f>
        <v>-5.1363392498331639E-3</v>
      </c>
      <c r="R64">
        <f>Perhitungan!Q$4+Perhitungan!Q$3*Return!$B64</f>
        <v>-4.7730433429098353E-3</v>
      </c>
      <c r="S64">
        <f>Perhitungan!R$4+Perhitungan!R$3*Return!$B64</f>
        <v>-3.7485543207075641E-3</v>
      </c>
      <c r="T64">
        <f>Perhitungan!S$4+Perhitungan!S$3*Return!$B64</f>
        <v>-2.7208523678550521E-3</v>
      </c>
      <c r="U64">
        <f>Perhitungan!T$4+Perhitungan!T$3*Return!$B64</f>
        <v>-7.1160009682266767E-3</v>
      </c>
      <c r="V64">
        <f>Perhitungan!U$4+Perhitungan!U$3*Return!$B64</f>
        <v>-6.1957489061081929E-3</v>
      </c>
      <c r="W64">
        <f>Perhitungan!V$4+Perhitungan!V$3*Return!$B64</f>
        <v>-1.0504273531286322E-2</v>
      </c>
      <c r="X64">
        <f>Perhitungan!W$4+Perhitungan!W$3*Return!$B64</f>
        <v>-1.1633256229550517E-2</v>
      </c>
      <c r="Y64">
        <f>Perhitungan!X$4+Perhitungan!X$3*Return!$B64</f>
        <v>-6.9448479621322251E-3</v>
      </c>
      <c r="Z64">
        <f>Perhitungan!Y$4+Perhitungan!Y$3*Return!$B64</f>
        <v>-6.2514604518627212E-3</v>
      </c>
      <c r="AA64">
        <f>Perhitungan!Z$4+Perhitungan!Z$3*Return!$B64</f>
        <v>-5.4227002208343689E-3</v>
      </c>
      <c r="AB64">
        <f>Perhitungan!AA$4+Perhitungan!AA$3*Return!$B64</f>
        <v>-7.9476355597335284E-3</v>
      </c>
      <c r="AC64">
        <f>Perhitungan!AB$4+Perhitungan!AB$3*Return!$B64</f>
        <v>-4.6555693052599207E-3</v>
      </c>
      <c r="AD64">
        <f>Perhitungan!AC$4+Perhitungan!AC$3*Return!$B64</f>
        <v>-6.8607888162377827E-3</v>
      </c>
      <c r="AE64">
        <f>Perhitungan!AD$4+Perhitungan!AD$3*Return!$B64</f>
        <v>-5.1580520330136758E-3</v>
      </c>
      <c r="AF64">
        <f>Perhitungan!AE$4+Perhitungan!AE$3*Return!$B64</f>
        <v>16.868753387117934</v>
      </c>
    </row>
    <row r="65" spans="1:32" x14ac:dyDescent="0.3">
      <c r="A65" s="4" t="s">
        <v>39</v>
      </c>
      <c r="C65">
        <f>Perhitungan!B$4+Perhitungan!B$3*Return!$B65</f>
        <v>-1.8455605585524816E-2</v>
      </c>
      <c r="D65">
        <f>Perhitungan!C$4+Perhitungan!C$3*Return!$B65</f>
        <v>-1.8068660937157185E-2</v>
      </c>
      <c r="E65">
        <f>Perhitungan!D$4+Perhitungan!D$3*Return!$B65</f>
        <v>-1.9082444060903508E-2</v>
      </c>
      <c r="F65">
        <f>Perhitungan!E$4+Perhitungan!E$3*Return!$B65</f>
        <v>-1.6692136010992367E-2</v>
      </c>
      <c r="G65">
        <f>Perhitungan!F$4+Perhitungan!F$3*Return!$B65</f>
        <v>-1.6018366537122401E-2</v>
      </c>
      <c r="H65">
        <f>Perhitungan!G$4+Perhitungan!G$3*Return!$B65</f>
        <v>-1.2718487097659719E-2</v>
      </c>
      <c r="I65">
        <f>Perhitungan!H$4+Perhitungan!H$3*Return!$B65</f>
        <v>-1.0162319292053554E-2</v>
      </c>
      <c r="J65">
        <f>Perhitungan!I$4+Perhitungan!I$3*Return!$B65</f>
        <v>-5.6836072105456341E-3</v>
      </c>
      <c r="K65">
        <f>Perhitungan!J$4+Perhitungan!J$3*Return!$B65</f>
        <v>-1.7108216892066441E-2</v>
      </c>
      <c r="L65">
        <f>Perhitungan!K$4+Perhitungan!K$3*Return!$B65</f>
        <v>-7.5964100321603018E-3</v>
      </c>
      <c r="M65">
        <f>Perhitungan!L$4+Perhitungan!L$3*Return!$B65</f>
        <v>-1.3879530534958533E-2</v>
      </c>
      <c r="N65">
        <f>Perhitungan!M$4+Perhitungan!M$3*Return!$B65</f>
        <v>-2.9758992442067821E-2</v>
      </c>
      <c r="O65">
        <f>Perhitungan!N$4+Perhitungan!N$3*Return!$B65</f>
        <v>-1.0373622278216947E-2</v>
      </c>
      <c r="P65">
        <f>Perhitungan!O$4+Perhitungan!O$3*Return!$B65</f>
        <v>-1.909902311775772E-2</v>
      </c>
      <c r="Q65">
        <f>Perhitungan!P$4+Perhitungan!P$3*Return!$B65</f>
        <v>-1.8813421761536789E-2</v>
      </c>
      <c r="R65">
        <f>Perhitungan!Q$4+Perhitungan!Q$3*Return!$B65</f>
        <v>-1.2303296854040266E-2</v>
      </c>
      <c r="S65">
        <f>Perhitungan!R$4+Perhitungan!R$3*Return!$B65</f>
        <v>-1.0745145252773612E-2</v>
      </c>
      <c r="T65">
        <f>Perhitungan!S$4+Perhitungan!S$3*Return!$B65</f>
        <v>-1.0071080774640945E-2</v>
      </c>
      <c r="U65">
        <f>Perhitungan!T$4+Perhitungan!T$3*Return!$B65</f>
        <v>-2.1207718229060313E-2</v>
      </c>
      <c r="V65">
        <f>Perhitungan!U$4+Perhitungan!U$3*Return!$B65</f>
        <v>-1.8001305608122711E-2</v>
      </c>
      <c r="W65">
        <f>Perhitungan!V$4+Perhitungan!V$3*Return!$B65</f>
        <v>-3.4910370927783291E-2</v>
      </c>
      <c r="X65">
        <f>Perhitungan!W$4+Perhitungan!W$3*Return!$B65</f>
        <v>-2.5289253042885693E-2</v>
      </c>
      <c r="Y65">
        <f>Perhitungan!X$4+Perhitungan!X$3*Return!$B65</f>
        <v>-1.7183623069888559E-2</v>
      </c>
      <c r="Z65">
        <f>Perhitungan!Y$4+Perhitungan!Y$3*Return!$B65</f>
        <v>-1.6236615140905804E-2</v>
      </c>
      <c r="AA65">
        <f>Perhitungan!Z$4+Perhitungan!Z$3*Return!$B65</f>
        <v>-2.0375060701135476E-2</v>
      </c>
      <c r="AB65">
        <f>Perhitungan!AA$4+Perhitungan!AA$3*Return!$B65</f>
        <v>-2.1489982232693484E-2</v>
      </c>
      <c r="AC65">
        <f>Perhitungan!AB$4+Perhitungan!AB$3*Return!$B65</f>
        <v>-1.574688233451018E-2</v>
      </c>
      <c r="AD65">
        <f>Perhitungan!AC$4+Perhitungan!AC$3*Return!$B65</f>
        <v>-1.9201417854944152E-2</v>
      </c>
      <c r="AE65">
        <f>Perhitungan!AD$4+Perhitungan!AD$3*Return!$B65</f>
        <v>-1.4970497758780217E-2</v>
      </c>
      <c r="AF65">
        <f>Perhitungan!AE$4+Perhitungan!AE$3*Return!$B65</f>
        <v>17.23035237010027</v>
      </c>
    </row>
    <row r="66" spans="1:32" x14ac:dyDescent="0.3">
      <c r="A66" s="3" t="s">
        <v>40</v>
      </c>
      <c r="C66">
        <f>Perhitungan!B$4+Perhitungan!B$3*Return!$B66</f>
        <v>-9.2199043145221263E-3</v>
      </c>
      <c r="D66">
        <f>Perhitungan!C$4+Perhitungan!C$3*Return!$B66</f>
        <v>-7.4954586867683817E-3</v>
      </c>
      <c r="E66">
        <f>Perhitungan!D$4+Perhitungan!D$3*Return!$B66</f>
        <v>-8.560058570698463E-3</v>
      </c>
      <c r="F66">
        <f>Perhitungan!E$4+Perhitungan!E$3*Return!$B66</f>
        <v>-7.5851202012062E-3</v>
      </c>
      <c r="G66">
        <f>Perhitungan!F$4+Perhitungan!F$3*Return!$B66</f>
        <v>-6.3324951400598496E-3</v>
      </c>
      <c r="H66">
        <f>Perhitungan!G$4+Perhitungan!G$3*Return!$B66</f>
        <v>-5.4848322506231683E-3</v>
      </c>
      <c r="I66">
        <f>Perhitungan!H$4+Perhitungan!H$3*Return!$B66</f>
        <v>-5.6054995455069832E-3</v>
      </c>
      <c r="J66">
        <f>Perhitungan!I$4+Perhitungan!I$3*Return!$B66</f>
        <v>-2.5949942691856128E-3</v>
      </c>
      <c r="K66">
        <f>Perhitungan!J$4+Perhitungan!J$3*Return!$B66</f>
        <v>-6.9868317011947245E-3</v>
      </c>
      <c r="L66">
        <f>Perhitungan!K$4+Perhitungan!K$3*Return!$B66</f>
        <v>-3.6905214623497691E-3</v>
      </c>
      <c r="M66">
        <f>Perhitungan!L$4+Perhitungan!L$3*Return!$B66</f>
        <v>-3.4474905690310568E-3</v>
      </c>
      <c r="N66">
        <f>Perhitungan!M$4+Perhitungan!M$3*Return!$B66</f>
        <v>-1.4631561323248575E-2</v>
      </c>
      <c r="O66">
        <f>Perhitungan!N$4+Perhitungan!N$3*Return!$B66</f>
        <v>-4.8558161381036264E-3</v>
      </c>
      <c r="P66">
        <f>Perhitungan!O$4+Perhitungan!O$3*Return!$B66</f>
        <v>-9.6424896800436002E-3</v>
      </c>
      <c r="Q66">
        <f>Perhitungan!P$4+Perhitungan!P$3*Return!$B66</f>
        <v>-7.3792487609542993E-3</v>
      </c>
      <c r="R66">
        <f>Perhitungan!Q$4+Perhitungan!Q$3*Return!$B66</f>
        <v>-6.0079322314440017E-3</v>
      </c>
      <c r="S66">
        <f>Perhitungan!R$4+Perhitungan!R$3*Return!$B66</f>
        <v>-4.8959276975608802E-3</v>
      </c>
      <c r="T66">
        <f>Perhitungan!S$4+Perhitungan!S$3*Return!$B66</f>
        <v>-3.9262188770053524E-3</v>
      </c>
      <c r="U66">
        <f>Perhitungan!T$4+Perhitungan!T$3*Return!$B66</f>
        <v>-9.4269065758595672E-3</v>
      </c>
      <c r="V66">
        <f>Perhitungan!U$4+Perhitungan!U$3*Return!$B66</f>
        <v>-8.1317462497207671E-3</v>
      </c>
      <c r="W66">
        <f>Perhitungan!V$4+Perhitungan!V$3*Return!$B66</f>
        <v>-1.4506637919532842E-2</v>
      </c>
      <c r="X66">
        <f>Perhitungan!W$4+Perhitungan!W$3*Return!$B66</f>
        <v>-1.3872707889673184E-2</v>
      </c>
      <c r="Y66">
        <f>Perhitungan!X$4+Perhitungan!X$3*Return!$B66</f>
        <v>-8.6239082479618919E-3</v>
      </c>
      <c r="Z66">
        <f>Perhitungan!Y$4+Perhitungan!Y$3*Return!$B66</f>
        <v>-7.8889294371456732E-3</v>
      </c>
      <c r="AA66">
        <f>Perhitungan!Z$4+Perhitungan!Z$3*Return!$B66</f>
        <v>-7.8747430089276156E-3</v>
      </c>
      <c r="AB66">
        <f>Perhitungan!AA$4+Perhitungan!AA$3*Return!$B66</f>
        <v>-1.0168449693865567E-2</v>
      </c>
      <c r="AC66">
        <f>Perhitungan!AB$4+Perhitungan!AB$3*Return!$B66</f>
        <v>-6.4744375809203062E-3</v>
      </c>
      <c r="AD66">
        <f>Perhitungan!AC$4+Perhitungan!AC$3*Return!$B66</f>
        <v>-8.8845328581741417E-3</v>
      </c>
      <c r="AE66">
        <f>Perhitungan!AD$4+Perhitungan!AD$3*Return!$B66</f>
        <v>-6.7671984154273864E-3</v>
      </c>
      <c r="AF66">
        <f>Perhitungan!AE$4+Perhitungan!AE$3*Return!$B66</f>
        <v>16.928052129919902</v>
      </c>
    </row>
    <row r="67" spans="1:32" x14ac:dyDescent="0.3">
      <c r="A67" s="4" t="s">
        <v>41</v>
      </c>
      <c r="C67">
        <f>Perhitungan!B$4+Perhitungan!B$3*Return!$B67</f>
        <v>-1.6562584251517281E-2</v>
      </c>
      <c r="D67">
        <f>Perhitungan!C$4+Perhitungan!C$3*Return!$B67</f>
        <v>-1.5901494975260548E-2</v>
      </c>
      <c r="E67">
        <f>Perhitungan!D$4+Perhitungan!D$3*Return!$B67</f>
        <v>-1.6925693898341469E-2</v>
      </c>
      <c r="F67">
        <f>Perhitungan!E$4+Perhitungan!E$3*Return!$B67</f>
        <v>-1.4825491052347284E-2</v>
      </c>
      <c r="G67">
        <f>Perhitungan!F$4+Perhitungan!F$3*Return!$B67</f>
        <v>-1.4033074824552516E-2</v>
      </c>
      <c r="H67">
        <f>Perhitungan!G$4+Perhitungan!G$3*Return!$B67</f>
        <v>-1.123582080665694E-2</v>
      </c>
      <c r="I67">
        <f>Perhitungan!H$4+Perhitungan!H$3*Return!$B67</f>
        <v>-9.2283179918466064E-3</v>
      </c>
      <c r="J67">
        <f>Perhitungan!I$4+Perhitungan!I$3*Return!$B67</f>
        <v>-5.0505410232661143E-3</v>
      </c>
      <c r="K67">
        <f>Perhitungan!J$4+Perhitungan!J$3*Return!$B67</f>
        <v>-1.5033658877053036E-2</v>
      </c>
      <c r="L67">
        <f>Perhitungan!K$4+Perhitungan!K$3*Return!$B67</f>
        <v>-6.7958286605949141E-3</v>
      </c>
      <c r="M67">
        <f>Perhitungan!L$4+Perhitungan!L$3*Return!$B67</f>
        <v>-1.1741298295385894E-2</v>
      </c>
      <c r="N67">
        <f>Perhitungan!M$4+Perhitungan!M$3*Return!$B67</f>
        <v>-2.6658356226541401E-2</v>
      </c>
      <c r="O67">
        <f>Perhitungan!N$4+Perhitungan!N$3*Return!$B67</f>
        <v>-9.2426497149371602E-3</v>
      </c>
      <c r="P67">
        <f>Perhitungan!O$4+Perhitungan!O$3*Return!$B67</f>
        <v>-1.716073830125402E-2</v>
      </c>
      <c r="Q67">
        <f>Perhitungan!P$4+Perhitungan!P$3*Return!$B67</f>
        <v>-1.6469784522554751E-2</v>
      </c>
      <c r="R67">
        <f>Perhitungan!Q$4+Perhitungan!Q$3*Return!$B67</f>
        <v>-1.1012949842346891E-2</v>
      </c>
      <c r="S67">
        <f>Perhitungan!R$4+Perhitungan!R$3*Return!$B67</f>
        <v>-9.54624402217253E-3</v>
      </c>
      <c r="T67">
        <f>Perhitungan!S$4+Perhitungan!S$3*Return!$B67</f>
        <v>-8.8115819747743556E-3</v>
      </c>
      <c r="U67">
        <f>Perhitungan!T$4+Perhitungan!T$3*Return!$B67</f>
        <v>-1.8793031229443615E-2</v>
      </c>
      <c r="V67">
        <f>Perhitungan!U$4+Perhitungan!U$3*Return!$B67</f>
        <v>-1.5978363778965839E-2</v>
      </c>
      <c r="W67">
        <f>Perhitungan!V$4+Perhitungan!V$3*Return!$B67</f>
        <v>-3.0728262742963395E-2</v>
      </c>
      <c r="X67">
        <f>Perhitungan!W$4+Perhitungan!W$3*Return!$B67</f>
        <v>-2.294922894492726E-2</v>
      </c>
      <c r="Y67">
        <f>Perhitungan!X$4+Perhitungan!X$3*Return!$B67</f>
        <v>-1.5429157188472225E-2</v>
      </c>
      <c r="Z67">
        <f>Perhitungan!Y$4+Perhitungan!Y$3*Return!$B67</f>
        <v>-1.4525608400527331E-2</v>
      </c>
      <c r="AA67">
        <f>Perhitungan!Z$4+Perhitungan!Z$3*Return!$B67</f>
        <v>-1.7812898134496692E-2</v>
      </c>
      <c r="AB67">
        <f>Perhitungan!AA$4+Perhitungan!AA$3*Return!$B67</f>
        <v>-1.9169432660897406E-2</v>
      </c>
      <c r="AC67">
        <f>Perhitungan!AB$4+Perhitungan!AB$3*Return!$B67</f>
        <v>-1.3846329769859483E-2</v>
      </c>
      <c r="AD67">
        <f>Perhitungan!AC$4+Perhitungan!AC$3*Return!$B67</f>
        <v>-1.7086788675597861E-2</v>
      </c>
      <c r="AE67">
        <f>Perhitungan!AD$4+Perhitungan!AD$3*Return!$B67</f>
        <v>-1.3289085572466509E-2</v>
      </c>
      <c r="AF67">
        <f>Perhitungan!AE$4+Perhitungan!AE$3*Return!$B67</f>
        <v>17.168390556141023</v>
      </c>
    </row>
    <row r="68" spans="1:32" x14ac:dyDescent="0.3">
      <c r="A68" s="3" t="s">
        <v>42</v>
      </c>
      <c r="C68">
        <f>Perhitungan!B$4+Perhitungan!B$3*Return!$B68</f>
        <v>8.7426542333227716E-3</v>
      </c>
      <c r="D68">
        <f>Perhitungan!C$4+Perhitungan!C$3*Return!$B68</f>
        <v>1.3068411764207684E-2</v>
      </c>
      <c r="E68">
        <f>Perhitungan!D$4+Perhitungan!D$3*Return!$B68</f>
        <v>1.1904978125998602E-2</v>
      </c>
      <c r="F68">
        <f>Perhitungan!E$4+Perhitungan!E$3*Return!$B68</f>
        <v>1.0127157391946529E-2</v>
      </c>
      <c r="G68">
        <f>Perhitungan!F$4+Perhitungan!F$3*Return!$B68</f>
        <v>1.2505601388991653E-2</v>
      </c>
      <c r="H68">
        <f>Perhitungan!G$4+Perhitungan!G$3*Return!$B68</f>
        <v>8.5839368544097672E-3</v>
      </c>
      <c r="I68">
        <f>Perhitungan!H$4+Perhitungan!H$3*Return!$B68</f>
        <v>3.2570804673729809E-3</v>
      </c>
      <c r="J68">
        <f>Perhitungan!I$4+Perhitungan!I$3*Return!$B68</f>
        <v>3.4120634693533495E-3</v>
      </c>
      <c r="K68">
        <f>Perhitungan!J$4+Perhitungan!J$3*Return!$B68</f>
        <v>1.2698297639999894E-2</v>
      </c>
      <c r="L68">
        <f>Perhitungan!K$4+Perhitungan!K$3*Return!$B68</f>
        <v>3.906059463980132E-3</v>
      </c>
      <c r="M68">
        <f>Perhitungan!L$4+Perhitungan!L$3*Return!$B68</f>
        <v>1.6841832695436796E-2</v>
      </c>
      <c r="N68">
        <f>Perhitungan!M$4+Perhitungan!M$3*Return!$B68</f>
        <v>1.4789850129655748E-2</v>
      </c>
      <c r="O68">
        <f>Perhitungan!N$4+Perhitungan!N$3*Return!$B68</f>
        <v>5.8757908010068161E-3</v>
      </c>
      <c r="P68">
        <f>Perhitungan!O$4+Perhitungan!O$3*Return!$B68</f>
        <v>8.7495663804867552E-3</v>
      </c>
      <c r="Q68">
        <f>Perhitungan!P$4+Perhitungan!P$3*Return!$B68</f>
        <v>1.4859127724218889E-2</v>
      </c>
      <c r="R68">
        <f>Perhitungan!Q$4+Perhitungan!Q$3*Return!$B68</f>
        <v>6.2359518327208489E-3</v>
      </c>
      <c r="S68">
        <f>Perhitungan!R$4+Perhitungan!R$3*Return!$B68</f>
        <v>6.4802428510112378E-3</v>
      </c>
      <c r="T68">
        <f>Perhitungan!S$4+Perhitungan!S$3*Return!$B68</f>
        <v>8.0249517342889289E-3</v>
      </c>
      <c r="U68">
        <f>Perhitungan!T$4+Perhitungan!T$3*Return!$B68</f>
        <v>1.3485649044161876E-2</v>
      </c>
      <c r="V68">
        <f>Perhitungan!U$4+Perhitungan!U$3*Return!$B68</f>
        <v>1.1063605853463748E-2</v>
      </c>
      <c r="W68">
        <f>Perhitungan!V$4+Perhitungan!V$3*Return!$B68</f>
        <v>2.5176677727109357E-2</v>
      </c>
      <c r="X68">
        <f>Perhitungan!W$4+Perhitungan!W$3*Return!$B68</f>
        <v>8.33138411279917E-3</v>
      </c>
      <c r="Y68">
        <f>Perhitungan!X$4+Perhitungan!X$3*Return!$B68</f>
        <v>8.0239210971096986E-3</v>
      </c>
      <c r="Z68">
        <f>Perhitungan!Y$4+Perhitungan!Y$3*Return!$B68</f>
        <v>8.3465234854801004E-3</v>
      </c>
      <c r="AA68">
        <f>Perhitungan!Z$4+Perhitungan!Z$3*Return!$B68</f>
        <v>1.6437183267631977E-2</v>
      </c>
      <c r="AB68">
        <f>Perhitungan!AA$4+Perhitungan!AA$3*Return!$B68</f>
        <v>1.1850851831025458E-2</v>
      </c>
      <c r="AC68">
        <f>Perhitungan!AB$4+Perhitungan!AB$3*Return!$B68</f>
        <v>1.1559583537860735E-2</v>
      </c>
      <c r="AD68">
        <f>Perhitungan!AC$4+Perhitungan!AC$3*Return!$B68</f>
        <v>1.1180824968816784E-2</v>
      </c>
      <c r="AE68">
        <f>Perhitungan!AD$4+Perhitungan!AD$3*Return!$B68</f>
        <v>9.1874368003211273E-3</v>
      </c>
      <c r="AF68">
        <f>Perhitungan!AE$4+Perhitungan!AE$3*Return!$B68</f>
        <v>16.340106980555202</v>
      </c>
    </row>
    <row r="69" spans="1:32" x14ac:dyDescent="0.3">
      <c r="A69" s="4" t="s">
        <v>43</v>
      </c>
      <c r="C69">
        <f>Perhitungan!B$4+Perhitungan!B$3*Return!$B69</f>
        <v>-6.2697172440282257E-3</v>
      </c>
      <c r="D69">
        <f>Perhitungan!C$4+Perhitungan!C$3*Return!$B69</f>
        <v>-4.1180297663733047E-3</v>
      </c>
      <c r="E69">
        <f>Perhitungan!D$4+Perhitungan!D$3*Return!$B69</f>
        <v>-5.1988621966427969E-3</v>
      </c>
      <c r="F69">
        <f>Perhitungan!E$4+Perhitungan!E$3*Return!$B69</f>
        <v>-4.6760395039807286E-3</v>
      </c>
      <c r="G69">
        <f>Perhitungan!F$4+Perhitungan!F$3*Return!$B69</f>
        <v>-3.2385089094962957E-3</v>
      </c>
      <c r="H69">
        <f>Perhitungan!G$4+Perhitungan!G$3*Return!$B69</f>
        <v>-3.1741647251212445E-3</v>
      </c>
      <c r="I69">
        <f>Perhitungan!H$4+Perhitungan!H$3*Return!$B69</f>
        <v>-4.1499012856280708E-3</v>
      </c>
      <c r="J69">
        <f>Perhitungan!I$4+Perhitungan!I$3*Return!$B69</f>
        <v>-1.6083896034447065E-3</v>
      </c>
      <c r="K69">
        <f>Perhitungan!J$4+Perhitungan!J$3*Return!$B69</f>
        <v>-3.7537280256406576E-3</v>
      </c>
      <c r="L69">
        <f>Perhitungan!K$4+Perhitungan!K$3*Return!$B69</f>
        <v>-2.4428520521638858E-3</v>
      </c>
      <c r="M69">
        <f>Perhitungan!L$4+Perhitungan!L$3*Return!$B69</f>
        <v>-1.1515353004694882E-4</v>
      </c>
      <c r="N69">
        <f>Perhitungan!M$4+Perhitungan!M$3*Return!$B69</f>
        <v>-9.7993617547492765E-3</v>
      </c>
      <c r="O69">
        <f>Perhitungan!N$4+Perhitungan!N$3*Return!$B69</f>
        <v>-3.093247183739118E-3</v>
      </c>
      <c r="P69">
        <f>Perhitungan!O$4+Perhitungan!O$3*Return!$B69</f>
        <v>-6.6217615446251847E-3</v>
      </c>
      <c r="Q69">
        <f>Perhitungan!P$4+Perhitungan!P$3*Return!$B69</f>
        <v>-3.7267974355719852E-3</v>
      </c>
      <c r="R69">
        <f>Perhitungan!Q$4+Perhitungan!Q$3*Return!$B69</f>
        <v>-3.9969854967395937E-3</v>
      </c>
      <c r="S69">
        <f>Perhitungan!R$4+Perhitungan!R$3*Return!$B69</f>
        <v>-3.0274950255261036E-3</v>
      </c>
      <c r="T69">
        <f>Perhitungan!S$4+Perhitungan!S$3*Return!$B69</f>
        <v>-1.9633476679404693E-3</v>
      </c>
      <c r="U69">
        <f>Perhitungan!T$4+Perhitungan!T$3*Return!$B69</f>
        <v>-5.6637274517881992E-3</v>
      </c>
      <c r="V69">
        <f>Perhitungan!U$4+Perhitungan!U$3*Return!$B69</f>
        <v>-4.979084036397758E-3</v>
      </c>
      <c r="W69">
        <f>Perhitungan!V$4+Perhitungan!V$3*Return!$B69</f>
        <v>-7.9890138058400714E-3</v>
      </c>
      <c r="X69">
        <f>Perhitungan!W$4+Perhitungan!W$3*Return!$B69</f>
        <v>-1.0225887479135944E-2</v>
      </c>
      <c r="Y69">
        <f>Perhitungan!X$4+Perhitungan!X$3*Return!$B69</f>
        <v>-5.8896535060887333E-3</v>
      </c>
      <c r="Z69">
        <f>Perhitungan!Y$4+Perhitungan!Y$3*Return!$B69</f>
        <v>-5.222403776652302E-3</v>
      </c>
      <c r="AA69">
        <f>Perhitungan!Z$4+Perhitungan!Z$3*Return!$B69</f>
        <v>-3.8817299663333931E-3</v>
      </c>
      <c r="AB69">
        <f>Perhitungan!AA$4+Perhitungan!AA$3*Return!$B69</f>
        <v>-6.5519794406435419E-3</v>
      </c>
      <c r="AC69">
        <f>Perhitungan!AB$4+Perhitungan!AB$3*Return!$B69</f>
        <v>-3.5125134323125895E-3</v>
      </c>
      <c r="AD69">
        <f>Perhitungan!AC$4+Perhitungan!AC$3*Return!$B69</f>
        <v>-5.5889801078047099E-3</v>
      </c>
      <c r="AE69">
        <f>Perhitungan!AD$4+Perhitungan!AD$3*Return!$B69</f>
        <v>-4.1467945123545048E-3</v>
      </c>
      <c r="AF69">
        <f>Perhitungan!AE$4+Perhitungan!AE$3*Return!$B69</f>
        <v>16.831487480001282</v>
      </c>
    </row>
    <row r="70" spans="1:32" x14ac:dyDescent="0.3">
      <c r="A70" s="3" t="s">
        <v>44</v>
      </c>
      <c r="C70">
        <f>Perhitungan!B$4+Perhitungan!B$3*Return!$B70</f>
        <v>6.5658280271462238E-3</v>
      </c>
      <c r="D70">
        <f>Perhitungan!C$4+Perhitungan!C$3*Return!$B70</f>
        <v>1.0576340716596544E-2</v>
      </c>
      <c r="E70">
        <f>Perhitungan!D$4+Perhitungan!D$3*Return!$B70</f>
        <v>9.4248844314909364E-3</v>
      </c>
      <c r="F70">
        <f>Perhitungan!E$4+Perhitungan!E$3*Return!$B70</f>
        <v>7.9806619507124914E-3</v>
      </c>
      <c r="G70">
        <f>Perhitungan!F$4+Perhitungan!F$3*Return!$B70</f>
        <v>1.0222671477325883E-2</v>
      </c>
      <c r="H70">
        <f>Perhitungan!G$4+Perhitungan!G$3*Return!$B70</f>
        <v>6.8789867942660793E-3</v>
      </c>
      <c r="I70">
        <f>Perhitungan!H$4+Perhitungan!H$3*Return!$B70</f>
        <v>2.1830521559279927E-3</v>
      </c>
      <c r="J70">
        <f>Perhitungan!I$4+Perhitungan!I$3*Return!$B70</f>
        <v>2.6840869579651035E-3</v>
      </c>
      <c r="K70">
        <f>Perhitungan!J$4+Perhitungan!J$3*Return!$B70</f>
        <v>1.0312718474996782E-2</v>
      </c>
      <c r="L70">
        <f>Perhitungan!K$4+Perhitungan!K$3*Return!$B70</f>
        <v>2.9854536163371271E-3</v>
      </c>
      <c r="M70">
        <f>Perhitungan!L$4+Perhitungan!L$3*Return!$B70</f>
        <v>1.438303316139268E-2</v>
      </c>
      <c r="N70">
        <f>Perhitungan!M$4+Perhitungan!M$3*Return!$B70</f>
        <v>1.1224361432553131E-2</v>
      </c>
      <c r="O70">
        <f>Perhitungan!N$4+Perhitungan!N$3*Return!$B70</f>
        <v>4.5752609707369251E-3</v>
      </c>
      <c r="P70">
        <f>Perhitungan!O$4+Perhitungan!O$3*Return!$B70</f>
        <v>6.5206907160656564E-3</v>
      </c>
      <c r="Q70">
        <f>Perhitungan!P$4+Perhitungan!P$3*Return!$B70</f>
        <v>1.2164128535389339E-2</v>
      </c>
      <c r="R70">
        <f>Perhitungan!Q$4+Perhitungan!Q$3*Return!$B70</f>
        <v>4.7521538745809045E-3</v>
      </c>
      <c r="S70">
        <f>Perhitungan!R$4+Perhitungan!R$3*Return!$B70</f>
        <v>5.1016003758813933E-3</v>
      </c>
      <c r="T70">
        <f>Perhitungan!S$4+Perhitungan!S$3*Return!$B70</f>
        <v>6.5766268026341522E-3</v>
      </c>
      <c r="U70">
        <f>Perhitungan!T$4+Perhitungan!T$3*Return!$B70</f>
        <v>1.0708948197715671E-2</v>
      </c>
      <c r="V70">
        <f>Perhitungan!U$4+Perhitungan!U$3*Return!$B70</f>
        <v>8.7373812578027121E-3</v>
      </c>
      <c r="W70">
        <f>Perhitungan!V$4+Perhitungan!V$3*Return!$B70</f>
        <v>2.0367581004195643E-2</v>
      </c>
      <c r="X70">
        <f>Perhitungan!W$4+Perhitungan!W$3*Return!$B70</f>
        <v>5.6405397530386288E-3</v>
      </c>
      <c r="Y70">
        <f>Perhitungan!X$4+Perhitungan!X$3*Return!$B70</f>
        <v>6.0064228048825764E-3</v>
      </c>
      <c r="Z70">
        <f>Perhitungan!Y$4+Perhitungan!Y$3*Return!$B70</f>
        <v>6.3789998001998853E-3</v>
      </c>
      <c r="AA70">
        <f>Perhitungan!Z$4+Perhitungan!Z$3*Return!$B70</f>
        <v>1.3490897074577551E-2</v>
      </c>
      <c r="AB70">
        <f>Perhitungan!AA$4+Perhitungan!AA$3*Return!$B70</f>
        <v>9.1824016504226044E-3</v>
      </c>
      <c r="AC70">
        <f>Perhitungan!AB$4+Perhitungan!AB$3*Return!$B70</f>
        <v>9.3740970065551016E-3</v>
      </c>
      <c r="AD70">
        <f>Perhitungan!AC$4+Perhitungan!AC$3*Return!$B70</f>
        <v>8.7491671046121301E-3</v>
      </c>
      <c r="AE70">
        <f>Perhitungan!AD$4+Perhitungan!AD$3*Return!$B70</f>
        <v>7.2539445333302723E-3</v>
      </c>
      <c r="AF70">
        <f>Perhitungan!AE$4+Perhitungan!AE$3*Return!$B70</f>
        <v>16.411358211582368</v>
      </c>
    </row>
    <row r="71" spans="1:32" x14ac:dyDescent="0.3">
      <c r="A71" s="4" t="s">
        <v>45</v>
      </c>
      <c r="C71">
        <f>Perhitungan!B$4+Perhitungan!B$3*Return!$B71</f>
        <v>2.1318676933647892E-3</v>
      </c>
      <c r="D71">
        <f>Perhitungan!C$4+Perhitungan!C$3*Return!$B71</f>
        <v>5.5002606222278342E-3</v>
      </c>
      <c r="E71">
        <f>Perhitungan!D$4+Perhitungan!D$3*Return!$B71</f>
        <v>4.373200914310523E-3</v>
      </c>
      <c r="F71">
        <f>Perhitungan!E$4+Perhitungan!E$3*Return!$B71</f>
        <v>3.6084821156528932E-3</v>
      </c>
      <c r="G71">
        <f>Perhitungan!F$4+Perhitungan!F$3*Return!$B71</f>
        <v>5.5725893327762989E-3</v>
      </c>
      <c r="H71">
        <f>Perhitungan!G$4+Perhitungan!G$3*Return!$B71</f>
        <v>3.4061873046671983E-3</v>
      </c>
      <c r="I71">
        <f>Perhitungan!H$4+Perhitungan!H$3*Return!$B71</f>
        <v>-4.6277409755913178E-6</v>
      </c>
      <c r="J71">
        <f>Perhitungan!I$4+Perhitungan!I$3*Return!$B71</f>
        <v>1.2012772755653671E-3</v>
      </c>
      <c r="K71">
        <f>Perhitungan!J$4+Perhitungan!J$3*Return!$B71</f>
        <v>5.4535508663441723E-3</v>
      </c>
      <c r="L71">
        <f>Perhitungan!K$4+Perhitungan!K$3*Return!$B71</f>
        <v>1.1102787402196826E-3</v>
      </c>
      <c r="M71">
        <f>Perhitungan!L$4+Perhitungan!L$3*Return!$B71</f>
        <v>9.3747235536997004E-3</v>
      </c>
      <c r="N71">
        <f>Perhitungan!M$4+Perhitungan!M$3*Return!$B71</f>
        <v>3.9618452938546154E-3</v>
      </c>
      <c r="O71">
        <f>Perhitungan!N$4+Perhitungan!N$3*Return!$B71</f>
        <v>1.9262218954289008E-3</v>
      </c>
      <c r="P71">
        <f>Perhitungan!O$4+Perhitungan!O$3*Return!$B71</f>
        <v>1.9807112464449361E-3</v>
      </c>
      <c r="Q71">
        <f>Perhitungan!P$4+Perhitungan!P$3*Return!$B71</f>
        <v>6.6747056917384829E-3</v>
      </c>
      <c r="R71">
        <f>Perhitungan!Q$4+Perhitungan!Q$3*Return!$B71</f>
        <v>1.7298173779553162E-3</v>
      </c>
      <c r="S71">
        <f>Perhitungan!R$4+Perhitungan!R$3*Return!$B71</f>
        <v>2.2934542630464157E-3</v>
      </c>
      <c r="T71">
        <f>Perhitungan!S$4+Perhitungan!S$3*Return!$B71</f>
        <v>3.6265450371892743E-3</v>
      </c>
      <c r="U71">
        <f>Perhitungan!T$4+Perhitungan!T$3*Return!$B71</f>
        <v>5.0531078844255114E-3</v>
      </c>
      <c r="V71">
        <f>Perhitungan!U$4+Perhitungan!U$3*Return!$B71</f>
        <v>3.9991125088499283E-3</v>
      </c>
      <c r="W71">
        <f>Perhitungan!V$4+Perhitungan!V$3*Return!$B71</f>
        <v>1.0571969370058469E-2</v>
      </c>
      <c r="X71">
        <f>Perhitungan!W$4+Perhitungan!W$3*Return!$B71</f>
        <v>1.595798483368556E-4</v>
      </c>
      <c r="Y71">
        <f>Perhitungan!X$4+Perhitungan!X$3*Return!$B71</f>
        <v>1.8969962572671626E-3</v>
      </c>
      <c r="Z71">
        <f>Perhitungan!Y$4+Perhitungan!Y$3*Return!$B71</f>
        <v>2.3713661399864085E-3</v>
      </c>
      <c r="AA71">
        <f>Perhitungan!Z$4+Perhitungan!Z$3*Return!$B71</f>
        <v>7.4896296904822541E-3</v>
      </c>
      <c r="AB71">
        <f>Perhitungan!AA$4+Perhitungan!AA$3*Return!$B71</f>
        <v>3.7470562747131076E-3</v>
      </c>
      <c r="AC71">
        <f>Perhitungan!AB$4+Perhitungan!AB$3*Return!$B71</f>
        <v>4.9224965240144084E-3</v>
      </c>
      <c r="AD71">
        <f>Perhitungan!AC$4+Perhitungan!AC$3*Return!$B71</f>
        <v>3.7961421526804986E-3</v>
      </c>
      <c r="AE71">
        <f>Perhitungan!AD$4+Perhitungan!AD$3*Return!$B71</f>
        <v>3.3156292037989578E-3</v>
      </c>
      <c r="AF71">
        <f>Perhitungan!AE$4+Perhitungan!AE$3*Return!$B71</f>
        <v>16.556489288749269</v>
      </c>
    </row>
    <row r="72" spans="1:32" x14ac:dyDescent="0.3">
      <c r="A72" s="1">
        <v>45664</v>
      </c>
      <c r="C72">
        <f>Perhitungan!B$4+Perhitungan!B$3*Return!$B72</f>
        <v>-3.1667321313603525E-3</v>
      </c>
      <c r="D72">
        <f>Perhitungan!C$4+Perhitungan!C$3*Return!$B72</f>
        <v>-5.6567481102284866E-4</v>
      </c>
      <c r="E72">
        <f>Perhitungan!D$4+Perhitungan!D$3*Return!$B72</f>
        <v>-1.6635805144198823E-3</v>
      </c>
      <c r="F72">
        <f>Perhitungan!E$4+Perhitungan!E$3*Return!$B72</f>
        <v>-1.6162897730835259E-3</v>
      </c>
      <c r="G72">
        <f>Perhitungan!F$4+Perhitungan!F$3*Return!$B72</f>
        <v>1.57231045538604E-5</v>
      </c>
      <c r="H72">
        <f>Perhitungan!G$4+Perhitungan!G$3*Return!$B72</f>
        <v>-7.4382157716715975E-4</v>
      </c>
      <c r="I72">
        <f>Perhitungan!H$4+Perhitungan!H$3*Return!$B72</f>
        <v>-2.618913716872515E-3</v>
      </c>
      <c r="J72">
        <f>Perhitungan!I$4+Perhitungan!I$3*Return!$B72</f>
        <v>-5.7068605559132467E-4</v>
      </c>
      <c r="K72">
        <f>Perhitungan!J$4+Perhitungan!J$3*Return!$B72</f>
        <v>-3.5317330377465802E-4</v>
      </c>
      <c r="L72">
        <f>Perhitungan!K$4+Perhitungan!K$3*Return!$B72</f>
        <v>-1.130562521761407E-3</v>
      </c>
      <c r="M72">
        <f>Perhitungan!L$4+Perhitungan!L$3*Return!$B72</f>
        <v>3.389774115313637E-3</v>
      </c>
      <c r="N72">
        <f>Perhitungan!M$4+Perhitungan!M$3*Return!$B72</f>
        <v>-4.7168897066349833E-3</v>
      </c>
      <c r="O72">
        <f>Perhitungan!N$4+Perhitungan!N$3*Return!$B72</f>
        <v>-1.2393900910334576E-3</v>
      </c>
      <c r="P72">
        <f>Perhitungan!O$4+Perhitungan!O$3*Return!$B72</f>
        <v>-3.4445818574905937E-3</v>
      </c>
      <c r="Q72">
        <f>Perhitungan!P$4+Perhitungan!P$3*Return!$B72</f>
        <v>1.1482406726647334E-4</v>
      </c>
      <c r="R72">
        <f>Perhitungan!Q$4+Perhitungan!Q$3*Return!$B72</f>
        <v>-1.8818864772353148E-3</v>
      </c>
      <c r="S72">
        <f>Perhitungan!R$4+Perhitungan!R$3*Return!$B72</f>
        <v>-1.0622912513886377E-3</v>
      </c>
      <c r="T72">
        <f>Perhitungan!S$4+Perhitungan!S$3*Return!$B72</f>
        <v>1.01185866467926E-4</v>
      </c>
      <c r="U72">
        <f>Perhitungan!T$4+Perhitungan!T$3*Return!$B72</f>
        <v>-1.7056432627943531E-3</v>
      </c>
      <c r="V72">
        <f>Perhitungan!U$4+Perhitungan!U$3*Return!$B72</f>
        <v>-1.6631370542377075E-3</v>
      </c>
      <c r="W72">
        <f>Perhitungan!V$4+Perhitungan!V$3*Return!$B72</f>
        <v>-1.1338245885108692E-3</v>
      </c>
      <c r="X72">
        <f>Perhitungan!W$4+Perhitungan!W$3*Return!$B72</f>
        <v>-6.3901885312126361E-3</v>
      </c>
      <c r="Y72">
        <f>Perhitungan!X$4+Perhitungan!X$3*Return!$B72</f>
        <v>-3.0137844321816484E-3</v>
      </c>
      <c r="Z72">
        <f>Perhitungan!Y$4+Perhitungan!Y$3*Return!$B72</f>
        <v>-2.4177716535535489E-3</v>
      </c>
      <c r="AA72">
        <f>Perhitungan!Z$4+Perhitungan!Z$3*Return!$B72</f>
        <v>3.1809185167227996E-4</v>
      </c>
      <c r="AB72">
        <f>Perhitungan!AA$4+Perhitungan!AA$3*Return!$B72</f>
        <v>-2.7482025654789856E-3</v>
      </c>
      <c r="AC72">
        <f>Perhitungan!AB$4+Perhitungan!AB$3*Return!$B72</f>
        <v>-3.9718334700971085E-4</v>
      </c>
      <c r="AD72">
        <f>Perhitungan!AC$4+Perhitungan!AC$3*Return!$B72</f>
        <v>-2.1227419072908566E-3</v>
      </c>
      <c r="AE72">
        <f>Perhitungan!AD$4+Perhitungan!AD$3*Return!$B72</f>
        <v>-1.3906729152753435E-3</v>
      </c>
      <c r="AF72">
        <f>Perhitungan!AE$4+Perhitungan!AE$3*Return!$B72</f>
        <v>16.729921489795348</v>
      </c>
    </row>
    <row r="73" spans="1:32" x14ac:dyDescent="0.3">
      <c r="A73" s="2">
        <v>45695</v>
      </c>
      <c r="C73">
        <f>Perhitungan!B$4+Perhitungan!B$3*Return!$B73</f>
        <v>-5.8760823849707336E-3</v>
      </c>
      <c r="D73">
        <f>Perhitungan!C$4+Perhitungan!C$3*Return!$B73</f>
        <v>-3.6673892729777984E-3</v>
      </c>
      <c r="E73">
        <f>Perhitungan!D$4+Perhitungan!D$3*Return!$B73</f>
        <v>-4.7503875645766832E-3</v>
      </c>
      <c r="F73">
        <f>Perhitungan!E$4+Perhitungan!E$3*Return!$B73</f>
        <v>-4.2878893484560102E-3</v>
      </c>
      <c r="G73">
        <f>Perhitungan!F$4+Perhitungan!F$3*Return!$B73</f>
        <v>-2.8256873477809524E-3</v>
      </c>
      <c r="H73">
        <f>Perhitungan!G$4+Perhitungan!G$3*Return!$B73</f>
        <v>-2.8658590943269899E-3</v>
      </c>
      <c r="I73">
        <f>Perhitungan!H$4+Perhitungan!H$3*Return!$B73</f>
        <v>-3.9556850538499805E-3</v>
      </c>
      <c r="J73">
        <f>Perhitungan!I$4+Perhitungan!I$3*Return!$B73</f>
        <v>-1.4767498195040329E-3</v>
      </c>
      <c r="K73">
        <f>Perhitungan!J$4+Perhitungan!J$3*Return!$B73</f>
        <v>-3.3223444288601571E-3</v>
      </c>
      <c r="L73">
        <f>Perhitungan!K$4+Perhitungan!K$3*Return!$B73</f>
        <v>-2.2763791605493735E-3</v>
      </c>
      <c r="M73">
        <f>Perhitungan!L$4+Perhitungan!L$3*Return!$B73</f>
        <v>3.2947048508473291E-4</v>
      </c>
      <c r="N73">
        <f>Perhitungan!M$4+Perhitungan!M$3*Return!$B73</f>
        <v>-9.1546154554017385E-3</v>
      </c>
      <c r="O73">
        <f>Perhitungan!N$4+Perhitungan!N$3*Return!$B73</f>
        <v>-2.8580727472196626E-3</v>
      </c>
      <c r="P73">
        <f>Perhitungan!O$4+Perhitungan!O$3*Return!$B73</f>
        <v>-6.2187145969489601E-3</v>
      </c>
      <c r="Q73">
        <f>Perhitungan!P$4+Perhitungan!P$3*Return!$B73</f>
        <v>-3.2394615045523555E-3</v>
      </c>
      <c r="R73">
        <f>Perhitungan!Q$4+Perhitungan!Q$3*Return!$B73</f>
        <v>-3.7286707371758984E-3</v>
      </c>
      <c r="S73">
        <f>Perhitungan!R$4+Perhitungan!R$3*Return!$B73</f>
        <v>-2.7781955018210888E-3</v>
      </c>
      <c r="T73">
        <f>Perhitungan!S$4+Perhitungan!S$3*Return!$B73</f>
        <v>-1.7014474855907068E-3</v>
      </c>
      <c r="U73">
        <f>Perhitungan!T$4+Perhitungan!T$3*Return!$B73</f>
        <v>-5.1616174334347068E-3</v>
      </c>
      <c r="V73">
        <f>Perhitungan!U$4+Perhitungan!U$3*Return!$B73</f>
        <v>-4.5584335093823546E-3</v>
      </c>
      <c r="W73">
        <f>Perhitungan!V$4+Perhitungan!V$3*Return!$B73</f>
        <v>-7.1193862235614802E-3</v>
      </c>
      <c r="X73">
        <f>Perhitungan!W$4+Perhitungan!W$3*Return!$B73</f>
        <v>-9.7393028646662293E-3</v>
      </c>
      <c r="Y73">
        <f>Perhitungan!X$4+Perhitungan!X$3*Return!$B73</f>
        <v>-5.5248298680526768E-3</v>
      </c>
      <c r="Z73">
        <f>Perhitungan!Y$4+Perhitungan!Y$3*Return!$B73</f>
        <v>-4.8666170324694075E-3</v>
      </c>
      <c r="AA73">
        <f>Perhitungan!Z$4+Perhitungan!Z$3*Return!$B73</f>
        <v>-3.3489538783502103E-3</v>
      </c>
      <c r="AB73">
        <f>Perhitungan!AA$4+Perhitungan!AA$3*Return!$B73</f>
        <v>-6.0694443591734907E-3</v>
      </c>
      <c r="AC73">
        <f>Perhitungan!AB$4+Perhitungan!AB$3*Return!$B73</f>
        <v>-3.1173125291437641E-3</v>
      </c>
      <c r="AD73">
        <f>Perhitungan!AC$4+Perhitungan!AC$3*Return!$B73</f>
        <v>-5.1492641130522045E-3</v>
      </c>
      <c r="AE73">
        <f>Perhitungan!AD$4+Perhitungan!AD$3*Return!$B73</f>
        <v>-3.7971616597886125E-3</v>
      </c>
      <c r="AF73">
        <f>Perhitungan!AE$4+Perhitungan!AE$3*Return!$B73</f>
        <v>16.818603140312856</v>
      </c>
    </row>
    <row r="74" spans="1:32" x14ac:dyDescent="0.3">
      <c r="A74" s="1">
        <v>45723</v>
      </c>
      <c r="C74">
        <f>Perhitungan!B$4+Perhitungan!B$3*Return!$B74</f>
        <v>-2.0385898549535072E-3</v>
      </c>
      <c r="D74">
        <f>Perhitungan!C$4+Perhitungan!C$3*Return!$B74</f>
        <v>7.2584340786044929E-4</v>
      </c>
      <c r="E74">
        <f>Perhitungan!D$4+Perhitungan!D$3*Return!$B74</f>
        <v>-3.7826957030989429E-4</v>
      </c>
      <c r="F74">
        <f>Perhitungan!E$4+Perhitungan!E$3*Return!$B74</f>
        <v>-5.0386644479955673E-4</v>
      </c>
      <c r="G74">
        <f>Perhitungan!F$4+Perhitungan!F$3*Return!$B74</f>
        <v>1.1988537284485187E-3</v>
      </c>
      <c r="H74">
        <f>Perhitungan!G$4+Perhitungan!G$3*Return!$B74</f>
        <v>1.3977043240757806E-4</v>
      </c>
      <c r="I74">
        <f>Perhitungan!H$4+Perhitungan!H$3*Return!$B74</f>
        <v>-2.062297510782666E-3</v>
      </c>
      <c r="J74">
        <f>Perhitungan!I$4+Perhitungan!I$3*Return!$B74</f>
        <v>-1.9341152793358356E-4</v>
      </c>
      <c r="K74">
        <f>Perhitungan!J$4+Perhitungan!J$3*Return!$B74</f>
        <v>8.8315539445541131E-4</v>
      </c>
      <c r="L74">
        <f>Perhitungan!K$4+Perhitungan!K$3*Return!$B74</f>
        <v>-6.5345765519623448E-4</v>
      </c>
      <c r="M74">
        <f>Perhitungan!L$4+Perhitungan!L$3*Return!$B74</f>
        <v>4.6640493402691227E-3</v>
      </c>
      <c r="N74">
        <f>Perhitungan!M$4+Perhitungan!M$3*Return!$B74</f>
        <v>-2.8690717578069664E-3</v>
      </c>
      <c r="O74">
        <f>Perhitungan!N$4+Perhitungan!N$3*Return!$B74</f>
        <v>-5.6538925481939303E-4</v>
      </c>
      <c r="P74">
        <f>Perhitungan!O$4+Perhitungan!O$3*Return!$B74</f>
        <v>-2.2894648992542385E-3</v>
      </c>
      <c r="Q74">
        <f>Perhitungan!P$4+Perhitungan!P$3*Return!$B74</f>
        <v>1.5115099906415567E-3</v>
      </c>
      <c r="R74">
        <f>Perhitungan!Q$4+Perhitungan!Q$3*Return!$B74</f>
        <v>-1.1129067573687557E-3</v>
      </c>
      <c r="S74">
        <f>Perhitungan!R$4+Perhitungan!R$3*Return!$B74</f>
        <v>-3.4780846179748319E-4</v>
      </c>
      <c r="T74">
        <f>Perhitungan!S$4+Perhitungan!S$3*Return!$B74</f>
        <v>8.5178165621803013E-4</v>
      </c>
      <c r="U74">
        <f>Perhitungan!T$4+Perhitungan!T$3*Return!$B74</f>
        <v>-2.6661537672682475E-4</v>
      </c>
      <c r="V74">
        <f>Perhitungan!U$4+Perhitungan!U$3*Return!$B74</f>
        <v>-4.5756891869414186E-4</v>
      </c>
      <c r="W74">
        <f>Perhitungan!V$4+Perhitungan!V$3*Return!$B74</f>
        <v>1.3584944165868497E-3</v>
      </c>
      <c r="X74">
        <f>Perhitungan!W$4+Perhitungan!W$3*Return!$B74</f>
        <v>-4.9956558520013235E-3</v>
      </c>
      <c r="Y74">
        <f>Perhitungan!X$4+Perhitungan!X$3*Return!$B74</f>
        <v>-1.968214000522008E-3</v>
      </c>
      <c r="Z74">
        <f>Perhitungan!Y$4+Perhitungan!Y$3*Return!$B74</f>
        <v>-1.3981006100415039E-3</v>
      </c>
      <c r="AA74">
        <f>Perhitungan!Z$4+Perhitungan!Z$3*Return!$B74</f>
        <v>1.8450075068345566E-3</v>
      </c>
      <c r="AB74">
        <f>Perhitungan!AA$4+Perhitungan!AA$3*Return!$B74</f>
        <v>-1.3652756911691098E-3</v>
      </c>
      <c r="AC74">
        <f>Perhitungan!AB$4+Perhitungan!AB$3*Return!$B74</f>
        <v>7.3544715123029106E-4</v>
      </c>
      <c r="AD74">
        <f>Perhitungan!AC$4+Perhitungan!AC$3*Return!$B74</f>
        <v>-8.6253287885179044E-4</v>
      </c>
      <c r="AE74">
        <f>Perhitungan!AD$4+Perhitungan!AD$3*Return!$B74</f>
        <v>-3.8863868704481998E-4</v>
      </c>
      <c r="AF74">
        <f>Perhitungan!AE$4+Perhitungan!AE$3*Return!$B74</f>
        <v>16.692995470740772</v>
      </c>
    </row>
    <row r="75" spans="1:32" x14ac:dyDescent="0.3">
      <c r="A75" s="2">
        <v>45754</v>
      </c>
      <c r="C75">
        <f>Perhitungan!B$4+Perhitungan!B$3*Return!$B75</f>
        <v>-3.2451943879726183E-3</v>
      </c>
      <c r="D75">
        <f>Perhitungan!C$4+Perhitungan!C$3*Return!$B75</f>
        <v>-6.5549985882816021E-4</v>
      </c>
      <c r="E75">
        <f>Perhitungan!D$4+Perhitungan!D$3*Return!$B75</f>
        <v>-1.7529738464777105E-3</v>
      </c>
      <c r="F75">
        <f>Perhitungan!E$4+Perhitungan!E$3*Return!$B75</f>
        <v>-1.693658777393236E-3</v>
      </c>
      <c r="G75">
        <f>Perhitungan!F$4+Perhitungan!F$3*Return!$B75</f>
        <v>-6.6563589739275812E-5</v>
      </c>
      <c r="H75">
        <f>Perhitungan!G$4+Perhitungan!G$3*Return!$B75</f>
        <v>-8.052753711129141E-4</v>
      </c>
      <c r="I75">
        <f>Perhitungan!H$4+Perhitungan!H$3*Return!$B75</f>
        <v>-2.657626354905962E-3</v>
      </c>
      <c r="J75">
        <f>Perhitungan!I$4+Perhitungan!I$3*Return!$B75</f>
        <v>-5.9692548604386943E-4</v>
      </c>
      <c r="K75">
        <f>Perhitungan!J$4+Perhitungan!J$3*Return!$B75</f>
        <v>-4.3915992231234754E-4</v>
      </c>
      <c r="L75">
        <f>Perhitungan!K$4+Perhitungan!K$3*Return!$B75</f>
        <v>-1.1637451488593184E-3</v>
      </c>
      <c r="M75">
        <f>Perhitungan!L$4+Perhitungan!L$3*Return!$B75</f>
        <v>3.3011483171443172E-3</v>
      </c>
      <c r="N75">
        <f>Perhitungan!M$4+Perhitungan!M$3*Return!$B75</f>
        <v>-4.8454053815687077E-3</v>
      </c>
      <c r="O75">
        <f>Perhitungan!N$4+Perhitungan!N$3*Return!$B75</f>
        <v>-1.2862668260640291E-3</v>
      </c>
      <c r="P75">
        <f>Perhitungan!O$4+Perhitungan!O$3*Return!$B75</f>
        <v>-3.5249202022984744E-3</v>
      </c>
      <c r="Q75">
        <f>Perhitungan!P$4+Perhitungan!P$3*Return!$B75</f>
        <v>1.7684609222553497E-5</v>
      </c>
      <c r="R75">
        <f>Perhitungan!Q$4+Perhitungan!Q$3*Return!$B75</f>
        <v>-1.9353689903647484E-3</v>
      </c>
      <c r="S75">
        <f>Perhitungan!R$4+Perhitungan!R$3*Return!$B75</f>
        <v>-1.1119835048874612E-3</v>
      </c>
      <c r="T75">
        <f>Perhitungan!S$4+Perhitungan!S$3*Return!$B75</f>
        <v>4.8981955047253545E-5</v>
      </c>
      <c r="U75">
        <f>Perhitungan!T$4+Perhitungan!T$3*Return!$B75</f>
        <v>-1.8057276028905821E-3</v>
      </c>
      <c r="V75">
        <f>Perhitungan!U$4+Perhitungan!U$3*Return!$B75</f>
        <v>-1.7469842766960893E-3</v>
      </c>
      <c r="W75">
        <f>Perhitungan!V$4+Perhitungan!V$3*Return!$B75</f>
        <v>-1.3071652897923103E-3</v>
      </c>
      <c r="X75">
        <f>Perhitungan!W$4+Perhitungan!W$3*Return!$B75</f>
        <v>-6.4871782311988532E-3</v>
      </c>
      <c r="Y75">
        <f>Perhitungan!X$4+Perhitungan!X$3*Return!$B75</f>
        <v>-3.0865038198251713E-3</v>
      </c>
      <c r="Z75">
        <f>Perhitungan!Y$4+Perhitungan!Y$3*Return!$B75</f>
        <v>-2.4886897396401361E-3</v>
      </c>
      <c r="AA75">
        <f>Perhitungan!Z$4+Perhitungan!Z$3*Return!$B75</f>
        <v>2.1189492025135105E-4</v>
      </c>
      <c r="AB75">
        <f>Perhitungan!AA$4+Perhitungan!AA$3*Return!$B75</f>
        <v>-2.8443850821325573E-3</v>
      </c>
      <c r="AC75">
        <f>Perhitungan!AB$4+Perhitungan!AB$3*Return!$B75</f>
        <v>-4.7595775929646072E-4</v>
      </c>
      <c r="AD75">
        <f>Perhitungan!AC$4+Perhitungan!AC$3*Return!$B75</f>
        <v>-2.210389401975136E-3</v>
      </c>
      <c r="AE75">
        <f>Perhitungan!AD$4+Perhitungan!AD$3*Return!$B75</f>
        <v>-1.4603643614643021E-3</v>
      </c>
      <c r="AF75">
        <f>Perhitungan!AE$4+Perhitungan!AE$3*Return!$B75</f>
        <v>16.732489693153489</v>
      </c>
    </row>
    <row r="76" spans="1:32" x14ac:dyDescent="0.3">
      <c r="A76" s="1">
        <v>45845</v>
      </c>
      <c r="C76">
        <f>Perhitungan!B$4+Perhitungan!B$3*Return!$B76</f>
        <v>2.8327265742522961E-3</v>
      </c>
      <c r="D76">
        <f>Perhitungan!C$4+Perhitungan!C$3*Return!$B76</f>
        <v>6.3026168785817434E-3</v>
      </c>
      <c r="E76">
        <f>Perhitungan!D$4+Perhitungan!D$3*Return!$B76</f>
        <v>5.1717008985062438E-3</v>
      </c>
      <c r="F76">
        <f>Perhitungan!E$4+Perhitungan!E$3*Return!$B76</f>
        <v>4.2995755931683919E-3</v>
      </c>
      <c r="G76">
        <f>Perhitungan!F$4+Perhitungan!F$3*Return!$B76</f>
        <v>6.3076097485057665E-3</v>
      </c>
      <c r="H76">
        <f>Perhitungan!G$4+Perhitungan!G$3*Return!$B76</f>
        <v>3.955119225704757E-3</v>
      </c>
      <c r="I76">
        <f>Perhitungan!H$4+Perhitungan!H$3*Return!$B76</f>
        <v>3.4117031964357725E-4</v>
      </c>
      <c r="J76">
        <f>Perhitungan!I$4+Perhitungan!I$3*Return!$B76</f>
        <v>1.4356592402974555E-3</v>
      </c>
      <c r="K76">
        <f>Perhitungan!J$4+Perhitungan!J$3*Return!$B76</f>
        <v>6.2216206089394299E-3</v>
      </c>
      <c r="L76">
        <f>Perhitungan!K$4+Perhitungan!K$3*Return!$B76</f>
        <v>1.4066803465063176E-3</v>
      </c>
      <c r="M76">
        <f>Perhitungan!L$4+Perhitungan!L$3*Return!$B76</f>
        <v>1.0166367592561072E-2</v>
      </c>
      <c r="N76">
        <f>Perhitungan!M$4+Perhitungan!M$3*Return!$B76</f>
        <v>5.109802999884604E-3</v>
      </c>
      <c r="O76">
        <f>Perhitungan!N$4+Perhitungan!N$3*Return!$B76</f>
        <v>2.344945208671598E-3</v>
      </c>
      <c r="P76">
        <f>Perhitungan!O$4+Perhitungan!O$3*Return!$B76</f>
        <v>2.6983281601751976E-3</v>
      </c>
      <c r="Q76">
        <f>Perhitungan!P$4+Perhitungan!P$3*Return!$B76</f>
        <v>7.5423974303423635E-3</v>
      </c>
      <c r="R76">
        <f>Perhitungan!Q$4+Perhitungan!Q$3*Return!$B76</f>
        <v>2.2075463640610568E-3</v>
      </c>
      <c r="S76">
        <f>Perhitungan!R$4+Perhitungan!R$3*Return!$B76</f>
        <v>2.7373270074675746E-3</v>
      </c>
      <c r="T76">
        <f>Perhitungan!S$4+Perhitungan!S$3*Return!$B76</f>
        <v>4.0928529986980376E-3</v>
      </c>
      <c r="U76">
        <f>Perhitungan!T$4+Perhitungan!T$3*Return!$B76</f>
        <v>5.9471045858056522E-3</v>
      </c>
      <c r="V76">
        <f>Perhitungan!U$4+Perhitungan!U$3*Return!$B76</f>
        <v>4.7480722384700517E-3</v>
      </c>
      <c r="W76">
        <f>Perhitungan!V$4+Perhitungan!V$3*Return!$B76</f>
        <v>1.2120323638184053E-2</v>
      </c>
      <c r="X76">
        <f>Perhitungan!W$4+Perhitungan!W$3*Return!$B76</f>
        <v>1.0259338830655605E-3</v>
      </c>
      <c r="Y76">
        <f>Perhitungan!X$4+Perhitungan!X$3*Return!$B76</f>
        <v>2.5465573436188028E-3</v>
      </c>
      <c r="Z76">
        <f>Perhitungan!Y$4+Perhitungan!Y$3*Return!$B76</f>
        <v>3.0048372201638197E-3</v>
      </c>
      <c r="AA76">
        <f>Perhitungan!Z$4+Perhitungan!Z$3*Return!$B76</f>
        <v>8.4382267067159705E-3</v>
      </c>
      <c r="AB76">
        <f>Perhitungan!AA$4+Perhitungan!AA$3*Return!$B76</f>
        <v>4.6062001980887255E-3</v>
      </c>
      <c r="AC76">
        <f>Perhitungan!AB$4+Perhitungan!AB$3*Return!$B76</f>
        <v>5.6261437146718314E-3</v>
      </c>
      <c r="AD76">
        <f>Perhitungan!AC$4+Perhitungan!AC$3*Return!$B76</f>
        <v>4.5790475608256803E-3</v>
      </c>
      <c r="AE76">
        <f>Perhitungan!AD$4+Perhitungan!AD$3*Return!$B76</f>
        <v>3.9381434047962042E-3</v>
      </c>
      <c r="AF76">
        <f>Perhitungan!AE$4+Perhitungan!AE$3*Return!$B76</f>
        <v>16.533548983318425</v>
      </c>
    </row>
    <row r="77" spans="1:32" x14ac:dyDescent="0.3">
      <c r="A77" s="2">
        <v>45876</v>
      </c>
      <c r="C77">
        <f>Perhitungan!B$4+Perhitungan!B$3*Return!$B77</f>
        <v>-1.2084538702451049E-3</v>
      </c>
      <c r="D77">
        <f>Perhitungan!C$4+Perhitungan!C$3*Return!$B77</f>
        <v>1.6761984923417267E-3</v>
      </c>
      <c r="E77">
        <f>Perhitungan!D$4+Perhitungan!D$3*Return!$B77</f>
        <v>5.675179323476531E-4</v>
      </c>
      <c r="F77">
        <f>Perhitungan!E$4+Perhitungan!E$3*Return!$B77</f>
        <v>3.1470285656450258E-4</v>
      </c>
      <c r="G77">
        <f>Perhitungan!F$4+Perhitungan!F$3*Return!$B77</f>
        <v>2.0694525226304496E-3</v>
      </c>
      <c r="H77">
        <f>Perhitungan!G$4+Perhitungan!G$3*Return!$B77</f>
        <v>7.8995573109615926E-4</v>
      </c>
      <c r="I77">
        <f>Perhitungan!H$4+Perhitungan!H$3*Return!$B77</f>
        <v>-1.6527151806011002E-3</v>
      </c>
      <c r="J77">
        <f>Perhitungan!I$4+Perhitungan!I$3*Return!$B77</f>
        <v>8.420342194673613E-5</v>
      </c>
      <c r="K77">
        <f>Perhitungan!J$4+Perhitungan!J$3*Return!$B77</f>
        <v>1.7928996375284811E-3</v>
      </c>
      <c r="L77">
        <f>Perhitungan!K$4+Perhitungan!K$3*Return!$B77</f>
        <v>-3.0238321494325952E-4</v>
      </c>
      <c r="M77">
        <f>Perhitungan!L$4+Perhitungan!L$3*Return!$B77</f>
        <v>5.6017162824451789E-3</v>
      </c>
      <c r="N77">
        <f>Perhitungan!M$4+Perhitungan!M$3*Return!$B77</f>
        <v>-1.5093672200089199E-3</v>
      </c>
      <c r="O77">
        <f>Perhitungan!N$4+Perhitungan!N$3*Return!$B77</f>
        <v>-6.9430225921986188E-5</v>
      </c>
      <c r="P77">
        <f>Perhitungan!O$4+Perhitungan!O$3*Return!$B77</f>
        <v>-1.4394797744763262E-3</v>
      </c>
      <c r="Q77">
        <f>Perhitungan!P$4+Perhitungan!P$3*Return!$B77</f>
        <v>2.5392520304330047E-3</v>
      </c>
      <c r="R77">
        <f>Perhitungan!Q$4+Perhitungan!Q$3*Return!$B77</f>
        <v>-5.4705814915472916E-4</v>
      </c>
      <c r="S77">
        <f>Perhitungan!R$4+Perhitungan!R$3*Return!$B77</f>
        <v>1.7793894302768745E-4</v>
      </c>
      <c r="T77">
        <f>Perhitungan!S$4+Perhitungan!S$3*Return!$B77</f>
        <v>1.4041025718269707E-3</v>
      </c>
      <c r="U77">
        <f>Perhitungan!T$4+Perhitungan!T$3*Return!$B77</f>
        <v>7.9228371446609291E-4</v>
      </c>
      <c r="V77">
        <f>Perhitungan!U$4+Perhitungan!U$3*Return!$B77</f>
        <v>4.2954036908120067E-4</v>
      </c>
      <c r="W77">
        <f>Perhitungan!V$4+Perhitungan!V$3*Return!$B77</f>
        <v>3.1924507665730844E-3</v>
      </c>
      <c r="X77">
        <f>Perhitungan!W$4+Perhitungan!W$3*Return!$B77</f>
        <v>-3.9694982625948956E-3</v>
      </c>
      <c r="Y77">
        <f>Perhitungan!X$4+Perhitungan!X$3*Return!$B77</f>
        <v>-1.198837958138195E-3</v>
      </c>
      <c r="Z77">
        <f>Perhitungan!Y$4+Perhitungan!Y$3*Return!$B77</f>
        <v>-6.4778246002896757E-4</v>
      </c>
      <c r="AA77">
        <f>Perhitungan!Z$4+Perhitungan!Z$3*Return!$B77</f>
        <v>2.9685782278981929E-3</v>
      </c>
      <c r="AB77">
        <f>Perhitungan!AA$4+Perhitungan!AA$3*Return!$B77</f>
        <v>-3.4765815604632499E-4</v>
      </c>
      <c r="AC77">
        <f>Perhitungan!AB$4+Perhitungan!AB$3*Return!$B77</f>
        <v>1.5688857640991447E-3</v>
      </c>
      <c r="AD77">
        <f>Perhitungan!AC$4+Perhitungan!AC$3*Return!$B77</f>
        <v>6.4783546248130556E-5</v>
      </c>
      <c r="AE77">
        <f>Perhitungan!AD$4+Perhitungan!AD$3*Return!$B77</f>
        <v>3.4870152984080782E-4</v>
      </c>
      <c r="AF77">
        <f>Perhitungan!AE$4+Perhitungan!AE$3*Return!$B77</f>
        <v>16.665823705414446</v>
      </c>
    </row>
    <row r="78" spans="1:32" x14ac:dyDescent="0.3">
      <c r="A78" s="1">
        <v>45907</v>
      </c>
      <c r="C78">
        <f>Perhitungan!B$4+Perhitungan!B$3*Return!$B78</f>
        <v>3.278857412736091E-3</v>
      </c>
      <c r="D78">
        <f>Perhitungan!C$4+Perhitungan!C$3*Return!$B78</f>
        <v>6.8133557436676848E-3</v>
      </c>
      <c r="E78">
        <f>Perhitungan!D$4+Perhitungan!D$3*Return!$B78</f>
        <v>5.6799850584036372E-3</v>
      </c>
      <c r="F78">
        <f>Perhitungan!E$4+Perhitungan!E$3*Return!$B78</f>
        <v>4.7394902764270877E-3</v>
      </c>
      <c r="G78">
        <f>Perhitungan!F$4+Perhitungan!F$3*Return!$B78</f>
        <v>6.7754860689953501E-3</v>
      </c>
      <c r="H78">
        <f>Perhitungan!G$4+Perhitungan!G$3*Return!$B78</f>
        <v>4.3045411491209112E-3</v>
      </c>
      <c r="I78">
        <f>Perhitungan!H$4+Perhitungan!H$3*Return!$B78</f>
        <v>5.612876398874817E-4</v>
      </c>
      <c r="J78">
        <f>Perhitungan!I$4+Perhitungan!I$3*Return!$B78</f>
        <v>1.5848547849397572E-3</v>
      </c>
      <c r="K78">
        <f>Perhitungan!J$4+Perhitungan!J$3*Return!$B78</f>
        <v>6.7105344368474686E-3</v>
      </c>
      <c r="L78">
        <f>Perhitungan!K$4+Perhitungan!K$3*Return!$B78</f>
        <v>1.5953544159183375E-3</v>
      </c>
      <c r="M78">
        <f>Perhitungan!L$4+Perhitungan!L$3*Return!$B78</f>
        <v>1.067028760908521E-2</v>
      </c>
      <c r="N78">
        <f>Perhitungan!M$4+Perhitungan!M$3*Return!$B78</f>
        <v>5.8405340327660933E-3</v>
      </c>
      <c r="O78">
        <f>Perhitungan!N$4+Perhitungan!N$3*Return!$B78</f>
        <v>2.6114830066846918E-3</v>
      </c>
      <c r="P78">
        <f>Perhitungan!O$4+Perhitungan!O$3*Return!$B78</f>
        <v>3.1551263033723319E-3</v>
      </c>
      <c r="Q78">
        <f>Perhitungan!P$4+Perhitungan!P$3*Return!$B78</f>
        <v>8.0947255144191675E-3</v>
      </c>
      <c r="R78">
        <f>Perhitungan!Q$4+Perhitungan!Q$3*Return!$B78</f>
        <v>2.5116441488668632E-3</v>
      </c>
      <c r="S78">
        <f>Perhitungan!R$4+Perhitungan!R$3*Return!$B78</f>
        <v>3.0198736442426603E-3</v>
      </c>
      <c r="T78">
        <f>Perhitungan!S$4+Perhitungan!S$3*Return!$B78</f>
        <v>4.3896807446718589E-3</v>
      </c>
      <c r="U78">
        <f>Perhitungan!T$4+Perhitungan!T$3*Return!$B78</f>
        <v>6.5161770608286023E-3</v>
      </c>
      <c r="V78">
        <f>Perhitungan!U$4+Perhitungan!U$3*Return!$B78</f>
        <v>5.224821611671834E-3</v>
      </c>
      <c r="W78">
        <f>Perhitungan!V$4+Perhitungan!V$3*Return!$B78</f>
        <v>1.3105926598703152E-2</v>
      </c>
      <c r="X78">
        <f>Perhitungan!W$4+Perhitungan!W$3*Return!$B78</f>
        <v>1.5774104534243411E-3</v>
      </c>
      <c r="Y78">
        <f>Perhitungan!X$4+Perhitungan!X$3*Return!$B78</f>
        <v>2.9600346355574277E-3</v>
      </c>
      <c r="Z78">
        <f>Perhitungan!Y$4+Perhitungan!Y$3*Return!$B78</f>
        <v>3.4080724389241352E-3</v>
      </c>
      <c r="AA78">
        <f>Perhitungan!Z$4+Perhitungan!Z$3*Return!$B78</f>
        <v>9.04205494343557E-3</v>
      </c>
      <c r="AB78">
        <f>Perhitungan!AA$4+Perhitungan!AA$3*Return!$B78</f>
        <v>5.1530871811407983E-3</v>
      </c>
      <c r="AC78">
        <f>Perhitungan!AB$4+Perhitungan!AB$3*Return!$B78</f>
        <v>6.0740494482301238E-3</v>
      </c>
      <c r="AD78">
        <f>Perhitungan!AC$4+Perhitungan!AC$3*Return!$B78</f>
        <v>5.0774050129664197E-3</v>
      </c>
      <c r="AE78">
        <f>Perhitungan!AD$4+Perhitungan!AD$3*Return!$B78</f>
        <v>4.3344040359054028E-3</v>
      </c>
      <c r="AF78">
        <f>Perhitungan!AE$4+Perhitungan!AE$3*Return!$B78</f>
        <v>16.518946360770535</v>
      </c>
    </row>
    <row r="79" spans="1:32" x14ac:dyDescent="0.3">
      <c r="A79" s="2">
        <v>45937</v>
      </c>
      <c r="C79">
        <f>Perhitungan!B$4+Perhitungan!B$3*Return!$B79</f>
        <v>5.9624385005465994E-3</v>
      </c>
      <c r="D79">
        <f>Perhitungan!C$4+Perhitungan!C$3*Return!$B79</f>
        <v>9.8855691862813847E-3</v>
      </c>
      <c r="E79">
        <f>Perhitungan!D$4+Perhitungan!D$3*Return!$B79</f>
        <v>8.7374328765594412E-3</v>
      </c>
      <c r="F79">
        <f>Perhitungan!E$4+Perhitungan!E$3*Return!$B79</f>
        <v>7.3856797401623247E-3</v>
      </c>
      <c r="G79">
        <f>Perhitungan!F$4+Perhitungan!F$3*Return!$B79</f>
        <v>9.5898713048768319E-3</v>
      </c>
      <c r="H79">
        <f>Perhitungan!G$4+Perhitungan!G$3*Return!$B79</f>
        <v>6.4063955480071358E-3</v>
      </c>
      <c r="I79">
        <f>Perhitungan!H$4+Perhitungan!H$3*Return!$B79</f>
        <v>1.885344680448976E-3</v>
      </c>
      <c r="J79">
        <f>Perhitungan!I$4+Perhitungan!I$3*Return!$B79</f>
        <v>2.4823007972987823E-3</v>
      </c>
      <c r="K79">
        <f>Perhitungan!J$4+Perhitungan!J$3*Return!$B79</f>
        <v>9.6514651884675711E-3</v>
      </c>
      <c r="L79">
        <f>Perhitungan!K$4+Perhitungan!K$3*Return!$B79</f>
        <v>2.7302729661694549E-3</v>
      </c>
      <c r="M79">
        <f>Perhitungan!L$4+Perhitungan!L$3*Return!$B79</f>
        <v>1.3701484086578793E-2</v>
      </c>
      <c r="N79">
        <f>Perhitungan!M$4+Perhitungan!M$3*Return!$B79</f>
        <v>1.0236051694762986E-2</v>
      </c>
      <c r="O79">
        <f>Perhitungan!N$4+Perhitungan!N$3*Return!$B79</f>
        <v>4.2147700521745473E-3</v>
      </c>
      <c r="P79">
        <f>Perhitungan!O$4+Perhitungan!O$3*Return!$B79</f>
        <v>5.9028737180028372E-3</v>
      </c>
      <c r="Q79">
        <f>Perhitungan!P$4+Perhitungan!P$3*Return!$B79</f>
        <v>1.1417107813146917E-2</v>
      </c>
      <c r="R79">
        <f>Perhitungan!Q$4+Perhitungan!Q$3*Return!$B79</f>
        <v>4.3408632786705852E-3</v>
      </c>
      <c r="S79">
        <f>Perhitungan!R$4+Perhitungan!R$3*Return!$B79</f>
        <v>4.7194575901787919E-3</v>
      </c>
      <c r="T79">
        <f>Perhitungan!S$4+Perhitungan!S$3*Return!$B79</f>
        <v>6.1751688946054886E-3</v>
      </c>
      <c r="U79">
        <f>Perhitungan!T$4+Perhitungan!T$3*Return!$B79</f>
        <v>9.9392807780144289E-3</v>
      </c>
      <c r="V79">
        <f>Perhitungan!U$4+Perhitungan!U$3*Return!$B79</f>
        <v>8.09258032993917E-3</v>
      </c>
      <c r="W79">
        <f>Perhitungan!V$4+Perhitungan!V$3*Return!$B79</f>
        <v>1.9034558373919864E-2</v>
      </c>
      <c r="X79">
        <f>Perhitungan!W$4+Perhitungan!W$3*Return!$B79</f>
        <v>4.8946706984571058E-3</v>
      </c>
      <c r="Y79">
        <f>Perhitungan!X$4+Perhitungan!X$3*Return!$B79</f>
        <v>5.4471970219475904E-3</v>
      </c>
      <c r="Z79">
        <f>Perhitungan!Y$4+Perhitungan!Y$3*Return!$B79</f>
        <v>5.8336263653954671E-3</v>
      </c>
      <c r="AA79">
        <f>Perhitungan!Z$4+Perhitungan!Z$3*Return!$B79</f>
        <v>1.2674222676681252E-2</v>
      </c>
      <c r="AB79">
        <f>Perhitungan!AA$4+Perhitungan!AA$3*Return!$B79</f>
        <v>8.4427399876494894E-3</v>
      </c>
      <c r="AC79">
        <f>Perhitungan!AB$4+Perhitungan!AB$3*Return!$B79</f>
        <v>8.7683069440445231E-3</v>
      </c>
      <c r="AD79">
        <f>Perhitungan!AC$4+Perhitungan!AC$3*Return!$B79</f>
        <v>8.0751413677978886E-3</v>
      </c>
      <c r="AE79">
        <f>Perhitungan!AD$4+Perhitungan!AD$3*Return!$B79</f>
        <v>6.7180041902962784E-3</v>
      </c>
      <c r="AF79">
        <f>Perhitungan!AE$4+Perhitungan!AE$3*Return!$B79</f>
        <v>16.431108178960162</v>
      </c>
    </row>
    <row r="80" spans="1:32" x14ac:dyDescent="0.3">
      <c r="A80" s="1">
        <v>45968</v>
      </c>
      <c r="C80">
        <f>Perhitungan!B$4+Perhitungan!B$3*Return!$B80</f>
        <v>3.5194166611577904E-3</v>
      </c>
      <c r="D80">
        <f>Perhitungan!C$4+Perhitungan!C$3*Return!$B80</f>
        <v>7.0887524365804274E-3</v>
      </c>
      <c r="E80">
        <f>Perhitungan!D$4+Perhitungan!D$3*Return!$B80</f>
        <v>5.954058144014852E-3</v>
      </c>
      <c r="F80">
        <f>Perhitungan!E$4+Perhitungan!E$3*Return!$B80</f>
        <v>4.9766976973129352E-3</v>
      </c>
      <c r="G80">
        <f>Perhitungan!F$4+Perhitungan!F$3*Return!$B80</f>
        <v>7.0277707494128712E-3</v>
      </c>
      <c r="H80">
        <f>Perhitungan!G$4+Perhitungan!G$3*Return!$B80</f>
        <v>4.4929537582217016E-3</v>
      </c>
      <c r="I80">
        <f>Perhitungan!H$4+Perhitungan!H$3*Return!$B80</f>
        <v>6.7997761277173831E-4</v>
      </c>
      <c r="J80">
        <f>Perhitungan!I$4+Perhitungan!I$3*Return!$B80</f>
        <v>1.6653028620307606E-3</v>
      </c>
      <c r="K80">
        <f>Perhitungan!J$4+Perhitungan!J$3*Return!$B80</f>
        <v>6.9741628006347572E-3</v>
      </c>
      <c r="L80">
        <f>Perhitungan!K$4+Perhitungan!K$3*Return!$B80</f>
        <v>1.6970898002927305E-3</v>
      </c>
      <c r="M80">
        <f>Perhitungan!L$4+Perhitungan!L$3*Return!$B80</f>
        <v>1.0942007494784394E-2</v>
      </c>
      <c r="N80">
        <f>Perhitungan!M$4+Perhitungan!M$3*Return!$B80</f>
        <v>6.2345532148199434E-3</v>
      </c>
      <c r="O80">
        <f>Perhitungan!N$4+Perhitungan!N$3*Return!$B80</f>
        <v>2.7552034734964329E-3</v>
      </c>
      <c r="P80">
        <f>Perhitungan!O$4+Perhitungan!O$3*Return!$B80</f>
        <v>3.4014374940118065E-3</v>
      </c>
      <c r="Q80">
        <f>Perhitungan!P$4+Perhitungan!P$3*Return!$B80</f>
        <v>8.3925476269619218E-3</v>
      </c>
      <c r="R80">
        <f>Perhitungan!Q$4+Perhitungan!Q$3*Return!$B80</f>
        <v>2.6756174236312927E-3</v>
      </c>
      <c r="S80">
        <f>Perhitungan!R$4+Perhitungan!R$3*Return!$B80</f>
        <v>3.1722262742865529E-3</v>
      </c>
      <c r="T80">
        <f>Perhitungan!S$4+Perhitungan!S$3*Return!$B80</f>
        <v>4.5497339248663582E-3</v>
      </c>
      <c r="U80">
        <f>Perhitungan!T$4+Perhitungan!T$3*Return!$B80</f>
        <v>6.8230279554097658E-3</v>
      </c>
      <c r="V80">
        <f>Perhitungan!U$4+Perhitungan!U$3*Return!$B80</f>
        <v>5.4818907515069258E-3</v>
      </c>
      <c r="W80">
        <f>Perhitungan!V$4+Perhitungan!V$3*Return!$B80</f>
        <v>1.3637375866434704E-2</v>
      </c>
      <c r="X80">
        <f>Perhitungan!W$4+Perhitungan!W$3*Return!$B80</f>
        <v>1.8747734192720916E-3</v>
      </c>
      <c r="Y80">
        <f>Perhitungan!X$4+Perhitungan!X$3*Return!$B80</f>
        <v>3.1829866890990218E-3</v>
      </c>
      <c r="Z80">
        <f>Perhitungan!Y$4+Perhitungan!Y$3*Return!$B80</f>
        <v>3.6255018403342876E-3</v>
      </c>
      <c r="AA80">
        <f>Perhitungan!Z$4+Perhitungan!Z$3*Return!$B80</f>
        <v>9.3676465732245584E-3</v>
      </c>
      <c r="AB80">
        <f>Perhitungan!AA$4+Perhitungan!AA$3*Return!$B80</f>
        <v>5.4479753849281196E-3</v>
      </c>
      <c r="AC80">
        <f>Perhitungan!AB$4+Perhitungan!AB$3*Return!$B80</f>
        <v>6.3155657419585315E-3</v>
      </c>
      <c r="AD80">
        <f>Perhitungan!AC$4+Perhitungan!AC$3*Return!$B80</f>
        <v>5.3461254953696639E-3</v>
      </c>
      <c r="AE80">
        <f>Perhitungan!AD$4+Perhitungan!AD$3*Return!$B80</f>
        <v>4.5480726536649436E-3</v>
      </c>
      <c r="AF80">
        <f>Perhitungan!AE$4+Perhitungan!AE$3*Return!$B80</f>
        <v>16.511072446658154</v>
      </c>
    </row>
    <row r="81" spans="1:32" x14ac:dyDescent="0.3">
      <c r="A81" s="4" t="s">
        <v>46</v>
      </c>
      <c r="C81">
        <f>Perhitungan!B$4+Perhitungan!B$3*Return!$B81</f>
        <v>4.4198337515262195E-3</v>
      </c>
      <c r="D81">
        <f>Perhitungan!C$4+Perhitungan!C$3*Return!$B81</f>
        <v>8.1195666353963691E-3</v>
      </c>
      <c r="E81">
        <f>Perhitungan!D$4+Perhitungan!D$3*Return!$B81</f>
        <v>6.9799180596633349E-3</v>
      </c>
      <c r="F81">
        <f>Perhitungan!E$4+Perhitungan!E$3*Return!$B81</f>
        <v>5.8645688439396479E-3</v>
      </c>
      <c r="G81">
        <f>Perhitungan!F$4+Perhitungan!F$3*Return!$B81</f>
        <v>7.9720763181094449E-3</v>
      </c>
      <c r="H81">
        <f>Perhitungan!G$4+Perhitungan!G$3*Return!$B81</f>
        <v>5.1981851487765199E-3</v>
      </c>
      <c r="I81">
        <f>Perhitungan!H$4+Perhitungan!H$3*Return!$B81</f>
        <v>1.1242360677740852E-3</v>
      </c>
      <c r="J81">
        <f>Perhitungan!I$4+Perhitungan!I$3*Return!$B81</f>
        <v>1.9664212932499784E-3</v>
      </c>
      <c r="K81">
        <f>Perhitungan!J$4+Perhitungan!J$3*Return!$B81</f>
        <v>7.9609279564845196E-3</v>
      </c>
      <c r="L81">
        <f>Perhitungan!K$4+Perhitungan!K$3*Return!$B81</f>
        <v>2.0778869610209795E-3</v>
      </c>
      <c r="M81">
        <f>Perhitungan!L$4+Perhitungan!L$3*Return!$B81</f>
        <v>1.1959059345759625E-2</v>
      </c>
      <c r="N81">
        <f>Perhitungan!M$4+Perhitungan!M$3*Return!$B81</f>
        <v>7.7093732759150185E-3</v>
      </c>
      <c r="O81">
        <f>Perhitungan!N$4+Perhitungan!N$3*Return!$B81</f>
        <v>3.2931514651120706E-3</v>
      </c>
      <c r="P81">
        <f>Perhitungan!O$4+Perhitungan!O$3*Return!$B81</f>
        <v>4.3233841955245857E-3</v>
      </c>
      <c r="Q81">
        <f>Perhitungan!P$4+Perhitungan!P$3*Return!$B81</f>
        <v>9.5073005278898219E-3</v>
      </c>
      <c r="R81">
        <f>Perhitungan!Q$4+Perhitungan!Q$3*Return!$B81</f>
        <v>3.2893719973184801E-3</v>
      </c>
      <c r="S81">
        <f>Perhitungan!R$4+Perhitungan!R$3*Return!$B81</f>
        <v>3.7424845900825114E-3</v>
      </c>
      <c r="T81">
        <f>Perhitungan!S$4+Perhitungan!S$3*Return!$B81</f>
        <v>5.148815522271053E-3</v>
      </c>
      <c r="U81">
        <f>Perhitungan!T$4+Perhitungan!T$3*Return!$B81</f>
        <v>7.9715757310138014E-3</v>
      </c>
      <c r="V81">
        <f>Perhitungan!U$4+Perhitungan!U$3*Return!$B81</f>
        <v>6.4441046278492006E-3</v>
      </c>
      <c r="W81">
        <f>Perhitungan!V$4+Perhitungan!V$3*Return!$B81</f>
        <v>1.5626598922579372E-2</v>
      </c>
      <c r="X81">
        <f>Perhitungan!W$4+Perhitungan!W$3*Return!$B81</f>
        <v>2.9878077268227698E-3</v>
      </c>
      <c r="Y81">
        <f>Perhitungan!X$4+Perhitungan!X$3*Return!$B81</f>
        <v>4.0174997691768029E-3</v>
      </c>
      <c r="Z81">
        <f>Perhitungan!Y$4+Perhitungan!Y$3*Return!$B81</f>
        <v>4.4393435457052762E-3</v>
      </c>
      <c r="AA81">
        <f>Perhitungan!Z$4+Perhitungan!Z$3*Return!$B81</f>
        <v>1.0586341218582748E-2</v>
      </c>
      <c r="AB81">
        <f>Perhitungan!AA$4+Perhitungan!AA$3*Return!$B81</f>
        <v>6.5517466187519462E-3</v>
      </c>
      <c r="AC81">
        <f>Perhitungan!AB$4+Perhitungan!AB$3*Return!$B81</f>
        <v>7.2195650681215542E-3</v>
      </c>
      <c r="AD81">
        <f>Perhitungan!AC$4+Perhitungan!AC$3*Return!$B81</f>
        <v>6.3519505321347194E-3</v>
      </c>
      <c r="AE81">
        <f>Perhitungan!AD$4+Perhitungan!AD$3*Return!$B81</f>
        <v>5.3478376860565868E-3</v>
      </c>
      <c r="AF81">
        <f>Perhitungan!AE$4+Perhitungan!AE$3*Return!$B81</f>
        <v>16.481600260984987</v>
      </c>
    </row>
    <row r="82" spans="1:32" x14ac:dyDescent="0.3">
      <c r="A82" s="3" t="s">
        <v>47</v>
      </c>
      <c r="C82">
        <f>Perhitungan!B$4+Perhitungan!B$3*Return!$B82</f>
        <v>3.6039972540892052E-3</v>
      </c>
      <c r="D82">
        <f>Perhitungan!C$4+Perhitungan!C$3*Return!$B82</f>
        <v>7.1855818693739556E-3</v>
      </c>
      <c r="E82">
        <f>Perhitungan!D$4+Perhitungan!D$3*Return!$B82</f>
        <v>6.0504221966947236E-3</v>
      </c>
      <c r="F82">
        <f>Perhitungan!E$4+Perhitungan!E$3*Return!$B82</f>
        <v>5.0600997882235543E-3</v>
      </c>
      <c r="G82">
        <f>Perhitungan!F$4+Perhitungan!F$3*Return!$B82</f>
        <v>7.1164740023421467E-3</v>
      </c>
      <c r="H82">
        <f>Perhitungan!G$4+Perhitungan!G$3*Return!$B82</f>
        <v>4.5591996011816191E-3</v>
      </c>
      <c r="I82">
        <f>Perhitungan!H$4+Perhitungan!H$3*Return!$B82</f>
        <v>7.2170898808750173E-4</v>
      </c>
      <c r="J82">
        <f>Perhitungan!I$4+Perhitungan!I$3*Return!$B82</f>
        <v>1.693588392955854E-3</v>
      </c>
      <c r="K82">
        <f>Perhitungan!J$4+Perhitungan!J$3*Return!$B82</f>
        <v>7.0668544908065664E-3</v>
      </c>
      <c r="L82">
        <f>Perhitungan!K$4+Perhitungan!K$3*Return!$B82</f>
        <v>1.7328599450240083E-3</v>
      </c>
      <c r="M82">
        <f>Perhitungan!L$4+Perhitungan!L$3*Return!$B82</f>
        <v>1.1037544162754877E-2</v>
      </c>
      <c r="N82">
        <f>Perhitungan!M$4+Perhitungan!M$3*Return!$B82</f>
        <v>6.3730902956560323E-3</v>
      </c>
      <c r="O82">
        <f>Perhitungan!N$4+Perhitungan!N$3*Return!$B82</f>
        <v>2.8057355664384905E-3</v>
      </c>
      <c r="P82">
        <f>Perhitungan!O$4+Perhitungan!O$3*Return!$B82</f>
        <v>3.4880404688989296E-3</v>
      </c>
      <c r="Q82">
        <f>Perhitungan!P$4+Perhitungan!P$3*Return!$B82</f>
        <v>8.4972618336790744E-3</v>
      </c>
      <c r="R82">
        <f>Perhitungan!Q$4+Perhitungan!Q$3*Return!$B82</f>
        <v>2.7332704005817738E-3</v>
      </c>
      <c r="S82">
        <f>Perhitungan!R$4+Perhitungan!R$3*Return!$B82</f>
        <v>3.2257934344282566E-3</v>
      </c>
      <c r="T82">
        <f>Perhitungan!S$4+Perhitungan!S$3*Return!$B82</f>
        <v>4.6060085971985493E-3</v>
      </c>
      <c r="U82">
        <f>Perhitungan!T$4+Perhitungan!T$3*Return!$B82</f>
        <v>6.9309166804348513E-3</v>
      </c>
      <c r="V82">
        <f>Perhitungan!U$4+Perhitungan!U$3*Return!$B82</f>
        <v>5.5722762195954591E-3</v>
      </c>
      <c r="W82">
        <f>Perhitungan!V$4+Perhitungan!V$3*Return!$B82</f>
        <v>1.3824233343221061E-2</v>
      </c>
      <c r="X82">
        <f>Perhitungan!W$4+Perhitungan!W$3*Return!$B82</f>
        <v>1.9793261900853633E-3</v>
      </c>
      <c r="Y82">
        <f>Perhitungan!X$4+Perhitungan!X$3*Return!$B82</f>
        <v>3.2613765951514701E-3</v>
      </c>
      <c r="Z82">
        <f>Perhitungan!Y$4+Perhitungan!Y$3*Return!$B82</f>
        <v>3.7019499827883879E-3</v>
      </c>
      <c r="AA82">
        <f>Perhitungan!Z$4+Perhitungan!Z$3*Return!$B82</f>
        <v>9.4821245377249425E-3</v>
      </c>
      <c r="AB82">
        <f>Perhitungan!AA$4+Perhitungan!AA$3*Return!$B82</f>
        <v>5.5516580298002405E-3</v>
      </c>
      <c r="AC82">
        <f>Perhitungan!AB$4+Perhitungan!AB$3*Return!$B82</f>
        <v>6.4004828318653673E-3</v>
      </c>
      <c r="AD82">
        <f>Perhitungan!AC$4+Perhitungan!AC$3*Return!$B82</f>
        <v>5.4406075736252429E-3</v>
      </c>
      <c r="AE82">
        <f>Perhitungan!AD$4+Perhitungan!AD$3*Return!$B82</f>
        <v>4.6231985051942825E-3</v>
      </c>
      <c r="AF82">
        <f>Perhitungan!AE$4+Perhitungan!AE$3*Return!$B82</f>
        <v>16.508303979726676</v>
      </c>
    </row>
    <row r="83" spans="1:32" x14ac:dyDescent="0.3">
      <c r="A83" s="4" t="s">
        <v>48</v>
      </c>
      <c r="C83">
        <f>Perhitungan!B$4+Perhitungan!B$3*Return!$B83</f>
        <v>4.5622430195298418E-3</v>
      </c>
      <c r="D83">
        <f>Perhitungan!C$4+Perhitungan!C$3*Return!$B83</f>
        <v>8.2825994088425656E-3</v>
      </c>
      <c r="E83">
        <f>Perhitungan!D$4+Perhitungan!D$3*Return!$B83</f>
        <v>7.1421672675298599E-3</v>
      </c>
      <c r="F83">
        <f>Perhitungan!E$4+Perhitungan!E$3*Return!$B83</f>
        <v>6.0049938552207095E-3</v>
      </c>
      <c r="G83">
        <f>Perhitungan!F$4+Perhitungan!F$3*Return!$B83</f>
        <v>8.1214269537740764E-3</v>
      </c>
      <c r="H83">
        <f>Perhitungan!G$4+Perhitungan!G$3*Return!$B83</f>
        <v>5.3097239980235897E-3</v>
      </c>
      <c r="I83">
        <f>Perhitungan!H$4+Perhitungan!H$3*Return!$B83</f>
        <v>1.1944996401318884E-3</v>
      </c>
      <c r="J83">
        <f>Perhitungan!I$4+Perhitungan!I$3*Return!$B83</f>
        <v>2.0140459505682681E-3</v>
      </c>
      <c r="K83">
        <f>Perhitungan!J$4+Perhitungan!J$3*Return!$B83</f>
        <v>8.1169939674912029E-3</v>
      </c>
      <c r="L83">
        <f>Perhitungan!K$4+Perhitungan!K$3*Return!$B83</f>
        <v>2.1381135443424696E-3</v>
      </c>
      <c r="M83">
        <f>Perhitungan!L$4+Perhitungan!L$3*Return!$B83</f>
        <v>1.2119915476955279E-2</v>
      </c>
      <c r="N83">
        <f>Perhitungan!M$4+Perhitungan!M$3*Return!$B83</f>
        <v>7.9426296718500076E-3</v>
      </c>
      <c r="O83">
        <f>Perhitungan!N$4+Perhitungan!N$3*Return!$B83</f>
        <v>3.3782329018478569E-3</v>
      </c>
      <c r="P83">
        <f>Perhitungan!O$4+Perhitungan!O$3*Return!$B83</f>
        <v>4.4691985701129965E-3</v>
      </c>
      <c r="Q83">
        <f>Perhitungan!P$4+Perhitungan!P$3*Return!$B83</f>
        <v>9.6836089812990071E-3</v>
      </c>
      <c r="R83">
        <f>Perhitungan!Q$4+Perhitungan!Q$3*Return!$B83</f>
        <v>3.3864429442247682E-3</v>
      </c>
      <c r="S83">
        <f>Perhitungan!R$4+Perhitungan!R$3*Return!$B83</f>
        <v>3.8326762026076044E-3</v>
      </c>
      <c r="T83">
        <f>Perhitungan!S$4+Perhitungan!S$3*Return!$B83</f>
        <v>5.2435658026393824E-3</v>
      </c>
      <c r="U83">
        <f>Perhitungan!T$4+Perhitungan!T$3*Return!$B83</f>
        <v>8.1532291555662315E-3</v>
      </c>
      <c r="V83">
        <f>Perhitungan!U$4+Perhitungan!U$3*Return!$B83</f>
        <v>6.5962876275485558E-3</v>
      </c>
      <c r="W83">
        <f>Perhitungan!V$4+Perhitungan!V$3*Return!$B83</f>
        <v>1.5941212896871639E-2</v>
      </c>
      <c r="X83">
        <f>Perhitungan!W$4+Perhitungan!W$3*Return!$B83</f>
        <v>3.1638443688375879E-3</v>
      </c>
      <c r="Y83">
        <f>Perhitungan!X$4+Perhitungan!X$3*Return!$B83</f>
        <v>4.1494857100752569E-3</v>
      </c>
      <c r="Z83">
        <f>Perhitungan!Y$4+Perhitungan!Y$3*Return!$B83</f>
        <v>4.568060118027642E-3</v>
      </c>
      <c r="AA83">
        <f>Perhitungan!Z$4+Perhitungan!Z$3*Return!$B83</f>
        <v>1.0779089017599289E-2</v>
      </c>
      <c r="AB83">
        <f>Perhitungan!AA$4+Perhitungan!AA$3*Return!$B83</f>
        <v>6.7263182202172067E-3</v>
      </c>
      <c r="AC83">
        <f>Perhitungan!AB$4+Perhitungan!AB$3*Return!$B83</f>
        <v>7.3625408997574993E-3</v>
      </c>
      <c r="AD83">
        <f>Perhitungan!AC$4+Perhitungan!AC$3*Return!$B83</f>
        <v>6.5110310391104575E-3</v>
      </c>
      <c r="AE83">
        <f>Perhitungan!AD$4+Perhitungan!AD$3*Return!$B83</f>
        <v>5.4743279027084993E-3</v>
      </c>
      <c r="AF83">
        <f>Perhitungan!AE$4+Perhitungan!AE$3*Return!$B83</f>
        <v>16.476938962978675</v>
      </c>
    </row>
    <row r="84" spans="1:32" x14ac:dyDescent="0.3">
      <c r="A84" s="3" t="s">
        <v>49</v>
      </c>
      <c r="C84">
        <f>Perhitungan!B$4+Perhitungan!B$3*Return!$B84</f>
        <v>9.7072892672774753E-3</v>
      </c>
      <c r="D84">
        <f>Perhitungan!C$4+Perhitungan!C$3*Return!$B84</f>
        <v>1.4172743856870361E-2</v>
      </c>
      <c r="E84">
        <f>Perhitungan!D$4+Perhitungan!D$3*Return!$B84</f>
        <v>1.3004002594936026E-2</v>
      </c>
      <c r="F84">
        <f>Perhitungan!E$4+Perhitungan!E$3*Return!$B84</f>
        <v>1.1078351702711124E-2</v>
      </c>
      <c r="G84">
        <f>Perhitungan!F$4+Perhitungan!F$3*Return!$B84</f>
        <v>1.351725503713655E-2</v>
      </c>
      <c r="H84">
        <f>Perhitungan!G$4+Perhitungan!G$3*Return!$B84</f>
        <v>9.3394655018007346E-3</v>
      </c>
      <c r="I84">
        <f>Perhitungan!H$4+Perhitungan!H$3*Return!$B84</f>
        <v>3.7330235324368635E-3</v>
      </c>
      <c r="J84">
        <f>Perhitungan!I$4+Perhitungan!I$3*Return!$B84</f>
        <v>3.7346577328681435E-3</v>
      </c>
      <c r="K84">
        <f>Perhitungan!J$4+Perhitungan!J$3*Return!$B84</f>
        <v>1.3755439102329282E-2</v>
      </c>
      <c r="L84">
        <f>Perhitungan!K$4+Perhitungan!K$3*Return!$B84</f>
        <v>4.3140151613988093E-3</v>
      </c>
      <c r="M84">
        <f>Perhitungan!L$4+Perhitungan!L$3*Return!$B84</f>
        <v>1.7931420906604302E-2</v>
      </c>
      <c r="N84">
        <f>Perhitungan!M$4+Perhitungan!M$3*Return!$B84</f>
        <v>1.6369854679690897E-2</v>
      </c>
      <c r="O84">
        <f>Perhitungan!N$4+Perhitungan!N$3*Return!$B84</f>
        <v>6.4521053609022574E-3</v>
      </c>
      <c r="P84">
        <f>Perhitungan!O$4+Perhitungan!O$3*Return!$B84</f>
        <v>9.7372665221558876E-3</v>
      </c>
      <c r="Q84">
        <f>Perhitungan!P$4+Perhitungan!P$3*Return!$B84</f>
        <v>1.6053385045565034E-2</v>
      </c>
      <c r="R84">
        <f>Perhitungan!Q$4+Perhitungan!Q$3*Return!$B84</f>
        <v>6.8934795166815596E-3</v>
      </c>
      <c r="S84">
        <f>Perhitungan!R$4+Perhitungan!R$3*Return!$B84</f>
        <v>7.0911721144659131E-3</v>
      </c>
      <c r="T84">
        <f>Perhitungan!S$4+Perhitungan!S$3*Return!$B84</f>
        <v>8.6667599620932848E-3</v>
      </c>
      <c r="U84">
        <f>Perhitungan!T$4+Perhitungan!T$3*Return!$B84</f>
        <v>1.4716111498028739E-2</v>
      </c>
      <c r="V84">
        <f>Perhitungan!U$4+Perhitungan!U$3*Return!$B84</f>
        <v>1.209444503366781E-2</v>
      </c>
      <c r="W84">
        <f>Perhitungan!V$4+Perhitungan!V$3*Return!$B84</f>
        <v>2.7307772606175271E-2</v>
      </c>
      <c r="X84">
        <f>Perhitungan!W$4+Perhitungan!W$3*Return!$B84</f>
        <v>9.5238002703129931E-3</v>
      </c>
      <c r="Y84">
        <f>Perhitungan!X$4+Perhitungan!X$3*Return!$B84</f>
        <v>8.9179518323627225E-3</v>
      </c>
      <c r="Z84">
        <f>Perhitungan!Y$4+Perhitungan!Y$3*Return!$B84</f>
        <v>9.2184085590664641E-3</v>
      </c>
      <c r="AA84">
        <f>Perhitungan!Z$4+Perhitungan!Z$3*Return!$B84</f>
        <v>1.7742795481327841E-2</v>
      </c>
      <c r="AB84">
        <f>Perhitungan!AA$4+Perhitungan!AA$3*Return!$B84</f>
        <v>1.3033344270370659E-2</v>
      </c>
      <c r="AC84">
        <f>Perhitungan!AB$4+Perhitungan!AB$3*Return!$B84</f>
        <v>1.2528056293449462E-2</v>
      </c>
      <c r="AD84">
        <f>Perhitungan!AC$4+Perhitungan!AC$3*Return!$B84</f>
        <v>1.2258385666932083E-2</v>
      </c>
      <c r="AE84">
        <f>Perhitungan!AD$4+Perhitungan!AD$3*Return!$B84</f>
        <v>1.004424124953613E-2</v>
      </c>
      <c r="AF84">
        <f>Perhitungan!AE$4+Perhitungan!AE$3*Return!$B84</f>
        <v>16.308532832161461</v>
      </c>
    </row>
    <row r="85" spans="1:32" x14ac:dyDescent="0.3">
      <c r="A85" s="4" t="s">
        <v>50</v>
      </c>
      <c r="C85">
        <f>Perhitungan!B$4+Perhitungan!B$3*Return!$B85</f>
        <v>1.2960522087433241E-3</v>
      </c>
      <c r="D85">
        <f>Perhitungan!C$4+Perhitungan!C$3*Return!$B85</f>
        <v>4.5434035408218158E-3</v>
      </c>
      <c r="E85">
        <f>Perhitungan!D$4+Perhitungan!D$3*Return!$B85</f>
        <v>3.4209426645247128E-3</v>
      </c>
      <c r="F85">
        <f>Perhitungan!E$4+Perhitungan!E$3*Return!$B85</f>
        <v>2.7843124495756165E-3</v>
      </c>
      <c r="G85">
        <f>Perhitungan!F$4+Perhitungan!F$3*Return!$B85</f>
        <v>4.6960342062982736E-3</v>
      </c>
      <c r="H85">
        <f>Perhitungan!G$4+Perhitungan!G$3*Return!$B85</f>
        <v>2.7515536656881126E-3</v>
      </c>
      <c r="I85">
        <f>Perhitungan!H$4+Perhitungan!H$3*Return!$B85</f>
        <v>-4.1701229013273297E-4</v>
      </c>
      <c r="J85">
        <f>Perhitungan!I$4+Perhitungan!I$3*Return!$B85</f>
        <v>9.2176298134537976E-4</v>
      </c>
      <c r="K85">
        <f>Perhitungan!J$4+Perhitungan!J$3*Return!$B85</f>
        <v>4.537582471512089E-3</v>
      </c>
      <c r="L85">
        <f>Perhitungan!K$4+Perhitungan!K$3*Return!$B85</f>
        <v>7.5680237150001694E-4</v>
      </c>
      <c r="M85">
        <f>Perhitungan!L$4+Perhitungan!L$3*Return!$B85</f>
        <v>8.4306414224285201E-3</v>
      </c>
      <c r="N85">
        <f>Perhitungan!M$4+Perhitungan!M$3*Return!$B85</f>
        <v>2.5928381334182696E-3</v>
      </c>
      <c r="O85">
        <f>Perhitungan!N$4+Perhitungan!N$3*Return!$B85</f>
        <v>1.4268696884096048E-3</v>
      </c>
      <c r="P85">
        <f>Perhitungan!O$4+Perhitungan!O$3*Return!$B85</f>
        <v>1.1249108208835296E-3</v>
      </c>
      <c r="Q85">
        <f>Perhitungan!P$4+Perhitungan!P$3*Return!$B85</f>
        <v>5.6399322005545299E-3</v>
      </c>
      <c r="R85">
        <f>Perhitungan!Q$4+Perhitungan!Q$3*Return!$B85</f>
        <v>1.1600974315745826E-3</v>
      </c>
      <c r="S85">
        <f>Perhitungan!R$4+Perhitungan!R$3*Return!$B85</f>
        <v>1.7641098784552777E-3</v>
      </c>
      <c r="T85">
        <f>Perhitungan!S$4+Perhitungan!S$3*Return!$B85</f>
        <v>3.0704453351526064E-3</v>
      </c>
      <c r="U85">
        <f>Perhitungan!T$4+Perhitungan!T$3*Return!$B85</f>
        <v>3.9869641761973674E-3</v>
      </c>
      <c r="V85">
        <f>Perhitungan!U$4+Perhitungan!U$3*Return!$B85</f>
        <v>3.1059339297589386E-3</v>
      </c>
      <c r="W85">
        <f>Perhitungan!V$4+Perhitungan!V$3*Return!$B85</f>
        <v>8.7254657324926377E-3</v>
      </c>
      <c r="X85">
        <f>Perhitungan!W$4+Perhitungan!W$3*Return!$B85</f>
        <v>-8.7359835220699941E-4</v>
      </c>
      <c r="Y85">
        <f>Perhitungan!X$4+Perhitungan!X$3*Return!$B85</f>
        <v>1.1223564132335916E-3</v>
      </c>
      <c r="Z85">
        <f>Perhitungan!Y$4+Perhitungan!Y$3*Return!$B85</f>
        <v>1.6159145757546792E-3</v>
      </c>
      <c r="AA85">
        <f>Perhitungan!Z$4+Perhitungan!Z$3*Return!$B85</f>
        <v>6.3583718917227354E-3</v>
      </c>
      <c r="AB85">
        <f>Perhitungan!AA$4+Perhitungan!AA$3*Return!$B85</f>
        <v>2.722476556515834E-3</v>
      </c>
      <c r="AC85">
        <f>Perhitungan!AB$4+Perhitungan!AB$3*Return!$B85</f>
        <v>4.0833558158063256E-3</v>
      </c>
      <c r="AD85">
        <f>Perhitungan!AC$4+Perhitungan!AC$3*Return!$B85</f>
        <v>2.8624813531012722E-3</v>
      </c>
      <c r="AE85">
        <f>Perhitungan!AD$4+Perhitungan!AD$3*Return!$B85</f>
        <v>2.5732443631711482E-3</v>
      </c>
      <c r="AF85">
        <f>Perhitungan!AE$4+Perhitungan!AE$3*Return!$B85</f>
        <v>16.583846953785581</v>
      </c>
    </row>
    <row r="86" spans="1:32" x14ac:dyDescent="0.3">
      <c r="A86" s="3" t="s">
        <v>51</v>
      </c>
      <c r="C86">
        <f>Perhitungan!B$4+Perhitungan!B$3*Return!$B86</f>
        <v>8.4956530772794352E-3</v>
      </c>
      <c r="D86">
        <f>Perhitungan!C$4+Perhitungan!C$3*Return!$B86</f>
        <v>1.2785640255873426E-2</v>
      </c>
      <c r="E86">
        <f>Perhitungan!D$4+Perhitungan!D$3*Return!$B86</f>
        <v>1.1623565669689034E-2</v>
      </c>
      <c r="F86">
        <f>Perhitungan!E$4+Perhitungan!E$3*Return!$B86</f>
        <v>9.8835978216316352E-3</v>
      </c>
      <c r="G86">
        <f>Perhitungan!F$4+Perhitungan!F$3*Return!$B86</f>
        <v>1.224656080699784E-2</v>
      </c>
      <c r="H86">
        <f>Perhitungan!G$4+Perhitungan!G$3*Return!$B86</f>
        <v>8.390478766365464E-3</v>
      </c>
      <c r="I86">
        <f>Perhitungan!H$4+Perhitungan!H$3*Return!$B86</f>
        <v>3.1352121097625025E-3</v>
      </c>
      <c r="J86">
        <f>Perhitungan!I$4+Perhitungan!I$3*Return!$B86</f>
        <v>3.3294610827342003E-3</v>
      </c>
      <c r="K86">
        <f>Perhitungan!J$4+Perhitungan!J$3*Return!$B86</f>
        <v>1.2427609603482902E-2</v>
      </c>
      <c r="L86">
        <f>Perhitungan!K$4+Perhitungan!K$3*Return!$B86</f>
        <v>3.8015997197971205E-3</v>
      </c>
      <c r="M86">
        <f>Perhitungan!L$4+Perhitungan!L$3*Return!$B86</f>
        <v>1.6562836455100989E-2</v>
      </c>
      <c r="N86">
        <f>Perhitungan!M$4+Perhitungan!M$3*Return!$B86</f>
        <v>1.4385279554593327E-2</v>
      </c>
      <c r="O86">
        <f>Perhitungan!N$4+Perhitungan!N$3*Return!$B86</f>
        <v>5.728221660836582E-3</v>
      </c>
      <c r="P86">
        <f>Perhitungan!O$4+Perhitungan!O$3*Return!$B86</f>
        <v>8.4966592516462543E-3</v>
      </c>
      <c r="Q86">
        <f>Perhitungan!P$4+Perhitungan!P$3*Return!$B86</f>
        <v>1.4553330268598418E-2</v>
      </c>
      <c r="R86">
        <f>Perhitungan!Q$4+Perhitungan!Q$3*Return!$B86</f>
        <v>6.0675875370525059E-3</v>
      </c>
      <c r="S86">
        <f>Perhitungan!R$4+Perhitungan!R$3*Return!$B86</f>
        <v>6.3238103879320511E-3</v>
      </c>
      <c r="T86">
        <f>Perhitungan!S$4+Perhitungan!S$3*Return!$B86</f>
        <v>7.8606125089387066E-3</v>
      </c>
      <c r="U86">
        <f>Perhitungan!T$4+Perhitungan!T$3*Return!$B86</f>
        <v>1.3170581025818157E-2</v>
      </c>
      <c r="V86">
        <f>Perhitungan!U$4+Perhitungan!U$3*Return!$B86</f>
        <v>1.0799652689580294E-2</v>
      </c>
      <c r="W86">
        <f>Perhitungan!V$4+Perhitungan!V$3*Return!$B86</f>
        <v>2.4630996842382097E-2</v>
      </c>
      <c r="X86">
        <f>Perhitungan!W$4+Perhitungan!W$3*Return!$B86</f>
        <v>8.0260580993086646E-3</v>
      </c>
      <c r="Y86">
        <f>Perhitungan!X$4+Perhitungan!X$3*Return!$B86</f>
        <v>7.7949986369327661E-3</v>
      </c>
      <c r="Z86">
        <f>Perhitungan!Y$4+Perhitungan!Y$3*Return!$B86</f>
        <v>8.1232715678819338E-3</v>
      </c>
      <c r="AA86">
        <f>Perhitungan!Z$4+Perhitungan!Z$3*Return!$B86</f>
        <v>1.6102872658151957E-2</v>
      </c>
      <c r="AB86">
        <f>Perhitungan!AA$4+Perhitungan!AA$3*Return!$B86</f>
        <v>1.1548066850955488E-2</v>
      </c>
      <c r="AC86">
        <f>Perhitungan!AB$4+Perhitungan!AB$3*Return!$B86</f>
        <v>1.1311599707907776E-2</v>
      </c>
      <c r="AD86">
        <f>Perhitungan!AC$4+Perhitungan!AC$3*Return!$B86</f>
        <v>1.0904908452442529E-2</v>
      </c>
      <c r="AE86">
        <f>Perhitungan!AD$4+Perhitungan!AD$3*Return!$B86</f>
        <v>8.9680463759535239E-3</v>
      </c>
      <c r="AF86">
        <f>Perhitungan!AE$4+Perhitungan!AE$3*Return!$B86</f>
        <v>16.34819174928101</v>
      </c>
    </row>
    <row r="87" spans="1:32" x14ac:dyDescent="0.3">
      <c r="A87" s="4" t="s">
        <v>52</v>
      </c>
      <c r="C87">
        <f>Perhitungan!B$4+Perhitungan!B$3*Return!$B87</f>
        <v>-7.8450869642518895E-3</v>
      </c>
      <c r="D87">
        <f>Perhitungan!C$4+Perhitungan!C$3*Return!$B87</f>
        <v>-5.9215422644832453E-3</v>
      </c>
      <c r="E87">
        <f>Perhitungan!D$4+Perhitungan!D$3*Return!$B87</f>
        <v>-6.9937066810389645E-3</v>
      </c>
      <c r="F87">
        <f>Perhitungan!E$4+Perhitungan!E$3*Return!$B87</f>
        <v>-6.2294588413276701E-3</v>
      </c>
      <c r="G87">
        <f>Perhitungan!F$4+Perhitungan!F$3*Return!$B87</f>
        <v>-4.8906659103751492E-3</v>
      </c>
      <c r="H87">
        <f>Perhitungan!G$4+Perhitungan!G$3*Return!$B87</f>
        <v>-4.4080375495216505E-3</v>
      </c>
      <c r="I87">
        <f>Perhitungan!H$4+Perhitungan!H$3*Return!$B87</f>
        <v>-4.9271758680970385E-3</v>
      </c>
      <c r="J87">
        <f>Perhitungan!I$4+Perhitungan!I$3*Return!$B87</f>
        <v>-2.1352264036546024E-3</v>
      </c>
      <c r="K87">
        <f>Perhitungan!J$4+Perhitungan!J$3*Return!$B87</f>
        <v>-5.480172319208461E-3</v>
      </c>
      <c r="L87">
        <f>Perhitungan!K$4+Perhitungan!K$3*Return!$B87</f>
        <v>-3.1090947556569565E-3</v>
      </c>
      <c r="M87">
        <f>Perhitungan!L$4+Perhitungan!L$3*Return!$B87</f>
        <v>-1.8945874246970541E-3</v>
      </c>
      <c r="N87">
        <f>Perhitungan!M$4+Perhitungan!M$3*Return!$B87</f>
        <v>-1.2379706899105569E-2</v>
      </c>
      <c r="O87">
        <f>Perhitungan!N$4+Perhitungan!N$3*Return!$B87</f>
        <v>-4.0344409772727855E-3</v>
      </c>
      <c r="P87">
        <f>Perhitungan!O$4+Perhitungan!O$3*Return!$B87</f>
        <v>-8.2347994720028458E-3</v>
      </c>
      <c r="Q87">
        <f>Perhitungan!P$4+Perhitungan!P$3*Return!$B87</f>
        <v>-5.6771690849314257E-3</v>
      </c>
      <c r="R87">
        <f>Perhitungan!Q$4+Perhitungan!Q$3*Return!$B87</f>
        <v>-5.0708104844904931E-3</v>
      </c>
      <c r="S87">
        <f>Perhitungan!R$4+Perhitungan!R$3*Return!$B87</f>
        <v>-4.025218961489053E-3</v>
      </c>
      <c r="T87">
        <f>Perhitungan!S$4+Perhitungan!S$3*Return!$B87</f>
        <v>-3.0115008167311136E-3</v>
      </c>
      <c r="U87">
        <f>Perhitungan!T$4+Perhitungan!T$3*Return!$B87</f>
        <v>-7.6732266130896381E-3</v>
      </c>
      <c r="V87">
        <f>Perhitungan!U$4+Perhitungan!U$3*Return!$B87</f>
        <v>-6.6625734119141761E-3</v>
      </c>
      <c r="W87">
        <f>Perhitungan!V$4+Perhitungan!V$3*Return!$B87</f>
        <v>-1.1469358418289423E-2</v>
      </c>
      <c r="X87">
        <f>Perhitungan!W$4+Perhitungan!W$3*Return!$B87</f>
        <v>-1.2173252277562843E-2</v>
      </c>
      <c r="Y87">
        <f>Perhitungan!X$4+Perhitungan!X$3*Return!$B87</f>
        <v>-7.349717571451142E-3</v>
      </c>
      <c r="Z87">
        <f>Perhitungan!Y$4+Perhitungan!Y$3*Return!$B87</f>
        <v>-6.6463012053117661E-3</v>
      </c>
      <c r="AA87">
        <f>Perhitungan!Z$4+Perhitungan!Z$3*Return!$B87</f>
        <v>-6.0139580893140794E-3</v>
      </c>
      <c r="AB87">
        <f>Perhitungan!AA$4+Perhitungan!AA$3*Return!$B87</f>
        <v>-8.483137565494854E-3</v>
      </c>
      <c r="AC87">
        <f>Perhitungan!AB$4+Perhitungan!AB$3*Return!$B87</f>
        <v>-5.094150632198589E-3</v>
      </c>
      <c r="AD87">
        <f>Perhitungan!AC$4+Perhitungan!AC$3*Return!$B87</f>
        <v>-7.3487715685755873E-3</v>
      </c>
      <c r="AE87">
        <f>Perhitungan!AD$4+Perhitungan!AD$3*Return!$B87</f>
        <v>-5.5460633942989368E-3</v>
      </c>
      <c r="AF87">
        <f>Perhitungan!AE$4+Perhitungan!AE$3*Return!$B87</f>
        <v>16.883052015364907</v>
      </c>
    </row>
    <row r="88" spans="1:32" x14ac:dyDescent="0.3">
      <c r="A88" s="3" t="s">
        <v>53</v>
      </c>
      <c r="C88">
        <f>Perhitungan!B$4+Perhitungan!B$3*Return!$B88</f>
        <v>1.2920293598999075E-2</v>
      </c>
      <c r="D88">
        <f>Perhitungan!C$4+Perhitungan!C$3*Return!$B88</f>
        <v>1.7851050856397162E-2</v>
      </c>
      <c r="E88">
        <f>Perhitungan!D$4+Perhitungan!D$3*Return!$B88</f>
        <v>1.6664630972579822E-2</v>
      </c>
      <c r="F88">
        <f>Perhitungan!E$4+Perhitungan!E$3*Return!$B88</f>
        <v>1.4246587702046697E-2</v>
      </c>
      <c r="G88">
        <f>Perhitungan!F$4+Perhitungan!F$3*Return!$B88</f>
        <v>1.6886868869598851E-2</v>
      </c>
      <c r="H88">
        <f>Perhitungan!G$4+Perhitungan!G$3*Return!$B88</f>
        <v>1.1855978723236285E-2</v>
      </c>
      <c r="I88">
        <f>Perhitungan!H$4+Perhitungan!H$3*Return!$B88</f>
        <v>5.3182936873407711E-3</v>
      </c>
      <c r="J88">
        <f>Perhitungan!I$4+Perhitungan!I$3*Return!$B88</f>
        <v>4.8091540237733777E-3</v>
      </c>
      <c r="K88">
        <f>Perhitungan!J$4+Perhitungan!J$3*Return!$B88</f>
        <v>1.7276563650109624E-2</v>
      </c>
      <c r="L88">
        <f>Perhitungan!K$4+Perhitungan!K$3*Return!$B88</f>
        <v>5.6728331358849686E-3</v>
      </c>
      <c r="M88">
        <f>Perhitungan!L$4+Perhitungan!L$3*Return!$B88</f>
        <v>2.156061901681763E-2</v>
      </c>
      <c r="N88">
        <f>Perhitungan!M$4+Perhitungan!M$3*Return!$B88</f>
        <v>2.1632530494595154E-2</v>
      </c>
      <c r="O88">
        <f>Perhitungan!N$4+Perhitungan!N$3*Return!$B88</f>
        <v>8.3716926785916048E-3</v>
      </c>
      <c r="P88">
        <f>Perhitungan!O$4+Perhitungan!O$3*Return!$B88</f>
        <v>1.3027096065889815E-2</v>
      </c>
      <c r="Q88">
        <f>Perhitungan!P$4+Perhitungan!P$3*Return!$B88</f>
        <v>2.0031214806676086E-2</v>
      </c>
      <c r="R88">
        <f>Perhitungan!Q$4+Perhitungan!Q$3*Return!$B88</f>
        <v>9.083571336311486E-3</v>
      </c>
      <c r="S88">
        <f>Perhitungan!R$4+Perhitungan!R$3*Return!$B88</f>
        <v>9.1260540135899813E-3</v>
      </c>
      <c r="T88">
        <f>Perhitungan!S$4+Perhitungan!S$3*Return!$B88</f>
        <v>1.0804493450390777E-2</v>
      </c>
      <c r="U88">
        <f>Perhitungan!T$4+Perhitungan!T$3*Return!$B88</f>
        <v>1.881453323799704E-2</v>
      </c>
      <c r="V88">
        <f>Perhitungan!U$4+Perhitungan!U$3*Return!$B88</f>
        <v>1.5527961995751852E-2</v>
      </c>
      <c r="W88">
        <f>Perhitungan!V$4+Perhitungan!V$3*Return!$B88</f>
        <v>3.4406018923932399E-2</v>
      </c>
      <c r="X88">
        <f>Perhitungan!W$4+Perhitungan!W$3*Return!$B88</f>
        <v>1.3495497486823833E-2</v>
      </c>
      <c r="Y88">
        <f>Perhitungan!X$4+Perhitungan!X$3*Return!$B88</f>
        <v>1.1895787515236225E-2</v>
      </c>
      <c r="Z88">
        <f>Perhitungan!Y$4+Perhitungan!Y$3*Return!$B88</f>
        <v>1.2122481518879713E-2</v>
      </c>
      <c r="AA88">
        <f>Perhitungan!Z$4+Perhitungan!Z$3*Return!$B88</f>
        <v>2.2091525882457365E-2</v>
      </c>
      <c r="AB88">
        <f>Perhitungan!AA$4+Perhitungan!AA$3*Return!$B88</f>
        <v>1.6971987587385599E-2</v>
      </c>
      <c r="AC88">
        <f>Perhitungan!AB$4+Perhitungan!AB$3*Return!$B88</f>
        <v>1.5753843300276182E-2</v>
      </c>
      <c r="AD88">
        <f>Perhitungan!AC$4+Perhitungan!AC$3*Return!$B88</f>
        <v>1.5847522562098985E-2</v>
      </c>
      <c r="AE88">
        <f>Perhitungan!AD$4+Perhitungan!AD$3*Return!$B88</f>
        <v>1.2898083697575819E-2</v>
      </c>
      <c r="AF88">
        <f>Perhitungan!AE$4+Perhitungan!AE$3*Return!$B88</f>
        <v>16.203365725443795</v>
      </c>
    </row>
    <row r="89" spans="1:32" x14ac:dyDescent="0.3">
      <c r="A89" s="4" t="s">
        <v>54</v>
      </c>
      <c r="C89">
        <f>Perhitungan!B$4+Perhitungan!B$3*Return!$B89</f>
        <v>5.4531216094010487E-3</v>
      </c>
      <c r="D89">
        <f>Perhitungan!C$4+Perhitungan!C$3*Return!$B89</f>
        <v>9.3024937552333084E-3</v>
      </c>
      <c r="E89">
        <f>Perhitungan!D$4+Perhitungan!D$3*Return!$B89</f>
        <v>8.1571598135780042E-3</v>
      </c>
      <c r="F89">
        <f>Perhitungan!E$4+Perhitungan!E$3*Return!$B89</f>
        <v>6.8834594058584525E-3</v>
      </c>
      <c r="G89">
        <f>Perhitungan!F$4+Perhitungan!F$3*Return!$B89</f>
        <v>9.0557290926902827E-3</v>
      </c>
      <c r="H89">
        <f>Perhitungan!G$4+Perhitungan!G$3*Return!$B89</f>
        <v>6.0074845730625544E-3</v>
      </c>
      <c r="I89">
        <f>Perhitungan!H$4+Perhitungan!H$3*Return!$B89</f>
        <v>1.6340518767169443E-3</v>
      </c>
      <c r="J89">
        <f>Perhitungan!I$4+Perhitungan!I$3*Return!$B89</f>
        <v>2.3119745064101409E-3</v>
      </c>
      <c r="K89">
        <f>Perhitungan!J$4+Perhitungan!J$3*Return!$B89</f>
        <v>9.093305901128286E-3</v>
      </c>
      <c r="L89">
        <f>Perhitungan!K$4+Perhitungan!K$3*Return!$B89</f>
        <v>2.5148767590852405E-3</v>
      </c>
      <c r="M89">
        <f>Perhitungan!L$4+Perhitungan!L$3*Return!$B89</f>
        <v>1.3126193265898593E-2</v>
      </c>
      <c r="N89">
        <f>Perhitungan!M$4+Perhitungan!M$3*Return!$B89</f>
        <v>9.4018263379245445E-3</v>
      </c>
      <c r="O89">
        <f>Perhitungan!N$4+Perhitungan!N$3*Return!$B89</f>
        <v>3.910482182010332E-3</v>
      </c>
      <c r="P89">
        <f>Perhitungan!O$4+Perhitungan!O$3*Return!$B89</f>
        <v>5.3813786988176184E-3</v>
      </c>
      <c r="Q89">
        <f>Perhitungan!P$4+Perhitungan!P$3*Return!$B89</f>
        <v>1.0786552831495284E-2</v>
      </c>
      <c r="R89">
        <f>Perhitungan!Q$4+Perhitungan!Q$3*Return!$B89</f>
        <v>3.9936957551523298E-3</v>
      </c>
      <c r="S89">
        <f>Perhitungan!R$4+Perhitungan!R$3*Return!$B89</f>
        <v>4.3968935299694813E-3</v>
      </c>
      <c r="T89">
        <f>Perhitungan!S$4+Perhitungan!S$3*Return!$B89</f>
        <v>5.8363010743514099E-3</v>
      </c>
      <c r="U89">
        <f>Perhitungan!T$4+Perhitungan!T$3*Return!$B89</f>
        <v>9.2896098769840764E-3</v>
      </c>
      <c r="V89">
        <f>Perhitungan!U$4+Perhitungan!U$3*Return!$B89</f>
        <v>7.5483083638048613E-3</v>
      </c>
      <c r="W89">
        <f>Perhitungan!V$4+Perhitungan!V$3*Return!$B89</f>
        <v>1.7909363268686914E-2</v>
      </c>
      <c r="X89">
        <f>Perhitungan!W$4+Perhitungan!W$3*Return!$B89</f>
        <v>4.2650878314458912E-3</v>
      </c>
      <c r="Y89">
        <f>Perhitungan!X$4+Perhitungan!X$3*Return!$B89</f>
        <v>4.9751584388154097E-3</v>
      </c>
      <c r="Z89">
        <f>Perhitungan!Y$4+Perhitungan!Y$3*Return!$B89</f>
        <v>5.3732804527090033E-3</v>
      </c>
      <c r="AA89">
        <f>Perhitungan!Z$4+Perhitungan!Z$3*Return!$B89</f>
        <v>1.1984873513200153E-2</v>
      </c>
      <c r="AB89">
        <f>Perhitungan!AA$4+Perhitungan!AA$3*Return!$B89</f>
        <v>7.8183967367711511E-3</v>
      </c>
      <c r="AC89">
        <f>Perhitungan!AB$4+Perhitungan!AB$3*Return!$B89</f>
        <v>8.2569637772787405E-3</v>
      </c>
      <c r="AD89">
        <f>Perhitungan!AC$4+Perhitungan!AC$3*Return!$B89</f>
        <v>7.5062009442527031E-3</v>
      </c>
      <c r="AE89">
        <f>Perhitungan!AD$4+Perhitungan!AD$3*Return!$B89</f>
        <v>6.2656206845834311E-3</v>
      </c>
      <c r="AF89">
        <f>Perhitungan!AE$4+Perhitungan!AE$3*Return!$B89</f>
        <v>16.447778988680334</v>
      </c>
    </row>
    <row r="90" spans="1:32" x14ac:dyDescent="0.3">
      <c r="A90" s="3" t="s">
        <v>55</v>
      </c>
      <c r="C90">
        <f>Perhitungan!B$4+Perhitungan!B$3*Return!$B90</f>
        <v>-2.0195801266746053E-4</v>
      </c>
      <c r="D90">
        <f>Perhitungan!C$4+Perhitungan!C$3*Return!$B90</f>
        <v>2.8284536329187893E-3</v>
      </c>
      <c r="E90">
        <f>Perhitungan!D$4+Perhitungan!D$3*Return!$B90</f>
        <v>1.7142351221920457E-3</v>
      </c>
      <c r="F90">
        <f>Perhitungan!E$4+Perhitungan!E$3*Return!$B90</f>
        <v>1.3071747239930113E-3</v>
      </c>
      <c r="G90">
        <f>Perhitungan!F$4+Perhitungan!F$3*Return!$B90</f>
        <v>3.1250073908656857E-3</v>
      </c>
      <c r="H90">
        <f>Perhitungan!G$4+Perhitungan!G$3*Return!$B90</f>
        <v>1.578270925043343E-3</v>
      </c>
      <c r="I90">
        <f>Perhitungan!H$4+Perhitungan!H$3*Return!$B90</f>
        <v>-1.156118326280237E-3</v>
      </c>
      <c r="J90">
        <f>Perhitungan!I$4+Perhitungan!I$3*Return!$B90</f>
        <v>4.2079682616389817E-4</v>
      </c>
      <c r="K90">
        <f>Perhitungan!J$4+Perhitungan!J$3*Return!$B90</f>
        <v>2.895916286577602E-3</v>
      </c>
      <c r="L90">
        <f>Perhitungan!K$4+Perhitungan!K$3*Return!$B90</f>
        <v>1.2327592563734162E-4</v>
      </c>
      <c r="M90">
        <f>Perhitungan!L$4+Perhitungan!L$3*Return!$B90</f>
        <v>6.7385877233564016E-3</v>
      </c>
      <c r="N90">
        <f>Perhitungan!M$4+Perhitungan!M$3*Return!$B90</f>
        <v>1.3920242404039627E-4</v>
      </c>
      <c r="O90">
        <f>Perhitungan!N$4+Perhitungan!N$3*Return!$B90</f>
        <v>5.3189379485132828E-4</v>
      </c>
      <c r="P90">
        <f>Perhitungan!O$4+Perhitungan!O$3*Return!$B90</f>
        <v>-4.0891788720662106E-4</v>
      </c>
      <c r="Q90">
        <f>Perhitungan!P$4+Perhitungan!P$3*Return!$B90</f>
        <v>3.7853347503284031E-3</v>
      </c>
      <c r="R90">
        <f>Perhitungan!Q$4+Perhitungan!Q$3*Return!$B90</f>
        <v>1.3900328014657647E-4</v>
      </c>
      <c r="S90">
        <f>Perhitungan!R$4+Perhitungan!R$3*Return!$B90</f>
        <v>8.1537978987232496E-4</v>
      </c>
      <c r="T90">
        <f>Perhitungan!S$4+Perhitungan!S$3*Return!$B90</f>
        <v>2.0737623912469921E-3</v>
      </c>
      <c r="U90">
        <f>Perhitungan!T$4+Perhitungan!T$3*Return!$B90</f>
        <v>2.0761427068609044E-3</v>
      </c>
      <c r="V90">
        <f>Perhitungan!U$4+Perhitungan!U$3*Return!$B90</f>
        <v>1.5051133352117693E-3</v>
      </c>
      <c r="W90">
        <f>Perhitungan!V$4+Perhitungan!V$3*Return!$B90</f>
        <v>5.4160255823157734E-3</v>
      </c>
      <c r="X90">
        <f>Perhitungan!W$4+Perhitungan!W$3*Return!$B90</f>
        <v>-2.7253366047645519E-3</v>
      </c>
      <c r="Y90">
        <f>Perhitungan!X$4+Perhitungan!X$3*Return!$B90</f>
        <v>-2.6601030839982056E-4</v>
      </c>
      <c r="Z90">
        <f>Perhitungan!Y$4+Perhitungan!Y$3*Return!$B90</f>
        <v>2.6193850588990156E-4</v>
      </c>
      <c r="AA90">
        <f>Perhitungan!Z$4+Perhitungan!Z$3*Return!$B90</f>
        <v>4.3308481418368253E-3</v>
      </c>
      <c r="AB90">
        <f>Perhitungan!AA$4+Perhitungan!AA$3*Return!$B90</f>
        <v>8.8614913886238982E-4</v>
      </c>
      <c r="AC90">
        <f>Perhitungan!AB$4+Perhitungan!AB$3*Return!$B90</f>
        <v>2.579385883175923E-3</v>
      </c>
      <c r="AD90">
        <f>Perhitungan!AC$4+Perhitungan!AC$3*Return!$B90</f>
        <v>1.1891055341145284E-3</v>
      </c>
      <c r="AE90">
        <f>Perhitungan!AD$4+Perhitungan!AD$3*Return!$B90</f>
        <v>1.2426874400907658E-3</v>
      </c>
      <c r="AF90">
        <f>Perhitungan!AE$4+Perhitungan!AE$3*Return!$B90</f>
        <v>16.632879380932931</v>
      </c>
    </row>
    <row r="91" spans="1:32" x14ac:dyDescent="0.3">
      <c r="A91" s="4" t="s">
        <v>56</v>
      </c>
      <c r="C91">
        <f>Perhitungan!B$4+Perhitungan!B$3*Return!$B91</f>
        <v>6.4764565404222159E-3</v>
      </c>
      <c r="D91">
        <f>Perhitungan!C$4+Perhitungan!C$3*Return!$B91</f>
        <v>1.0474026579659514E-2</v>
      </c>
      <c r="E91">
        <f>Perhitungan!D$4+Perhitungan!D$3*Return!$B91</f>
        <v>9.3230620351672996E-3</v>
      </c>
      <c r="F91">
        <f>Perhitungan!E$4+Perhitungan!E$3*Return!$B91</f>
        <v>7.8925357198332997E-3</v>
      </c>
      <c r="G91">
        <f>Perhitungan!F$4+Perhitungan!F$3*Return!$B91</f>
        <v>1.0128943811004446E-2</v>
      </c>
      <c r="H91">
        <f>Perhitungan!G$4+Perhitungan!G$3*Return!$B91</f>
        <v>6.8089885917302587E-3</v>
      </c>
      <c r="I91">
        <f>Perhitungan!H$4+Perhitungan!H$3*Return!$B91</f>
        <v>2.1389569926553542E-3</v>
      </c>
      <c r="J91">
        <f>Perhitungan!I$4+Perhitungan!I$3*Return!$B91</f>
        <v>2.6541992512945749E-3</v>
      </c>
      <c r="K91">
        <f>Perhitungan!J$4+Perhitungan!J$3*Return!$B91</f>
        <v>1.021477645460526E-2</v>
      </c>
      <c r="L91">
        <f>Perhitungan!K$4+Perhitungan!K$3*Return!$B91</f>
        <v>2.947657345299403E-3</v>
      </c>
      <c r="M91">
        <f>Perhitungan!L$4+Perhitungan!L$3*Return!$B91</f>
        <v>1.4282085015284229E-2</v>
      </c>
      <c r="N91">
        <f>Perhitungan!M$4+Perhitungan!M$3*Return!$B91</f>
        <v>1.1077977203599276E-2</v>
      </c>
      <c r="O91">
        <f>Perhitungan!N$4+Perhitungan!N$3*Return!$B91</f>
        <v>4.5218665912819429E-3</v>
      </c>
      <c r="P91">
        <f>Perhitungan!O$4+Perhitungan!O$3*Return!$B91</f>
        <v>6.4291822937179903E-3</v>
      </c>
      <c r="Q91">
        <f>Perhitungan!P$4+Perhitungan!P$3*Return!$B91</f>
        <v>1.2053483007720531E-2</v>
      </c>
      <c r="R91">
        <f>Perhitungan!Q$4+Perhitungan!Q$3*Return!$B91</f>
        <v>4.6912352632830674E-3</v>
      </c>
      <c r="S91">
        <f>Perhitungan!R$4+Perhitungan!R$3*Return!$B91</f>
        <v>5.0449990140852066E-3</v>
      </c>
      <c r="T91">
        <f>Perhitungan!S$4+Perhitungan!S$3*Return!$B91</f>
        <v>6.517164567185975E-3</v>
      </c>
      <c r="U91">
        <f>Perhitungan!T$4+Perhitungan!T$3*Return!$B91</f>
        <v>1.059494833767605E-2</v>
      </c>
      <c r="V91">
        <f>Perhitungan!U$4+Perhitungan!U$3*Return!$B91</f>
        <v>8.6418760907028824E-3</v>
      </c>
      <c r="W91">
        <f>Perhitungan!V$4+Perhitungan!V$3*Return!$B91</f>
        <v>2.0170139369807542E-2</v>
      </c>
      <c r="X91">
        <f>Perhitungan!W$4+Perhitungan!W$3*Return!$B91</f>
        <v>5.5300648054785731E-3</v>
      </c>
      <c r="Y91">
        <f>Perhitungan!X$4+Perhitungan!X$3*Return!$B91</f>
        <v>5.9235926637680129E-3</v>
      </c>
      <c r="Z91">
        <f>Perhitungan!Y$4+Perhitungan!Y$3*Return!$B91</f>
        <v>6.2982214098905188E-3</v>
      </c>
      <c r="AA91">
        <f>Perhitungan!Z$4+Perhitungan!Z$3*Return!$B91</f>
        <v>1.3369934741139743E-2</v>
      </c>
      <c r="AB91">
        <f>Perhitungan!AA$4+Perhitungan!AA$3*Return!$B91</f>
        <v>9.0728461152986949E-3</v>
      </c>
      <c r="AC91">
        <f>Perhitungan!AB$4+Perhitungan!AB$3*Return!$B91</f>
        <v>9.2843699626763247E-3</v>
      </c>
      <c r="AD91">
        <f>Perhitungan!AC$4+Perhitungan!AC$3*Return!$B91</f>
        <v>8.6493332832847936E-3</v>
      </c>
      <c r="AE91">
        <f>Perhitungan!AD$4+Perhitungan!AD$3*Return!$B91</f>
        <v>7.1745633323965271E-3</v>
      </c>
      <c r="AF91">
        <f>Perhitungan!AE$4+Perhitungan!AE$3*Return!$B91</f>
        <v>16.414283492631331</v>
      </c>
    </row>
    <row r="92" spans="1:32" x14ac:dyDescent="0.3">
      <c r="A92" s="3" t="s">
        <v>57</v>
      </c>
      <c r="C92">
        <f>Perhitungan!B$4+Perhitungan!B$3*Return!$B92</f>
        <v>-1.2849252884815968E-3</v>
      </c>
      <c r="D92">
        <f>Perhitungan!C$4+Perhitungan!C$3*Return!$B92</f>
        <v>1.58865259326343E-3</v>
      </c>
      <c r="E92">
        <f>Perhitungan!D$4+Perhitungan!D$3*Return!$B92</f>
        <v>4.8039279500768111E-4</v>
      </c>
      <c r="F92">
        <f>Perhitungan!E$4+Perhitungan!E$3*Return!$B92</f>
        <v>2.3929695132338466E-4</v>
      </c>
      <c r="G92">
        <f>Perhitungan!F$4+Perhitungan!F$3*Return!$B92</f>
        <v>1.9892537049277597E-3</v>
      </c>
      <c r="H92">
        <f>Perhitungan!G$4+Perhitungan!G$3*Return!$B92</f>
        <v>7.3006121643456683E-4</v>
      </c>
      <c r="I92">
        <f>Perhitungan!H$4+Perhitungan!H$3*Return!$B92</f>
        <v>-1.6904455552030318E-3</v>
      </c>
      <c r="J92">
        <f>Perhitungan!I$4+Perhitungan!I$3*Return!$B92</f>
        <v>5.8629769759549149E-5</v>
      </c>
      <c r="K92">
        <f>Perhitungan!J$4+Perhitungan!J$3*Return!$B92</f>
        <v>1.7090947744918322E-3</v>
      </c>
      <c r="L92">
        <f>Perhitungan!K$4+Perhitungan!K$3*Return!$B92</f>
        <v>-3.3472389267229208E-4</v>
      </c>
      <c r="M92">
        <f>Perhitungan!L$4+Perhitungan!L$3*Return!$B92</f>
        <v>5.5153392042043593E-3</v>
      </c>
      <c r="N92">
        <f>Perhitungan!M$4+Perhitungan!M$3*Return!$B92</f>
        <v>-1.6346220412711667E-3</v>
      </c>
      <c r="O92">
        <f>Perhitungan!N$4+Perhitungan!N$3*Return!$B92</f>
        <v>-1.1511754827110739E-4</v>
      </c>
      <c r="P92">
        <f>Perhitungan!O$4+Perhitungan!O$3*Return!$B92</f>
        <v>-1.5177796785511032E-3</v>
      </c>
      <c r="Q92">
        <f>Perhitungan!P$4+Perhitungan!P$3*Return!$B92</f>
        <v>2.444577311095637E-3</v>
      </c>
      <c r="R92">
        <f>Perhitungan!Q$4+Perhitungan!Q$3*Return!$B92</f>
        <v>-5.9918363988679436E-4</v>
      </c>
      <c r="S92">
        <f>Perhitungan!R$4+Perhitungan!R$3*Return!$B92</f>
        <v>1.2950754091799779E-4</v>
      </c>
      <c r="T92">
        <f>Perhitungan!S$4+Perhitungan!S$3*Return!$B92</f>
        <v>1.3532232405892943E-3</v>
      </c>
      <c r="U92">
        <f>Perhitungan!T$4+Perhitungan!T$3*Return!$B92</f>
        <v>6.9473883415193738E-4</v>
      </c>
      <c r="V92">
        <f>Perhitungan!U$4+Perhitungan!U$3*Return!$B92</f>
        <v>3.478206188034508E-4</v>
      </c>
      <c r="W92">
        <f>Perhitungan!V$4+Perhitungan!V$3*Return!$B92</f>
        <v>3.0235082732338386E-3</v>
      </c>
      <c r="X92">
        <f>Perhitungan!W$4+Perhitungan!W$3*Return!$B92</f>
        <v>-4.0640270237154172E-3</v>
      </c>
      <c r="Y92">
        <f>Perhitungan!X$4+Perhitungan!X$3*Return!$B92</f>
        <v>-1.2697122223576122E-3</v>
      </c>
      <c r="Z92">
        <f>Perhitungan!Y$4+Perhitungan!Y$3*Return!$B92</f>
        <v>-7.1690112747258439E-4</v>
      </c>
      <c r="AA92">
        <f>Perhitungan!Z$4+Perhitungan!Z$3*Return!$B92</f>
        <v>2.8650758522495634E-3</v>
      </c>
      <c r="AB92">
        <f>Perhitungan!AA$4+Perhitungan!AA$3*Return!$B92</f>
        <v>-4.4140021465675531E-4</v>
      </c>
      <c r="AC92">
        <f>Perhitungan!AB$4+Perhitungan!AB$3*Return!$B92</f>
        <v>1.4921101105759172E-3</v>
      </c>
      <c r="AD92">
        <f>Perhitungan!AC$4+Perhitungan!AC$3*Return!$B92</f>
        <v>-2.0640051195719368E-5</v>
      </c>
      <c r="AE92">
        <f>Perhitungan!AD$4+Perhitungan!AD$3*Return!$B92</f>
        <v>2.8077837851777168E-4</v>
      </c>
      <c r="AF92">
        <f>Perhitungan!AE$4+Perhitungan!AE$3*Return!$B92</f>
        <v>16.668326745240172</v>
      </c>
    </row>
    <row r="93" spans="1:32" x14ac:dyDescent="0.3">
      <c r="A93" s="4" t="s">
        <v>58</v>
      </c>
      <c r="C93">
        <f>Perhitungan!B$4+Perhitungan!B$3*Return!$B93</f>
        <v>-9.3089870331539148E-3</v>
      </c>
      <c r="D93">
        <f>Perhitungan!C$4+Perhitungan!C$3*Return!$B93</f>
        <v>-7.597442236633254E-3</v>
      </c>
      <c r="E93">
        <f>Perhitungan!D$4+Perhitungan!D$3*Return!$B93</f>
        <v>-8.6615519688123862E-3</v>
      </c>
      <c r="F93">
        <f>Perhitungan!E$4+Perhitungan!E$3*Return!$B93</f>
        <v>-7.6729616875376811E-3</v>
      </c>
      <c r="G93">
        <f>Perhitungan!F$4+Perhitungan!F$3*Return!$B93</f>
        <v>-6.4259199630429479E-3</v>
      </c>
      <c r="H93">
        <f>Perhitungan!G$4+Perhitungan!G$3*Return!$B93</f>
        <v>-5.5546042820596138E-3</v>
      </c>
      <c r="I93">
        <f>Perhitungan!H$4+Perhitungan!H$3*Return!$B93</f>
        <v>-5.6494522329560565E-3</v>
      </c>
      <c r="J93">
        <f>Perhitungan!I$4+Perhitungan!I$3*Return!$B93</f>
        <v>-2.6247854057267588E-3</v>
      </c>
      <c r="K93">
        <f>Perhitungan!J$4+Perhitungan!J$3*Return!$B93</f>
        <v>-7.0844572612540624E-3</v>
      </c>
      <c r="L93">
        <f>Perhitungan!K$4+Perhitungan!K$3*Return!$B93</f>
        <v>-3.7281956099062736E-3</v>
      </c>
      <c r="M93">
        <f>Perhitungan!L$4+Perhitungan!L$3*Return!$B93</f>
        <v>-3.5481125417185068E-3</v>
      </c>
      <c r="N93">
        <f>Perhitungan!M$4+Perhitungan!M$3*Return!$B93</f>
        <v>-1.477747257031441E-2</v>
      </c>
      <c r="O93">
        <f>Perhitungan!N$4+Perhitungan!N$3*Return!$B93</f>
        <v>-4.9090379950499693E-3</v>
      </c>
      <c r="P93">
        <f>Perhitungan!O$4+Perhitungan!O$3*Return!$B93</f>
        <v>-9.7337024296491881E-3</v>
      </c>
      <c r="Q93">
        <f>Perhitungan!P$4+Perhitungan!P$3*Return!$B93</f>
        <v>-7.4895367820054064E-3</v>
      </c>
      <c r="R93">
        <f>Perhitungan!Q$4+Perhitungan!Q$3*Return!$B93</f>
        <v>-6.0686540086976708E-3</v>
      </c>
      <c r="S93">
        <f>Perhitungan!R$4+Perhitungan!R$3*Return!$B93</f>
        <v>-4.9523461747720387E-3</v>
      </c>
      <c r="T93">
        <f>Perhitungan!S$4+Perhitungan!S$3*Return!$B93</f>
        <v>-3.9854889841034391E-3</v>
      </c>
      <c r="U93">
        <f>Perhitungan!T$4+Perhitungan!T$3*Return!$B93</f>
        <v>-9.5405380911026145E-3</v>
      </c>
      <c r="V93">
        <f>Perhitungan!U$4+Perhitungan!U$3*Return!$B93</f>
        <v>-8.226942830201851E-3</v>
      </c>
      <c r="W93">
        <f>Perhitungan!V$4+Perhitungan!V$3*Return!$B93</f>
        <v>-1.4703441600517942E-2</v>
      </c>
      <c r="X93">
        <f>Perhitungan!W$4+Perhitungan!W$3*Return!$B93</f>
        <v>-1.3982825881776705E-2</v>
      </c>
      <c r="Y93">
        <f>Perhitungan!X$4+Perhitungan!X$3*Return!$B93</f>
        <v>-8.7064707567173581E-3</v>
      </c>
      <c r="Z93">
        <f>Perhitungan!Y$4+Perhitungan!Y$3*Return!$B93</f>
        <v>-7.9694468245052504E-3</v>
      </c>
      <c r="AA93">
        <f>Perhitungan!Z$4+Perhitungan!Z$3*Return!$B93</f>
        <v>-7.9953145011302865E-3</v>
      </c>
      <c r="AB93">
        <f>Perhitungan!AA$4+Perhitungan!AA$3*Return!$B93</f>
        <v>-1.0277651244245244E-2</v>
      </c>
      <c r="AC93">
        <f>Perhitungan!AB$4+Perhitungan!AB$3*Return!$B93</f>
        <v>-6.5638747078666142E-3</v>
      </c>
      <c r="AD93">
        <f>Perhitungan!AC$4+Perhitungan!AC$3*Return!$B93</f>
        <v>-8.9840441065737985E-3</v>
      </c>
      <c r="AE93">
        <f>Perhitungan!AD$4+Perhitungan!AD$3*Return!$B93</f>
        <v>-6.8463231278680795E-3</v>
      </c>
      <c r="AF93">
        <f>Perhitungan!AE$4+Perhitungan!AE$3*Return!$B93</f>
        <v>16.930967959097146</v>
      </c>
    </row>
    <row r="94" spans="1:32" x14ac:dyDescent="0.3">
      <c r="A94" s="3" t="s">
        <v>59</v>
      </c>
      <c r="C94">
        <f>Perhitungan!B$4+Perhitungan!B$3*Return!$B94</f>
        <v>-9.0970643626338069E-3</v>
      </c>
      <c r="D94">
        <f>Perhitungan!C$4+Perhitungan!C$3*Return!$B94</f>
        <v>-7.3548292296614134E-3</v>
      </c>
      <c r="E94">
        <f>Perhitungan!D$4+Perhitungan!D$3*Return!$B94</f>
        <v>-8.4201050047006745E-3</v>
      </c>
      <c r="F94">
        <f>Perhitungan!E$4+Perhitungan!E$3*Return!$B94</f>
        <v>-7.4639918373609225E-3</v>
      </c>
      <c r="G94">
        <f>Perhitungan!F$4+Perhitungan!F$3*Return!$B94</f>
        <v>-6.2036676756909801E-3</v>
      </c>
      <c r="H94">
        <f>Perhitungan!G$4+Perhitungan!G$3*Return!$B94</f>
        <v>-5.3886206271293938E-3</v>
      </c>
      <c r="I94">
        <f>Perhitungan!H$4+Perhitungan!H$3*Return!$B94</f>
        <v>-5.5448913142525785E-3</v>
      </c>
      <c r="J94">
        <f>Perhitungan!I$4+Perhitungan!I$3*Return!$B94</f>
        <v>-2.5539140031629855E-3</v>
      </c>
      <c r="K94">
        <f>Perhitungan!J$4+Perhitungan!J$3*Return!$B94</f>
        <v>-6.852211661697187E-3</v>
      </c>
      <c r="L94">
        <f>Perhitungan!K$4+Perhitungan!K$3*Return!$B94</f>
        <v>-3.6385709769542435E-3</v>
      </c>
      <c r="M94">
        <f>Perhitungan!L$4+Perhitungan!L$3*Return!$B94</f>
        <v>-3.3087386486398028E-3</v>
      </c>
      <c r="N94">
        <f>Perhitungan!M$4+Perhitungan!M$3*Return!$B94</f>
        <v>-1.4430358095003853E-2</v>
      </c>
      <c r="O94">
        <f>Perhitungan!N$4+Perhitungan!N$3*Return!$B94</f>
        <v>-4.7824262545537212E-3</v>
      </c>
      <c r="P94">
        <f>Perhitungan!O$4+Perhitungan!O$3*Return!$B94</f>
        <v>-9.5167125377960161E-3</v>
      </c>
      <c r="Q94">
        <f>Perhitungan!P$4+Perhitungan!P$3*Return!$B94</f>
        <v>-7.2271679151083845E-3</v>
      </c>
      <c r="R94">
        <f>Perhitungan!Q$4+Perhitungan!Q$3*Return!$B94</f>
        <v>-5.9242003886020127E-3</v>
      </c>
      <c r="S94">
        <f>Perhitungan!R$4+Perhitungan!R$3*Return!$B94</f>
        <v>-4.8181298582866093E-3</v>
      </c>
      <c r="T94">
        <f>Perhitungan!S$4+Perhitungan!S$3*Return!$B94</f>
        <v>-3.8444888039208241E-3</v>
      </c>
      <c r="U94">
        <f>Perhitungan!T$4+Perhitungan!T$3*Return!$B94</f>
        <v>-9.270215243580536E-3</v>
      </c>
      <c r="V94">
        <f>Perhitungan!U$4+Perhitungan!U$3*Return!$B94</f>
        <v>-8.0004756335357776E-3</v>
      </c>
      <c r="W94">
        <f>Perhitungan!V$4+Perhitungan!V$3*Return!$B94</f>
        <v>-1.4235256948285435E-2</v>
      </c>
      <c r="X94">
        <f>Perhitungan!W$4+Perhitungan!W$3*Return!$B94</f>
        <v>-1.3720861503979161E-2</v>
      </c>
      <c r="Y94">
        <f>Perhitungan!X$4+Perhitungan!X$3*Return!$B94</f>
        <v>-8.5100592909579959E-3</v>
      </c>
      <c r="Z94">
        <f>Perhitungan!Y$4+Perhitungan!Y$3*Return!$B94</f>
        <v>-7.7779005850704928E-3</v>
      </c>
      <c r="AA94">
        <f>Perhitungan!Z$4+Perhitungan!Z$3*Return!$B94</f>
        <v>-7.7084818470686172E-3</v>
      </c>
      <c r="AB94">
        <f>Perhitungan!AA$4+Perhitungan!AA$3*Return!$B94</f>
        <v>-1.0017867028666319E-2</v>
      </c>
      <c r="AC94">
        <f>Perhitungan!AB$4+Perhitungan!AB$3*Return!$B94</f>
        <v>-6.3511089203242468E-3</v>
      </c>
      <c r="AD94">
        <f>Perhitungan!AC$4+Perhitungan!AC$3*Return!$B94</f>
        <v>-8.7473125627733385E-3</v>
      </c>
      <c r="AE94">
        <f>Perhitungan!AD$4+Perhitungan!AD$3*Return!$B94</f>
        <v>-6.6580899820670733E-3</v>
      </c>
      <c r="AF94">
        <f>Perhitungan!AE$4+Perhitungan!AE$3*Return!$B94</f>
        <v>16.924031368976046</v>
      </c>
    </row>
    <row r="95" spans="1:32" x14ac:dyDescent="0.3">
      <c r="A95" s="2">
        <v>45665</v>
      </c>
      <c r="C95">
        <f>Perhitungan!B$4+Perhitungan!B$3*Return!$B95</f>
        <v>4.4930888708420297E-3</v>
      </c>
      <c r="D95">
        <f>Perhitungan!C$4+Perhitungan!C$3*Return!$B95</f>
        <v>8.2034304557685421E-3</v>
      </c>
      <c r="E95">
        <f>Perhitungan!D$4+Perhitungan!D$3*Return!$B95</f>
        <v>7.0633788150465835E-3</v>
      </c>
      <c r="F95">
        <f>Perhitungan!E$4+Perhitungan!E$3*Return!$B95</f>
        <v>5.9368032644975593E-3</v>
      </c>
      <c r="G95">
        <f>Perhitungan!F$4+Perhitungan!F$3*Return!$B95</f>
        <v>8.0489020668045811E-3</v>
      </c>
      <c r="H95">
        <f>Perhitungan!G$4+Perhitungan!G$3*Return!$B95</f>
        <v>5.2555605698041338E-3</v>
      </c>
      <c r="I95">
        <f>Perhitungan!H$4+Perhitungan!H$3*Return!$B95</f>
        <v>1.1603795466977669E-3</v>
      </c>
      <c r="J95">
        <f>Perhitungan!I$4+Perhitungan!I$3*Return!$B95</f>
        <v>1.9909193473663517E-3</v>
      </c>
      <c r="K95">
        <f>Perhitungan!J$4+Perhitungan!J$3*Return!$B95</f>
        <v>8.041208084440421E-3</v>
      </c>
      <c r="L95">
        <f>Perhitungan!K$4+Perhitungan!K$3*Return!$B95</f>
        <v>2.1088674274544355E-3</v>
      </c>
      <c r="M95">
        <f>Perhitungan!L$4+Perhitungan!L$3*Return!$B95</f>
        <v>1.2041803504539497E-2</v>
      </c>
      <c r="N95">
        <f>Perhitungan!M$4+Perhitungan!M$3*Return!$B95</f>
        <v>7.8293600250566447E-3</v>
      </c>
      <c r="O95">
        <f>Perhitungan!N$4+Perhitungan!N$3*Return!$B95</f>
        <v>3.3369172318140103E-3</v>
      </c>
      <c r="P95">
        <f>Perhitungan!O$4+Perhitungan!O$3*Return!$B95</f>
        <v>4.3983908966907098E-3</v>
      </c>
      <c r="Q95">
        <f>Perhitungan!P$4+Perhitungan!P$3*Return!$B95</f>
        <v>9.597993338631235E-3</v>
      </c>
      <c r="R95">
        <f>Perhitungan!Q$4+Perhitungan!Q$3*Return!$B95</f>
        <v>3.339305150528269E-3</v>
      </c>
      <c r="S95">
        <f>Perhitungan!R$4+Perhitungan!R$3*Return!$B95</f>
        <v>3.7888790237414422E-3</v>
      </c>
      <c r="T95">
        <f>Perhitungan!S$4+Perhitungan!S$3*Return!$B95</f>
        <v>5.1975549280055995E-3</v>
      </c>
      <c r="U95">
        <f>Perhitungan!T$4+Perhitungan!T$3*Return!$B95</f>
        <v>8.0650179870990941E-3</v>
      </c>
      <c r="V95">
        <f>Perhitungan!U$4+Perhitungan!U$3*Return!$B95</f>
        <v>6.5223873404640174E-3</v>
      </c>
      <c r="W95">
        <f>Perhitungan!V$4+Perhitungan!V$3*Return!$B95</f>
        <v>1.578843589111582E-2</v>
      </c>
      <c r="X95">
        <f>Perhitungan!W$4+Perhitungan!W$3*Return!$B95</f>
        <v>3.0783607181801998E-3</v>
      </c>
      <c r="Y95">
        <f>Perhitungan!X$4+Perhitungan!X$3*Return!$B95</f>
        <v>4.0853931442644386E-3</v>
      </c>
      <c r="Z95">
        <f>Perhitungan!Y$4+Perhitungan!Y$3*Return!$B95</f>
        <v>4.505555162375878E-3</v>
      </c>
      <c r="AA95">
        <f>Perhitungan!Z$4+Perhitungan!Z$3*Return!$B95</f>
        <v>1.0685490404676853E-2</v>
      </c>
      <c r="AB95">
        <f>Perhitungan!AA$4+Perhitungan!AA$3*Return!$B95</f>
        <v>6.6415459953919854E-3</v>
      </c>
      <c r="AC95">
        <f>Perhitungan!AB$4+Perhitungan!AB$3*Return!$B95</f>
        <v>7.2931116269417413E-3</v>
      </c>
      <c r="AD95">
        <f>Perhitungan!AC$4+Perhitungan!AC$3*Return!$B95</f>
        <v>6.4337813124111182E-3</v>
      </c>
      <c r="AE95">
        <f>Perhitungan!AD$4+Perhitungan!AD$3*Return!$B95</f>
        <v>5.4129040686243472E-3</v>
      </c>
      <c r="AF95">
        <f>Perhitungan!AE$4+Perhitungan!AE$3*Return!$B95</f>
        <v>16.47920249610349</v>
      </c>
    </row>
    <row r="96" spans="1:32" x14ac:dyDescent="0.3">
      <c r="A96" s="1">
        <v>45755</v>
      </c>
      <c r="C96">
        <f>Perhitungan!B$4+Perhitungan!B$3*Return!$B96</f>
        <v>-9.9717151830790857E-3</v>
      </c>
      <c r="D96">
        <f>Perhitungan!C$4+Perhitungan!C$3*Return!$B96</f>
        <v>-8.3561457243895316E-3</v>
      </c>
      <c r="E96">
        <f>Perhitungan!D$4+Perhitungan!D$3*Return!$B96</f>
        <v>-9.4166089876678658E-3</v>
      </c>
      <c r="F96">
        <f>Perhitungan!E$4+Perhitungan!E$3*Return!$B96</f>
        <v>-8.3264557278774701E-3</v>
      </c>
      <c r="G96">
        <f>Perhitungan!F$4+Perhitungan!F$3*Return!$B96</f>
        <v>-7.1209510649628879E-3</v>
      </c>
      <c r="H96">
        <f>Perhitungan!G$4+Perhitungan!G$3*Return!$B96</f>
        <v>-6.0736711675407765E-3</v>
      </c>
      <c r="I96">
        <f>Perhitungan!H$4+Perhitungan!H$3*Return!$B96</f>
        <v>-5.976436901640932E-3</v>
      </c>
      <c r="J96">
        <f>Perhitungan!I$4+Perhitungan!I$3*Return!$B96</f>
        <v>-2.8464156512706621E-3</v>
      </c>
      <c r="K96">
        <f>Perhitungan!J$4+Perhitungan!J$3*Return!$B96</f>
        <v>-7.8107396176666354E-3</v>
      </c>
      <c r="L96">
        <f>Perhitungan!K$4+Perhitungan!K$3*Return!$B96</f>
        <v>-4.0084712738465578E-3</v>
      </c>
      <c r="M96">
        <f>Perhitungan!L$4+Perhitungan!L$3*Return!$B96</f>
        <v>-4.2966866178713601E-3</v>
      </c>
      <c r="N96">
        <f>Perhitungan!M$4+Perhitungan!M$3*Return!$B96</f>
        <v>-1.5862974812572095E-2</v>
      </c>
      <c r="O96">
        <f>Perhitungan!N$4+Perhitungan!N$3*Return!$B96</f>
        <v>-5.3049803655946205E-3</v>
      </c>
      <c r="P96">
        <f>Perhitungan!O$4+Perhitungan!O$3*Return!$B96</f>
        <v>-1.0412276879600123E-2</v>
      </c>
      <c r="Q96">
        <f>Perhitungan!P$4+Perhitungan!P$3*Return!$B96</f>
        <v>-8.3100211281581151E-3</v>
      </c>
      <c r="R96">
        <f>Perhitungan!Q$4+Perhitungan!Q$3*Return!$B96</f>
        <v>-6.5203918060793131E-3</v>
      </c>
      <c r="S96">
        <f>Perhitungan!R$4+Perhitungan!R$3*Return!$B96</f>
        <v>-5.3720697036227193E-3</v>
      </c>
      <c r="T96">
        <f>Perhitungan!S$4+Perhitungan!S$3*Return!$B96</f>
        <v>-4.4264271259369927E-3</v>
      </c>
      <c r="U96">
        <f>Perhitungan!T$4+Perhitungan!T$3*Return!$B96</f>
        <v>-1.0385896259632354E-2</v>
      </c>
      <c r="V96">
        <f>Perhitungan!U$4+Perhitungan!U$3*Return!$B96</f>
        <v>-8.9351548676252154E-3</v>
      </c>
      <c r="W96">
        <f>Perhitungan!V$4+Perhitungan!V$3*Return!$B96</f>
        <v>-1.6167556542236592E-2</v>
      </c>
      <c r="X96">
        <f>Perhitungan!W$4+Perhitungan!W$3*Return!$B96</f>
        <v>-1.4802045302794668E-2</v>
      </c>
      <c r="Y96">
        <f>Perhitungan!X$4+Perhitungan!X$3*Return!$B96</f>
        <v>-9.3206920054744284E-3</v>
      </c>
      <c r="Z96">
        <f>Perhitungan!Y$4+Perhitungan!Y$3*Return!$B96</f>
        <v>-8.5684534554342218E-3</v>
      </c>
      <c r="AA96">
        <f>Perhitungan!Z$4+Perhitungan!Z$3*Return!$B96</f>
        <v>-8.8923024151551858E-3</v>
      </c>
      <c r="AB96">
        <f>Perhitungan!AA$4+Perhitungan!AA$3*Return!$B96</f>
        <v>-1.109005282519855E-2</v>
      </c>
      <c r="AC96">
        <f>Perhitungan!AB$4+Perhitungan!AB$3*Return!$B96</f>
        <v>-7.229239467565346E-3</v>
      </c>
      <c r="AD96">
        <f>Perhitungan!AC$4+Perhitungan!AC$3*Return!$B96</f>
        <v>-9.7243549834930398E-3</v>
      </c>
      <c r="AE96">
        <f>Perhitungan!AD$4+Perhitungan!AD$3*Return!$B96</f>
        <v>-7.4349689965008967E-3</v>
      </c>
      <c r="AF96">
        <f>Perhitungan!AE$4+Perhitungan!AE$3*Return!$B96</f>
        <v>16.952660180729055</v>
      </c>
    </row>
    <row r="97" spans="1:32" x14ac:dyDescent="0.3">
      <c r="A97" s="2">
        <v>45785</v>
      </c>
      <c r="C97">
        <f>Perhitungan!B$4+Perhitungan!B$3*Return!$B97</f>
        <v>4.1767006868414485E-3</v>
      </c>
      <c r="D97">
        <f>Perhitungan!C$4+Perhitungan!C$3*Return!$B97</f>
        <v>7.8412233898498569E-3</v>
      </c>
      <c r="E97">
        <f>Perhitungan!D$4+Perhitungan!D$3*Return!$B97</f>
        <v>6.7029125830937834E-3</v>
      </c>
      <c r="F97">
        <f>Perhitungan!E$4+Perhitungan!E$3*Return!$B97</f>
        <v>5.6248234690087868E-3</v>
      </c>
      <c r="G97">
        <f>Perhitungan!F$4+Perhitungan!F$3*Return!$B97</f>
        <v>7.7170923674803535E-3</v>
      </c>
      <c r="H97">
        <f>Perhitungan!G$4+Perhitungan!G$3*Return!$B97</f>
        <v>5.0077566561017132E-3</v>
      </c>
      <c r="I97">
        <f>Perhitungan!H$4+Perhitungan!H$3*Return!$B97</f>
        <v>1.0042761949193338E-3</v>
      </c>
      <c r="J97">
        <f>Perhitungan!I$4+Perhitungan!I$3*Return!$B97</f>
        <v>1.8851124778148536E-3</v>
      </c>
      <c r="K97">
        <f>Perhitungan!J$4+Perhitungan!J$3*Return!$B97</f>
        <v>7.6944789529813425E-3</v>
      </c>
      <c r="L97">
        <f>Perhitungan!K$4+Perhitungan!K$3*Return!$B97</f>
        <v>1.97506307895402E-3</v>
      </c>
      <c r="M97">
        <f>Perhitungan!L$4+Perhitungan!L$3*Return!$B97</f>
        <v>1.1684432246700738E-2</v>
      </c>
      <c r="N97">
        <f>Perhitungan!M$4+Perhitungan!M$3*Return!$B97</f>
        <v>7.3111383632859135E-3</v>
      </c>
      <c r="O97">
        <f>Perhitungan!N$4+Perhitungan!N$3*Return!$B97</f>
        <v>3.1478932894936917E-3</v>
      </c>
      <c r="P97">
        <f>Perhitungan!O$4+Perhitungan!O$3*Return!$B97</f>
        <v>4.0744376468500173E-3</v>
      </c>
      <c r="Q97">
        <f>Perhitungan!P$4+Perhitungan!P$3*Return!$B97</f>
        <v>9.2062919263561291E-3</v>
      </c>
      <c r="R97">
        <f>Perhitungan!Q$4+Perhitungan!Q$3*Return!$B97</f>
        <v>3.1236443228206518E-3</v>
      </c>
      <c r="S97">
        <f>Perhitungan!R$4+Perhitungan!R$3*Return!$B97</f>
        <v>3.5885018931029198E-3</v>
      </c>
      <c r="T97">
        <f>Perhitungan!S$4+Perhitungan!S$3*Return!$B97</f>
        <v>4.9870498846223358E-3</v>
      </c>
      <c r="U97">
        <f>Perhitungan!T$4+Perhitungan!T$3*Return!$B97</f>
        <v>7.6614417457678951E-3</v>
      </c>
      <c r="V97">
        <f>Perhitungan!U$4+Perhitungan!U$3*Return!$B97</f>
        <v>6.1842850274220432E-3</v>
      </c>
      <c r="W97">
        <f>Perhitungan!V$4+Perhitungan!V$3*Return!$B97</f>
        <v>1.5089463518159003E-2</v>
      </c>
      <c r="X97">
        <f>Perhitungan!W$4+Perhitungan!W$3*Return!$B97</f>
        <v>2.6872631845336423E-3</v>
      </c>
      <c r="Y97">
        <f>Perhitungan!X$4+Perhitungan!X$3*Return!$B97</f>
        <v>3.792162284083292E-3</v>
      </c>
      <c r="Z97">
        <f>Perhitungan!Y$4+Perhitungan!Y$3*Return!$B97</f>
        <v>4.2195878012711453E-3</v>
      </c>
      <c r="AA97">
        <f>Perhitungan!Z$4+Perhitungan!Z$3*Return!$B97</f>
        <v>1.0257265985326551E-2</v>
      </c>
      <c r="AB97">
        <f>Perhitungan!AA$4+Perhitungan!AA$3*Return!$B97</f>
        <v>6.2537033167521265E-3</v>
      </c>
      <c r="AC97">
        <f>Perhitungan!AB$4+Perhitungan!AB$3*Return!$B97</f>
        <v>6.9754647184124552E-3</v>
      </c>
      <c r="AD97">
        <f>Perhitungan!AC$4+Perhitungan!AC$3*Return!$B97</f>
        <v>6.0803549278961372E-3</v>
      </c>
      <c r="AE97">
        <f>Perhitungan!AD$4+Perhitungan!AD$3*Return!$B97</f>
        <v>5.1318829630364691E-3</v>
      </c>
      <c r="AF97">
        <f>Perhitungan!AE$4+Perhitungan!AE$3*Return!$B97</f>
        <v>16.489558420489427</v>
      </c>
    </row>
    <row r="98" spans="1:32" x14ac:dyDescent="0.3">
      <c r="A98" s="1">
        <v>45816</v>
      </c>
      <c r="C98">
        <f>Perhitungan!B$4+Perhitungan!B$3*Return!$B98</f>
        <v>-2.9467260880644865E-3</v>
      </c>
      <c r="D98">
        <f>Perhitungan!C$4+Perhitungan!C$3*Return!$B98</f>
        <v>-3.1380780885177846E-4</v>
      </c>
      <c r="E98">
        <f>Perhitungan!D$4+Perhitungan!D$3*Return!$B98</f>
        <v>-1.4129240315167147E-3</v>
      </c>
      <c r="F98">
        <f>Perhitungan!E$4+Perhitungan!E$3*Return!$B98</f>
        <v>-1.3993491796459004E-3</v>
      </c>
      <c r="G98">
        <f>Perhitungan!F$4+Perhitungan!F$3*Return!$B98</f>
        <v>2.4645276756611882E-4</v>
      </c>
      <c r="H98">
        <f>Perhitungan!G$4+Perhitungan!G$3*Return!$B98</f>
        <v>-5.7150680271022235E-4</v>
      </c>
      <c r="I98">
        <f>Perhitungan!H$4+Perhitungan!H$3*Return!$B98</f>
        <v>-2.510364527911865E-3</v>
      </c>
      <c r="J98">
        <f>Perhitungan!I$4+Perhitungan!I$3*Return!$B98</f>
        <v>-4.9711140299461354E-4</v>
      </c>
      <c r="K98">
        <f>Perhitungan!J$4+Perhitungan!J$3*Return!$B98</f>
        <v>-1.1206915335043024E-4</v>
      </c>
      <c r="L98">
        <f>Perhitungan!K$4+Perhitungan!K$3*Return!$B98</f>
        <v>-1.0375193337474587E-3</v>
      </c>
      <c r="M98">
        <f>Perhitungan!L$4+Perhitungan!L$3*Return!$B98</f>
        <v>3.6382784539732262E-3</v>
      </c>
      <c r="N98">
        <f>Perhitungan!M$4+Perhitungan!M$3*Return!$B98</f>
        <v>-4.3565352334850671E-3</v>
      </c>
      <c r="O98">
        <f>Perhitungan!N$4+Perhitungan!N$3*Return!$B98</f>
        <v>-1.1079489951232417E-3</v>
      </c>
      <c r="P98">
        <f>Perhitungan!O$4+Perhitungan!O$3*Return!$B98</f>
        <v>-3.2193153136864253E-3</v>
      </c>
      <c r="Q98">
        <f>Perhitungan!P$4+Perhitungan!P$3*Return!$B98</f>
        <v>3.87200477720194E-4</v>
      </c>
      <c r="R98">
        <f>Perhitungan!Q$4+Perhitungan!Q$3*Return!$B98</f>
        <v>-1.7319229583771726E-3</v>
      </c>
      <c r="S98">
        <f>Perhitungan!R$4+Perhitungan!R$3*Return!$B98</f>
        <v>-9.229555179192763E-4</v>
      </c>
      <c r="T98">
        <f>Perhitungan!S$4+Perhitungan!S$3*Return!$B98</f>
        <v>2.4756422075087735E-4</v>
      </c>
      <c r="U98">
        <f>Perhitungan!T$4+Perhitungan!T$3*Return!$B98</f>
        <v>-1.4250094827941103E-3</v>
      </c>
      <c r="V98">
        <f>Perhitungan!U$4+Perhitungan!U$3*Return!$B98</f>
        <v>-1.4280317124990003E-3</v>
      </c>
      <c r="W98">
        <f>Perhitungan!V$4+Perhitungan!V$3*Return!$B98</f>
        <v>-6.4778195505060593E-4</v>
      </c>
      <c r="X98">
        <f>Perhitungan!W$4+Perhitungan!W$3*Return!$B98</f>
        <v>-6.1182320382982434E-3</v>
      </c>
      <c r="Y98">
        <f>Perhitungan!X$4+Perhitungan!X$3*Return!$B98</f>
        <v>-2.8098812379947907E-3</v>
      </c>
      <c r="Z98">
        <f>Perhitungan!Y$4+Perhitungan!Y$3*Return!$B98</f>
        <v>-2.2189192601648712E-3</v>
      </c>
      <c r="AA98">
        <f>Perhitungan!Z$4+Perhitungan!Z$3*Return!$B98</f>
        <v>6.1586517225797194E-4</v>
      </c>
      <c r="AB98">
        <f>Perhitungan!AA$4+Perhitungan!AA$3*Return!$B98</f>
        <v>-2.4785093927760845E-3</v>
      </c>
      <c r="AC98">
        <f>Perhitungan!AB$4+Perhitungan!AB$3*Return!$B98</f>
        <v>-1.7630202765372559E-4</v>
      </c>
      <c r="AD98">
        <f>Perhitungan!AC$4+Perhitungan!AC$3*Return!$B98</f>
        <v>-1.8769807051172574E-3</v>
      </c>
      <c r="AE98">
        <f>Perhitungan!AD$4+Perhitungan!AD$3*Return!$B98</f>
        <v>-1.195259986950227E-3</v>
      </c>
      <c r="AF98">
        <f>Perhitungan!AE$4+Perhitungan!AE$3*Return!$B98</f>
        <v>16.722720317109275</v>
      </c>
    </row>
    <row r="99" spans="1:32" x14ac:dyDescent="0.3">
      <c r="A99" s="2">
        <v>45846</v>
      </c>
      <c r="C99">
        <f>Perhitungan!B$4+Perhitungan!B$3*Return!$B99</f>
        <v>-3.1925498108572193E-3</v>
      </c>
      <c r="D99">
        <f>Perhitungan!C$4+Perhitungan!C$3*Return!$B99</f>
        <v>-5.9523136974493985E-4</v>
      </c>
      <c r="E99">
        <f>Perhitungan!D$4+Perhitungan!D$3*Return!$B99</f>
        <v>-1.6929950188692121E-3</v>
      </c>
      <c r="F99">
        <f>Perhitungan!E$4+Perhitungan!E$3*Return!$B99</f>
        <v>-1.6417477224531275E-3</v>
      </c>
      <c r="G99">
        <f>Perhitungan!F$4+Perhitungan!F$3*Return!$B99</f>
        <v>-1.13529902698601E-5</v>
      </c>
      <c r="H99">
        <f>Perhitungan!G$4+Perhitungan!G$3*Return!$B99</f>
        <v>-7.6404269270043275E-4</v>
      </c>
      <c r="I99">
        <f>Perhitungan!H$4+Perhitungan!H$3*Return!$B99</f>
        <v>-2.6316519495512506E-3</v>
      </c>
      <c r="J99">
        <f>Perhitungan!I$4+Perhitungan!I$3*Return!$B99</f>
        <v>-5.7932003114662632E-4</v>
      </c>
      <c r="K99">
        <f>Perhitungan!J$4+Perhitungan!J$3*Return!$B99</f>
        <v>-3.814668432964147E-4</v>
      </c>
      <c r="L99">
        <f>Perhitungan!K$4+Perhitungan!K$3*Return!$B99</f>
        <v>-1.1414811273211657E-3</v>
      </c>
      <c r="M99">
        <f>Perhitungan!L$4+Perhitungan!L$3*Return!$B99</f>
        <v>3.3606121647009172E-3</v>
      </c>
      <c r="N99">
        <f>Perhitungan!M$4+Perhitungan!M$3*Return!$B99</f>
        <v>-4.7591772554389728E-3</v>
      </c>
      <c r="O99">
        <f>Perhitungan!N$4+Perhitungan!N$3*Return!$B99</f>
        <v>-1.2548146859040774E-3</v>
      </c>
      <c r="P99">
        <f>Perhitungan!O$4+Perhitungan!O$3*Return!$B99</f>
        <v>-3.4710168560123456E-3</v>
      </c>
      <c r="Q99">
        <f>Perhitungan!P$4+Perhitungan!P$3*Return!$B99</f>
        <v>8.2860732249606791E-5</v>
      </c>
      <c r="R99">
        <f>Perhitungan!Q$4+Perhitungan!Q$3*Return!$B99</f>
        <v>-1.8994846759397706E-3</v>
      </c>
      <c r="S99">
        <f>Perhitungan!R$4+Perhitungan!R$3*Return!$B99</f>
        <v>-1.0786422809116543E-3</v>
      </c>
      <c r="T99">
        <f>Perhitungan!S$4+Perhitungan!S$3*Return!$B99</f>
        <v>8.4008386342647326E-5</v>
      </c>
      <c r="U99">
        <f>Perhitungan!T$4+Perhitungan!T$3*Return!$B99</f>
        <v>-1.738575599013394E-3</v>
      </c>
      <c r="V99">
        <f>Perhitungan!U$4+Perhitungan!U$3*Return!$B99</f>
        <v>-1.6907266343695964E-3</v>
      </c>
      <c r="W99">
        <f>Perhitungan!V$4+Perhitungan!V$3*Return!$B99</f>
        <v>-1.1908616259690384E-3</v>
      </c>
      <c r="X99">
        <f>Perhitungan!W$4+Perhitungan!W$3*Return!$B99</f>
        <v>-6.4221025889629191E-3</v>
      </c>
      <c r="Y99">
        <f>Perhitungan!X$4+Perhitungan!X$3*Return!$B99</f>
        <v>-3.037712444508219E-3</v>
      </c>
      <c r="Z99">
        <f>Perhitungan!Y$4+Perhitungan!Y$3*Return!$B99</f>
        <v>-2.441106955087923E-3</v>
      </c>
      <c r="AA99">
        <f>Perhitungan!Z$4+Perhitungan!Z$3*Return!$B99</f>
        <v>2.831481926780571E-4</v>
      </c>
      <c r="AB99">
        <f>Perhitungan!AA$4+Perhitungan!AA$3*Return!$B99</f>
        <v>-2.7798510229078244E-3</v>
      </c>
      <c r="AC99">
        <f>Perhitungan!AB$4+Perhitungan!AB$3*Return!$B99</f>
        <v>-4.2310374003413703E-4</v>
      </c>
      <c r="AD99">
        <f>Perhitungan!AC$4+Perhitungan!AC$3*Return!$B99</f>
        <v>-2.1515819512070581E-3</v>
      </c>
      <c r="AE99">
        <f>Perhitungan!AD$4+Perhitungan!AD$3*Return!$B99</f>
        <v>-1.413604596048572E-3</v>
      </c>
      <c r="AF99">
        <f>Perhitungan!AE$4+Perhitungan!AE$3*Return!$B99</f>
        <v>16.730766546438453</v>
      </c>
    </row>
    <row r="100" spans="1:32" x14ac:dyDescent="0.3">
      <c r="A100" s="1">
        <v>45877</v>
      </c>
      <c r="C100">
        <f>Perhitungan!B$4+Perhitungan!B$3*Return!$B100</f>
        <v>3.315114183405151E-3</v>
      </c>
      <c r="D100">
        <f>Perhitungan!C$4+Perhitungan!C$3*Return!$B100</f>
        <v>6.8548631677366667E-3</v>
      </c>
      <c r="E100">
        <f>Perhitungan!D$4+Perhitungan!D$3*Return!$B100</f>
        <v>5.7212929901367298E-3</v>
      </c>
      <c r="F100">
        <f>Perhitungan!E$4+Perhitungan!E$3*Return!$B100</f>
        <v>4.7752418640982499E-3</v>
      </c>
      <c r="G100">
        <f>Perhitungan!F$4+Perhitungan!F$3*Return!$B100</f>
        <v>6.8135100812136661E-3</v>
      </c>
      <c r="H100">
        <f>Perhitungan!G$4+Perhitungan!G$3*Return!$B100</f>
        <v>4.3329384475168202E-3</v>
      </c>
      <c r="I100">
        <f>Perhitungan!H$4+Perhitungan!H$3*Return!$B100</f>
        <v>5.7917643508373969E-4</v>
      </c>
      <c r="J100">
        <f>Perhitungan!I$4+Perhitungan!I$3*Return!$B100</f>
        <v>1.5969798123539694E-3</v>
      </c>
      <c r="K100">
        <f>Perhitungan!J$4+Perhitungan!J$3*Return!$B100</f>
        <v>6.7502681539687477E-3</v>
      </c>
      <c r="L100">
        <f>Perhitungan!K$4+Perhitungan!K$3*Return!$B100</f>
        <v>1.610687838035308E-3</v>
      </c>
      <c r="M100">
        <f>Perhitungan!L$4+Perhitungan!L$3*Return!$B100</f>
        <v>1.071124086965056E-2</v>
      </c>
      <c r="N100">
        <f>Perhitungan!M$4+Perhitungan!M$3*Return!$B100</f>
        <v>5.8999200809711251E-3</v>
      </c>
      <c r="O100">
        <f>Perhitungan!N$4+Perhitungan!N$3*Return!$B100</f>
        <v>2.6331443647070155E-3</v>
      </c>
      <c r="P100">
        <f>Perhitungan!O$4+Perhitungan!O$3*Return!$B100</f>
        <v>3.1922499991388882E-3</v>
      </c>
      <c r="Q100">
        <f>Perhitungan!P$4+Perhitungan!P$3*Return!$B100</f>
        <v>8.1396128679733695E-3</v>
      </c>
      <c r="R100">
        <f>Perhitungan!Q$4+Perhitungan!Q$3*Return!$B100</f>
        <v>2.536357983225736E-3</v>
      </c>
      <c r="S100">
        <f>Perhitungan!R$4+Perhitungan!R$3*Return!$B100</f>
        <v>3.042836030451343E-3</v>
      </c>
      <c r="T100">
        <f>Perhitungan!S$4+Perhitungan!S$3*Return!$B100</f>
        <v>4.4138037475796215E-3</v>
      </c>
      <c r="U100">
        <f>Perhitungan!T$4+Perhitungan!T$3*Return!$B100</f>
        <v>6.5624252204292775E-3</v>
      </c>
      <c r="V100">
        <f>Perhitungan!U$4+Perhitungan!U$3*Return!$B100</f>
        <v>5.263566731263972E-3</v>
      </c>
      <c r="W100">
        <f>Perhitungan!V$4+Perhitungan!V$3*Return!$B100</f>
        <v>1.3186025927034129E-2</v>
      </c>
      <c r="X100">
        <f>Perhitungan!W$4+Perhitungan!W$3*Return!$B100</f>
        <v>1.6222286049980177E-3</v>
      </c>
      <c r="Y100">
        <f>Perhitungan!X$4+Perhitungan!X$3*Return!$B100</f>
        <v>2.9936376731811705E-3</v>
      </c>
      <c r="Z100">
        <f>Perhitungan!Y$4+Perhitungan!Y$3*Return!$B100</f>
        <v>3.4408431097478968E-3</v>
      </c>
      <c r="AA100">
        <f>Perhitungan!Z$4+Perhitungan!Z$3*Return!$B100</f>
        <v>9.0911276817754027E-3</v>
      </c>
      <c r="AB100">
        <f>Perhitungan!AA$4+Perhitungan!AA$3*Return!$B100</f>
        <v>5.1975323398610546E-3</v>
      </c>
      <c r="AC100">
        <f>Perhitungan!AB$4+Perhitungan!AB$3*Return!$B100</f>
        <v>6.1104504634976889E-3</v>
      </c>
      <c r="AD100">
        <f>Perhitungan!AC$4+Perhitungan!AC$3*Return!$B100</f>
        <v>5.1179062074475992E-3</v>
      </c>
      <c r="AE100">
        <f>Perhitungan!AD$4+Perhitungan!AD$3*Return!$B100</f>
        <v>4.3666078864083883E-3</v>
      </c>
      <c r="AF100">
        <f>Perhitungan!AE$4+Perhitungan!AE$3*Return!$B100</f>
        <v>16.517759614885215</v>
      </c>
    </row>
    <row r="101" spans="1:32" x14ac:dyDescent="0.3">
      <c r="A101" s="2">
        <v>45969</v>
      </c>
      <c r="C101">
        <f>Perhitungan!B$4+Perhitungan!B$3*Return!$B101</f>
        <v>6.6321691724278084E-3</v>
      </c>
      <c r="D101">
        <f>Perhitungan!C$4+Perhitungan!C$3*Return!$B101</f>
        <v>1.065228929115546E-2</v>
      </c>
      <c r="E101">
        <f>Perhitungan!D$4+Perhitungan!D$3*Return!$B101</f>
        <v>9.5004679831922293E-3</v>
      </c>
      <c r="F101">
        <f>Perhitungan!E$4+Perhitungan!E$3*Return!$B101</f>
        <v>8.0460787329568045E-3</v>
      </c>
      <c r="G101">
        <f>Perhitungan!F$4+Perhitungan!F$3*Return!$B101</f>
        <v>1.0292246248388341E-2</v>
      </c>
      <c r="H101">
        <f>Perhitungan!G$4+Perhitungan!G$3*Return!$B101</f>
        <v>6.9309470009729368E-3</v>
      </c>
      <c r="I101">
        <f>Perhitungan!H$4+Perhitungan!H$3*Return!$B101</f>
        <v>2.2157843364042913E-3</v>
      </c>
      <c r="J101">
        <f>Perhitungan!I$4+Perhitungan!I$3*Return!$B101</f>
        <v>2.7062728336066941E-3</v>
      </c>
      <c r="K101">
        <f>Perhitungan!J$4+Perhitungan!J$3*Return!$B101</f>
        <v>1.0385421593655101E-2</v>
      </c>
      <c r="L101">
        <f>Perhitungan!K$4+Perhitungan!K$3*Return!$B101</f>
        <v>3.013510080427953E-3</v>
      </c>
      <c r="M101">
        <f>Perhitungan!L$4+Perhitungan!L$3*Return!$B101</f>
        <v>1.4457967750402808E-2</v>
      </c>
      <c r="N101">
        <f>Perhitungan!M$4+Perhitungan!M$3*Return!$B101</f>
        <v>1.1333023577001401E-2</v>
      </c>
      <c r="O101">
        <f>Perhitungan!N$4+Perhitungan!N$3*Return!$B101</f>
        <v>4.6148960312521661E-3</v>
      </c>
      <c r="P101">
        <f>Perhitungan!O$4+Perhitungan!O$3*Return!$B101</f>
        <v>6.5886181251754846E-3</v>
      </c>
      <c r="Q101">
        <f>Perhitungan!P$4+Perhitungan!P$3*Return!$B101</f>
        <v>1.2246261565675631E-2</v>
      </c>
      <c r="R101">
        <f>Perhitungan!Q$4+Perhitungan!Q$3*Return!$B101</f>
        <v>4.7973742305423388E-3</v>
      </c>
      <c r="S101">
        <f>Perhitungan!R$4+Perhitungan!R$3*Return!$B101</f>
        <v>5.143616004172913E-3</v>
      </c>
      <c r="T101">
        <f>Perhitungan!S$4+Perhitungan!S$3*Return!$B101</f>
        <v>6.6207660795471286E-3</v>
      </c>
      <c r="U101">
        <f>Perhitungan!T$4+Perhitungan!T$3*Return!$B101</f>
        <v>1.0793571174843983E-2</v>
      </c>
      <c r="V101">
        <f>Perhitungan!U$4+Perhitungan!U$3*Return!$B101</f>
        <v>8.8082754814299644E-3</v>
      </c>
      <c r="W101">
        <f>Perhitungan!V$4+Perhitungan!V$3*Return!$B101</f>
        <v>2.051414345528281E-2</v>
      </c>
      <c r="X101">
        <f>Perhitungan!W$4+Perhitungan!W$3*Return!$B101</f>
        <v>5.7225461603919075E-3</v>
      </c>
      <c r="Y101">
        <f>Perhitungan!X$4+Perhitungan!X$3*Return!$B101</f>
        <v>6.0679082587650306E-3</v>
      </c>
      <c r="Z101">
        <f>Perhitungan!Y$4+Perhitungan!Y$3*Return!$B101</f>
        <v>6.4389622236031754E-3</v>
      </c>
      <c r="AA101">
        <f>Perhitungan!Z$4+Perhitungan!Z$3*Return!$B101</f>
        <v>1.3580688349517166E-2</v>
      </c>
      <c r="AB101">
        <f>Perhitungan!AA$4+Perhitungan!AA$3*Return!$B101</f>
        <v>9.2637255708190713E-3</v>
      </c>
      <c r="AC101">
        <f>Perhitungan!AB$4+Perhitungan!AB$3*Return!$B101</f>
        <v>9.4407020846605134E-3</v>
      </c>
      <c r="AD101">
        <f>Perhitungan!AC$4+Perhitungan!AC$3*Return!$B101</f>
        <v>8.8232745217254396E-3</v>
      </c>
      <c r="AE101">
        <f>Perhitungan!AD$4+Perhitungan!AD$3*Return!$B101</f>
        <v>7.3128698122621903E-3</v>
      </c>
      <c r="AF101">
        <f>Perhitungan!AE$4+Perhitungan!AE$3*Return!$B101</f>
        <v>16.409186752852381</v>
      </c>
    </row>
    <row r="102" spans="1:32" x14ac:dyDescent="0.3">
      <c r="A102" s="1">
        <v>45999</v>
      </c>
      <c r="C102">
        <f>Perhitungan!B$4+Perhitungan!B$3*Return!$B102</f>
        <v>1.9342217775868059E-2</v>
      </c>
      <c r="D102">
        <f>Perhitungan!C$4+Perhitungan!C$3*Return!$B102</f>
        <v>2.520298885940337E-2</v>
      </c>
      <c r="E102">
        <f>Perhitungan!D$4+Perhitungan!D$3*Return!$B102</f>
        <v>2.398123420551948E-2</v>
      </c>
      <c r="F102">
        <f>Perhitungan!E$4+Perhitungan!E$3*Return!$B102</f>
        <v>2.0579032125256625E-2</v>
      </c>
      <c r="G102">
        <f>Perhitungan!F$4+Perhitungan!F$3*Return!$B102</f>
        <v>2.3621812960323722E-2</v>
      </c>
      <c r="H102">
        <f>Perhitungan!G$4+Perhitungan!G$3*Return!$B102</f>
        <v>1.6885806084062798E-2</v>
      </c>
      <c r="I102">
        <f>Perhitungan!H$4+Perhitungan!H$3*Return!$B102</f>
        <v>8.4868187447568345E-3</v>
      </c>
      <c r="J102">
        <f>Perhitungan!I$4+Perhitungan!I$3*Return!$B102</f>
        <v>6.9567806672840059E-3</v>
      </c>
      <c r="K102">
        <f>Perhitungan!J$4+Perhitungan!J$3*Return!$B102</f>
        <v>2.431433656560433E-2</v>
      </c>
      <c r="L102">
        <f>Perhitungan!K$4+Perhitungan!K$3*Return!$B102</f>
        <v>8.3887417066154362E-3</v>
      </c>
      <c r="M102">
        <f>Perhitungan!L$4+Perhitungan!L$3*Return!$B102</f>
        <v>2.8814401670181847E-2</v>
      </c>
      <c r="N102">
        <f>Perhitungan!M$4+Perhitungan!M$3*Return!$B102</f>
        <v>3.2151192021779712E-2</v>
      </c>
      <c r="O102">
        <f>Perhitungan!N$4+Perhitungan!N$3*Return!$B102</f>
        <v>1.2208427065586648E-2</v>
      </c>
      <c r="P102">
        <f>Perhitungan!O$4+Perhitungan!O$3*Return!$B102</f>
        <v>1.9602573003813028E-2</v>
      </c>
      <c r="Q102">
        <f>Perhitungan!P$4+Perhitungan!P$3*Return!$B102</f>
        <v>2.7981817568752135E-2</v>
      </c>
      <c r="R102">
        <f>Perhitungan!Q$4+Perhitungan!Q$3*Return!$B102</f>
        <v>1.3460970852143537E-2</v>
      </c>
      <c r="S102">
        <f>Perhitungan!R$4+Perhitungan!R$3*Return!$B102</f>
        <v>1.3193230996839138E-2</v>
      </c>
      <c r="T102">
        <f>Perhitungan!S$4+Perhitungan!S$3*Return!$B102</f>
        <v>1.507724286335038E-2</v>
      </c>
      <c r="U102">
        <f>Perhitungan!T$4+Perhitungan!T$3*Return!$B102</f>
        <v>2.7006166656930269E-2</v>
      </c>
      <c r="V102">
        <f>Perhitungan!U$4+Perhitungan!U$3*Return!$B102</f>
        <v>2.2390631109765306E-2</v>
      </c>
      <c r="W102">
        <f>Perhitungan!V$4+Perhitungan!V$3*Return!$B102</f>
        <v>4.8593488013633446E-2</v>
      </c>
      <c r="X102">
        <f>Perhitungan!W$4+Perhitungan!W$3*Return!$B102</f>
        <v>2.143384295561054E-2</v>
      </c>
      <c r="Y102">
        <f>Perhitungan!X$4+Perhitungan!X$3*Return!$B102</f>
        <v>1.7847673349246831E-2</v>
      </c>
      <c r="Z102">
        <f>Perhitungan!Y$4+Perhitungan!Y$3*Return!$B102</f>
        <v>1.7926935676594227E-2</v>
      </c>
      <c r="AA102">
        <f>Perhitungan!Z$4+Perhitungan!Z$3*Return!$B102</f>
        <v>3.078345842234748E-2</v>
      </c>
      <c r="AB102">
        <f>Perhitungan!AA$4+Perhitungan!AA$3*Return!$B102</f>
        <v>2.4844267276485418E-2</v>
      </c>
      <c r="AC102">
        <f>Perhitungan!AB$4+Perhitungan!AB$3*Return!$B102</f>
        <v>2.220131657755943E-2</v>
      </c>
      <c r="AD102">
        <f>Perhitungan!AC$4+Perhitungan!AC$3*Return!$B102</f>
        <v>2.3021233712626613E-2</v>
      </c>
      <c r="AE102">
        <f>Perhitungan!AD$4+Perhitungan!AD$3*Return!$B102</f>
        <v>1.8602140686574946E-2</v>
      </c>
      <c r="AF102">
        <f>Perhitungan!AE$4+Perhitungan!AE$3*Return!$B102</f>
        <v>15.993165204213986</v>
      </c>
    </row>
    <row r="103" spans="1:32" x14ac:dyDescent="0.3">
      <c r="A103" s="4" t="s">
        <v>60</v>
      </c>
      <c r="C103">
        <f>Perhitungan!B$4+Perhitungan!B$3*Return!$B103</f>
        <v>9.5186375134299062E-3</v>
      </c>
      <c r="D103">
        <f>Perhitungan!C$4+Perhitungan!C$3*Return!$B103</f>
        <v>1.3956771827265686E-2</v>
      </c>
      <c r="E103">
        <f>Perhitungan!D$4+Perhitungan!D$3*Return!$B103</f>
        <v>1.2789068566740473E-2</v>
      </c>
      <c r="F103">
        <f>Perhitungan!E$4+Perhitungan!E$3*Return!$B103</f>
        <v>1.0892328524349142E-2</v>
      </c>
      <c r="G103">
        <f>Perhitungan!F$4+Perhitungan!F$3*Return!$B103</f>
        <v>1.3319407946484658E-2</v>
      </c>
      <c r="H103">
        <f>Perhitungan!G$4+Perhitungan!G$3*Return!$B103</f>
        <v>9.1917082678258794E-3</v>
      </c>
      <c r="I103">
        <f>Perhitungan!H$4+Perhitungan!H$3*Return!$B103</f>
        <v>3.6399442943878487E-3</v>
      </c>
      <c r="J103">
        <f>Perhitungan!I$4+Perhitungan!I$3*Return!$B103</f>
        <v>3.6715686147550143E-3</v>
      </c>
      <c r="K103">
        <f>Perhitungan!J$4+Perhitungan!J$3*Return!$B103</f>
        <v>1.3548696050383703E-2</v>
      </c>
      <c r="L103">
        <f>Perhitungan!K$4+Perhitungan!K$3*Return!$B103</f>
        <v>4.2342320775369023E-3</v>
      </c>
      <c r="M103">
        <f>Perhitungan!L$4+Perhitungan!L$3*Return!$B103</f>
        <v>1.7718332308561492E-2</v>
      </c>
      <c r="N103">
        <f>Perhitungan!M$4+Perhitungan!M$3*Return!$B103</f>
        <v>1.6060856334244873E-2</v>
      </c>
      <c r="O103">
        <f>Perhitungan!N$4+Perhitungan!N$3*Return!$B103</f>
        <v>6.3393966693607159E-3</v>
      </c>
      <c r="P103">
        <f>Perhitungan!O$4+Perhitungan!O$3*Return!$B103</f>
        <v>9.5441039710950238E-3</v>
      </c>
      <c r="Q103">
        <f>Perhitungan!P$4+Perhitungan!P$3*Return!$B103</f>
        <v>1.5819826517949054E-2</v>
      </c>
      <c r="R103">
        <f>Perhitungan!Q$4+Perhitungan!Q$3*Return!$B103</f>
        <v>6.7648881360907291E-3</v>
      </c>
      <c r="S103">
        <f>Perhitungan!R$4+Perhitungan!R$3*Return!$B103</f>
        <v>6.9716938942368306E-3</v>
      </c>
      <c r="T103">
        <f>Perhitungan!S$4+Perhitungan!S$3*Return!$B103</f>
        <v>8.5412428042592921E-3</v>
      </c>
      <c r="U103">
        <f>Perhitungan!T$4+Perhitungan!T$3*Return!$B103</f>
        <v>1.4475472404698372E-2</v>
      </c>
      <c r="V103">
        <f>Perhitungan!U$4+Perhitungan!U$3*Return!$B103</f>
        <v>1.1892845866692687E-2</v>
      </c>
      <c r="W103">
        <f>Perhitungan!V$4+Perhitungan!V$3*Return!$B103</f>
        <v>2.6890998621818575E-2</v>
      </c>
      <c r="X103">
        <f>Perhitungan!W$4+Perhitungan!W$3*Return!$B103</f>
        <v>9.2906018154435555E-3</v>
      </c>
      <c r="Y103">
        <f>Perhitungan!X$4+Perhitungan!X$3*Return!$B103</f>
        <v>8.7431080207009577E-3</v>
      </c>
      <c r="Z103">
        <f>Perhitungan!Y$4+Perhitungan!Y$3*Return!$B103</f>
        <v>9.0478957303842446E-3</v>
      </c>
      <c r="AA103">
        <f>Perhitungan!Z$4+Perhitungan!Z$3*Return!$B103</f>
        <v>1.7487459499025026E-2</v>
      </c>
      <c r="AB103">
        <f>Perhitungan!AA$4+Perhitungan!AA$3*Return!$B103</f>
        <v>1.2802086577314034E-2</v>
      </c>
      <c r="AC103">
        <f>Perhitungan!AB$4+Perhitungan!AB$3*Return!$B103</f>
        <v>1.2338654004019468E-2</v>
      </c>
      <c r="AD103">
        <f>Perhitungan!AC$4+Perhitungan!AC$3*Return!$B103</f>
        <v>1.2047649265680657E-2</v>
      </c>
      <c r="AE103">
        <f>Perhitungan!AD$4+Perhitungan!AD$3*Return!$B103</f>
        <v>9.8766777085499118E-3</v>
      </c>
      <c r="AF103">
        <f>Perhitungan!AE$4+Perhitungan!AE$3*Return!$B103</f>
        <v>16.314707725526368</v>
      </c>
    </row>
    <row r="104" spans="1:32" x14ac:dyDescent="0.3">
      <c r="A104" s="3" t="s">
        <v>61</v>
      </c>
      <c r="C104">
        <f>Perhitungan!B$4+Perhitungan!B$3*Return!$B104</f>
        <v>2.5334128912953423E-3</v>
      </c>
      <c r="D104">
        <f>Perhitungan!C$4+Perhitungan!C$3*Return!$B104</f>
        <v>5.9599570183988641E-3</v>
      </c>
      <c r="E104">
        <f>Perhitungan!D$4+Perhitungan!D$3*Return!$B104</f>
        <v>4.8306879248131099E-3</v>
      </c>
      <c r="F104">
        <f>Perhitungan!E$4+Perhitungan!E$3*Return!$B104</f>
        <v>4.0044323915002459E-3</v>
      </c>
      <c r="G104">
        <f>Perhitungan!F$4+Perhitungan!F$3*Return!$B104</f>
        <v>5.9937068021637761E-3</v>
      </c>
      <c r="H104">
        <f>Perhitungan!G$4+Perhitungan!G$3*Return!$B104</f>
        <v>3.7206885300840797E-3</v>
      </c>
      <c r="I104">
        <f>Perhitungan!H$4+Perhitungan!H$3*Return!$B104</f>
        <v>1.9349138754211175E-4</v>
      </c>
      <c r="J104">
        <f>Perhitungan!I$4+Perhitungan!I$3*Return!$B104</f>
        <v>1.3355624433590879E-3</v>
      </c>
      <c r="K104">
        <f>Perhitungan!J$4+Perhitungan!J$3*Return!$B104</f>
        <v>5.8936033865096184E-3</v>
      </c>
      <c r="L104">
        <f>Perhitungan!K$4+Perhitungan!K$3*Return!$B104</f>
        <v>1.2800970087883648E-3</v>
      </c>
      <c r="M104">
        <f>Perhitungan!L$4+Perhitungan!L$3*Return!$B104</f>
        <v>9.8282825667104154E-3</v>
      </c>
      <c r="N104">
        <f>Perhitungan!M$4+Perhitungan!M$3*Return!$B104</f>
        <v>4.619548173641198E-3</v>
      </c>
      <c r="O104">
        <f>Perhitungan!N$4+Perhitungan!N$3*Return!$B104</f>
        <v>2.1661223094484286E-3</v>
      </c>
      <c r="P104">
        <f>Perhitungan!O$4+Perhitungan!O$3*Return!$B104</f>
        <v>2.3918576748061422E-3</v>
      </c>
      <c r="Q104">
        <f>Perhitungan!P$4+Perhitungan!P$3*Return!$B104</f>
        <v>7.1718349433207628E-3</v>
      </c>
      <c r="R104">
        <f>Perhitungan!Q$4+Perhitungan!Q$3*Return!$B104</f>
        <v>2.0035240905535434E-3</v>
      </c>
      <c r="S104">
        <f>Perhitungan!R$4+Perhitungan!R$3*Return!$B104</f>
        <v>2.5477636167195415E-3</v>
      </c>
      <c r="T104">
        <f>Perhitungan!S$4+Perhitungan!S$3*Return!$B104</f>
        <v>3.893708267629502E-3</v>
      </c>
      <c r="U104">
        <f>Perhitungan!T$4+Perhitungan!T$3*Return!$B104</f>
        <v>5.5653081178738892E-3</v>
      </c>
      <c r="V104">
        <f>Perhitungan!U$4+Perhitungan!U$3*Return!$B104</f>
        <v>4.428216271495403E-3</v>
      </c>
      <c r="W104">
        <f>Perhitungan!V$4+Perhitungan!V$3*Return!$B104</f>
        <v>1.1459072662912222E-2</v>
      </c>
      <c r="X104">
        <f>Perhitungan!W$4+Perhitungan!W$3*Return!$B104</f>
        <v>6.5594268519289338E-4</v>
      </c>
      <c r="Y104">
        <f>Perhitungan!X$4+Perhitungan!X$3*Return!$B104</f>
        <v>2.2691512546566001E-3</v>
      </c>
      <c r="Z104">
        <f>Perhitungan!Y$4+Perhitungan!Y$3*Return!$B104</f>
        <v>2.7343026414844147E-3</v>
      </c>
      <c r="AA104">
        <f>Perhitungan!Z$4+Perhitungan!Z$3*Return!$B104</f>
        <v>8.0331122474237536E-3</v>
      </c>
      <c r="AB104">
        <f>Perhitungan!AA$4+Perhitungan!AA$3*Return!$B104</f>
        <v>4.2392882006692069E-3</v>
      </c>
      <c r="AC104">
        <f>Perhitungan!AB$4+Perhitungan!AB$3*Return!$B104</f>
        <v>5.3256392366929153E-3</v>
      </c>
      <c r="AD104">
        <f>Perhitungan!AC$4+Perhitungan!AC$3*Return!$B104</f>
        <v>4.2446945155705344E-3</v>
      </c>
      <c r="AE104">
        <f>Perhitungan!AD$4+Perhitungan!AD$3*Return!$B104</f>
        <v>3.6722881473761322E-3</v>
      </c>
      <c r="AF104">
        <f>Perhitungan!AE$4+Perhitungan!AE$3*Return!$B104</f>
        <v>16.543346030190353</v>
      </c>
    </row>
    <row r="105" spans="1:32" x14ac:dyDescent="0.3">
      <c r="A105" s="4" t="s">
        <v>62</v>
      </c>
      <c r="C105">
        <f>Perhitungan!B$4+Perhitungan!B$3*Return!$B105</f>
        <v>-5.1990873767989764E-3</v>
      </c>
      <c r="D105">
        <f>Perhitungan!C$4+Perhitungan!C$3*Return!$B105</f>
        <v>-2.8923528210759181E-3</v>
      </c>
      <c r="E105">
        <f>Perhitungan!D$4+Perhitungan!D$3*Return!$B105</f>
        <v>-3.9790760808138094E-3</v>
      </c>
      <c r="F105">
        <f>Perhitungan!E$4+Perhitungan!E$3*Return!$B105</f>
        <v>-3.6203272368571845E-3</v>
      </c>
      <c r="G105">
        <f>Perhitungan!F$4+Perhitungan!F$3*Return!$B105</f>
        <v>-2.1156939868877352E-3</v>
      </c>
      <c r="H105">
        <f>Perhitungan!G$4+Perhitungan!G$3*Return!$B105</f>
        <v>-2.3356180137003623E-3</v>
      </c>
      <c r="I105">
        <f>Perhitungan!H$4+Perhitungan!H$3*Return!$B105</f>
        <v>-3.62166123356507E-3</v>
      </c>
      <c r="J105">
        <f>Perhitungan!I$4+Perhitungan!I$3*Return!$B105</f>
        <v>-1.2503484362067563E-3</v>
      </c>
      <c r="K105">
        <f>Perhitungan!J$4+Perhitungan!J$3*Return!$B105</f>
        <v>-2.5804270531306819E-3</v>
      </c>
      <c r="L105">
        <f>Perhitungan!K$4+Perhitungan!K$3*Return!$B105</f>
        <v>-1.9900698715580706E-3</v>
      </c>
      <c r="M105">
        <f>Perhitungan!L$4+Perhitungan!L$3*Return!$B105</f>
        <v>1.094159464811166E-3</v>
      </c>
      <c r="N105">
        <f>Perhitungan!M$4+Perhitungan!M$3*Return!$B105</f>
        <v>-8.0457450996598324E-3</v>
      </c>
      <c r="O105">
        <f>Perhitungan!N$4+Perhitungan!N$3*Return!$B105</f>
        <v>-2.4536067404374146E-3</v>
      </c>
      <c r="P105">
        <f>Perhitungan!O$4+Perhitungan!O$3*Return!$B105</f>
        <v>-5.5255321580536922E-3</v>
      </c>
      <c r="Q105">
        <f>Perhitungan!P$4+Perhitungan!P$3*Return!$B105</f>
        <v>-2.4013142088758861E-3</v>
      </c>
      <c r="R105">
        <f>Perhitungan!Q$4+Perhitungan!Q$3*Return!$B105</f>
        <v>-3.2672081693576943E-3</v>
      </c>
      <c r="S105">
        <f>Perhitungan!R$4+Perhitungan!R$3*Return!$B105</f>
        <v>-2.3494363886368535E-3</v>
      </c>
      <c r="T105">
        <f>Perhitungan!S$4+Perhitungan!S$3*Return!$B105</f>
        <v>-1.2510170625468821E-3</v>
      </c>
      <c r="U105">
        <f>Perhitungan!T$4+Perhitungan!T$3*Return!$B105</f>
        <v>-4.2980608449957325E-3</v>
      </c>
      <c r="V105">
        <f>Perhitungan!U$4+Perhitungan!U$3*Return!$B105</f>
        <v>-3.8349754608342384E-3</v>
      </c>
      <c r="W105">
        <f>Perhitungan!V$4+Perhitungan!V$3*Return!$B105</f>
        <v>-5.6237525960399597E-3</v>
      </c>
      <c r="X105">
        <f>Perhitungan!W$4+Perhitungan!W$3*Return!$B105</f>
        <v>-8.9024477247583479E-3</v>
      </c>
      <c r="Y105">
        <f>Perhitungan!X$4+Perhitungan!X$3*Return!$B105</f>
        <v>-4.8973859917536087E-3</v>
      </c>
      <c r="Z105">
        <f>Perhitungan!Y$4+Perhitungan!Y$3*Return!$B105</f>
        <v>-4.2547153061786441E-3</v>
      </c>
      <c r="AA105">
        <f>Perhitungan!Z$4+Perhitungan!Z$3*Return!$B105</f>
        <v>-2.4326560867839117E-3</v>
      </c>
      <c r="AB105">
        <f>Perhitungan!AA$4+Perhitungan!AA$3*Return!$B105</f>
        <v>-5.239553830155925E-3</v>
      </c>
      <c r="AC105">
        <f>Perhitungan!AB$4+Perhitungan!AB$3*Return!$B105</f>
        <v>-2.4376241516690738E-3</v>
      </c>
      <c r="AD105">
        <f>Perhitungan!AC$4+Perhitungan!AC$3*Return!$B105</f>
        <v>-4.3930162183065669E-3</v>
      </c>
      <c r="AE105">
        <f>Perhitungan!AD$4+Perhitungan!AD$3*Return!$B105</f>
        <v>-3.1958437367603822E-3</v>
      </c>
      <c r="AF105">
        <f>Perhitungan!AE$4+Perhitungan!AE$3*Return!$B105</f>
        <v>16.796443940099895</v>
      </c>
    </row>
    <row r="106" spans="1:32" x14ac:dyDescent="0.3">
      <c r="A106" s="3" t="s">
        <v>63</v>
      </c>
      <c r="C106">
        <f>Perhitungan!B$4+Perhitungan!B$3*Return!$B106</f>
        <v>-5.4923146844839581E-3</v>
      </c>
      <c r="D106">
        <f>Perhitungan!C$4+Perhitungan!C$3*Return!$B106</f>
        <v>-3.2280448858706574E-3</v>
      </c>
      <c r="E106">
        <f>Perhitungan!D$4+Perhitungan!D$3*Return!$B106</f>
        <v>-4.3131547476286105E-3</v>
      </c>
      <c r="F106">
        <f>Perhitungan!E$4+Perhitungan!E$3*Return!$B106</f>
        <v>-3.9094688676429793E-3</v>
      </c>
      <c r="G106">
        <f>Perhitungan!F$4+Perhitungan!F$3*Return!$B106</f>
        <v>-2.4232138934984948E-3</v>
      </c>
      <c r="H106">
        <f>Perhitungan!G$4+Perhitungan!G$3*Return!$B106</f>
        <v>-2.5652816930766733E-3</v>
      </c>
      <c r="I106">
        <f>Perhitungan!H$4+Perhitungan!H$3*Return!$B106</f>
        <v>-3.7663371977044498E-3</v>
      </c>
      <c r="J106">
        <f>Perhitungan!I$4+Perhitungan!I$3*Return!$B106</f>
        <v>-1.348409821119617E-3</v>
      </c>
      <c r="K106">
        <f>Perhitungan!J$4+Perhitungan!J$3*Return!$B106</f>
        <v>-2.9017742299693432E-3</v>
      </c>
      <c r="L106">
        <f>Perhitungan!K$4+Perhitungan!K$3*Return!$B106</f>
        <v>-2.1140792083519122E-3</v>
      </c>
      <c r="M106">
        <f>Perhitungan!L$4+Perhitungan!L$3*Return!$B106</f>
        <v>7.6294920766748365E-4</v>
      </c>
      <c r="N106">
        <f>Perhitungan!M$4+Perhitungan!M$3*Return!$B106</f>
        <v>-8.5260308699551951E-3</v>
      </c>
      <c r="O106">
        <f>Perhitungan!N$4+Perhitungan!N$3*Return!$B106</f>
        <v>-2.6287933766566945E-3</v>
      </c>
      <c r="P106">
        <f>Perhitungan!O$4+Perhitungan!O$3*Return!$B106</f>
        <v>-5.8257707386019852E-3</v>
      </c>
      <c r="Q106">
        <f>Perhitungan!P$4+Perhitungan!P$3*Return!$B106</f>
        <v>-2.7643415162977849E-3</v>
      </c>
      <c r="R106">
        <f>Perhitungan!Q$4+Perhitungan!Q$3*Return!$B106</f>
        <v>-3.4670817647689035E-3</v>
      </c>
      <c r="S106">
        <f>Perhitungan!R$4+Perhitungan!R$3*Return!$B106</f>
        <v>-2.5351451145312056E-3</v>
      </c>
      <c r="T106">
        <f>Perhitungan!S$4+Perhitungan!S$3*Return!$B106</f>
        <v>-1.4461122975992491E-3</v>
      </c>
      <c r="U106">
        <f>Perhitungan!T$4+Perhitungan!T$3*Return!$B106</f>
        <v>-4.6720936966491156E-3</v>
      </c>
      <c r="V106">
        <f>Perhitungan!U$4+Perhitungan!U$3*Return!$B106</f>
        <v>-4.1483273367537935E-3</v>
      </c>
      <c r="W106">
        <f>Perhitungan!V$4+Perhitungan!V$3*Return!$B106</f>
        <v>-6.2715574049197215E-3</v>
      </c>
      <c r="X106">
        <f>Perhitungan!W$4+Perhitungan!W$3*Return!$B106</f>
        <v>-9.2649153598746026E-3</v>
      </c>
      <c r="Y106">
        <f>Perhitungan!X$4+Perhitungan!X$3*Return!$B106</f>
        <v>-5.1691511840368676E-3</v>
      </c>
      <c r="Z106">
        <f>Perhitungan!Y$4+Perhitungan!Y$3*Return!$B106</f>
        <v>-4.5197487164730247E-3</v>
      </c>
      <c r="AA106">
        <f>Perhitungan!Z$4+Perhitungan!Z$3*Return!$B106</f>
        <v>-2.8295327715681419E-3</v>
      </c>
      <c r="AB106">
        <f>Perhitungan!AA$4+Perhitungan!AA$3*Return!$B106</f>
        <v>-5.5990048786270941E-3</v>
      </c>
      <c r="AC106">
        <f>Perhitungan!AB$4+Perhitungan!AB$3*Return!$B106</f>
        <v>-2.7320180402294935E-3</v>
      </c>
      <c r="AD106">
        <f>Perhitungan!AC$4+Perhitungan!AC$3*Return!$B106</f>
        <v>-4.720570382579576E-3</v>
      </c>
      <c r="AE106">
        <f>Perhitungan!AD$4+Perhitungan!AD$3*Return!$B106</f>
        <v>-3.4562929771594468E-3</v>
      </c>
      <c r="AF106">
        <f>Perhitungan!AE$4+Perhitungan!AE$3*Return!$B106</f>
        <v>16.806041769538027</v>
      </c>
    </row>
    <row r="107" spans="1:32" x14ac:dyDescent="0.3">
      <c r="A107" s="4" t="s">
        <v>64</v>
      </c>
      <c r="C107">
        <f>Perhitungan!B$4+Perhitungan!B$3*Return!$B107</f>
        <v>7.1965849103137209E-3</v>
      </c>
      <c r="D107">
        <f>Perhitungan!C$4+Perhitungan!C$3*Return!$B107</f>
        <v>1.1298442904710167E-2</v>
      </c>
      <c r="E107">
        <f>Perhitungan!D$4+Perhitungan!D$3*Return!$B107</f>
        <v>1.014351606330075E-2</v>
      </c>
      <c r="F107">
        <f>Perhitungan!E$4+Perhitungan!E$3*Return!$B107</f>
        <v>8.6026301953084118E-3</v>
      </c>
      <c r="G107">
        <f>Perhitungan!F$4+Perhitungan!F$3*Return!$B107</f>
        <v>1.0884172956629263E-2</v>
      </c>
      <c r="H107">
        <f>Perhitungan!G$4+Perhitungan!G$3*Return!$B107</f>
        <v>7.3730129056943103E-3</v>
      </c>
      <c r="I107">
        <f>Perhitungan!H$4+Perhitungan!H$3*Return!$B107</f>
        <v>2.4942624621244569E-3</v>
      </c>
      <c r="J107">
        <f>Perhitungan!I$4+Perhitungan!I$3*Return!$B107</f>
        <v>2.8950253388241387E-3</v>
      </c>
      <c r="K107">
        <f>Perhitungan!J$4+Perhitungan!J$3*Return!$B107</f>
        <v>1.100396358882221E-2</v>
      </c>
      <c r="L107">
        <f>Perhitungan!K$4+Perhitungan!K$3*Return!$B107</f>
        <v>3.2522082490392926E-3</v>
      </c>
      <c r="M107">
        <f>Perhitungan!L$4+Perhitungan!L$3*Return!$B107</f>
        <v>1.5095494599989299E-2</v>
      </c>
      <c r="N107">
        <f>Perhitungan!M$4+Perhitungan!M$3*Return!$B107</f>
        <v>1.2257496981533649E-2</v>
      </c>
      <c r="O107">
        <f>Perhitungan!N$4+Perhitungan!N$3*Return!$B107</f>
        <v>4.9521023280670656E-3</v>
      </c>
      <c r="P107">
        <f>Perhitungan!O$4+Perhitungan!O$3*Return!$B107</f>
        <v>7.1665294435989272E-3</v>
      </c>
      <c r="Q107">
        <f>Perhitungan!P$4+Perhitungan!P$3*Return!$B107</f>
        <v>1.2945031155755529E-2</v>
      </c>
      <c r="R107">
        <f>Perhitungan!Q$4+Perhitungan!Q$3*Return!$B107</f>
        <v>5.1820989812095698E-3</v>
      </c>
      <c r="S107">
        <f>Perhitungan!R$4+Perhitungan!R$3*Return!$B107</f>
        <v>5.5010756431984843E-3</v>
      </c>
      <c r="T107">
        <f>Perhitungan!S$4+Perhitungan!S$3*Return!$B107</f>
        <v>6.9962932496441411E-3</v>
      </c>
      <c r="U107">
        <f>Perhitungan!T$4+Perhitungan!T$3*Return!$B107</f>
        <v>1.1513524679946294E-2</v>
      </c>
      <c r="V107">
        <f>Perhitungan!U$4+Perhitungan!U$3*Return!$B107</f>
        <v>9.4114277992047978E-3</v>
      </c>
      <c r="W107">
        <f>Perhitungan!V$4+Perhitungan!V$3*Return!$B107</f>
        <v>2.1761064255724483E-2</v>
      </c>
      <c r="X107">
        <f>Perhitungan!W$4+Perhitungan!W$3*Return!$B107</f>
        <v>6.4202384706650286E-3</v>
      </c>
      <c r="Y107">
        <f>Perhitungan!X$4+Perhitungan!X$3*Return!$B107</f>
        <v>6.5910128520761373E-3</v>
      </c>
      <c r="Z107">
        <f>Perhitungan!Y$4+Perhitungan!Y$3*Return!$B107</f>
        <v>6.9491092116743831E-3</v>
      </c>
      <c r="AA107">
        <f>Perhitungan!Z$4+Perhitungan!Z$3*Return!$B107</f>
        <v>1.4344612585157783E-2</v>
      </c>
      <c r="AB107">
        <f>Perhitungan!AA$4+Perhitungan!AA$3*Return!$B107</f>
        <v>9.9556114335596479E-3</v>
      </c>
      <c r="AC107">
        <f>Perhitungan!AB$4+Perhitungan!AB$3*Return!$B107</f>
        <v>1.0007363304424673E-2</v>
      </c>
      <c r="AD107">
        <f>Perhitungan!AC$4+Perhitungan!AC$3*Return!$B107</f>
        <v>9.4537639764264644E-3</v>
      </c>
      <c r="AE107">
        <f>Perhitungan!AD$4+Perhitungan!AD$3*Return!$B107</f>
        <v>7.8141930053925845E-3</v>
      </c>
      <c r="AF107">
        <f>Perhitungan!AE$4+Perhitungan!AE$3*Return!$B107</f>
        <v>16.390712463990287</v>
      </c>
    </row>
    <row r="108" spans="1:32" x14ac:dyDescent="0.3">
      <c r="A108" s="3" t="s">
        <v>65</v>
      </c>
      <c r="C108">
        <f>Perhitungan!B$4+Perhitungan!B$3*Return!$B108</f>
        <v>-7.3831332564922216E-3</v>
      </c>
      <c r="D108">
        <f>Perhitungan!C$4+Perhitungan!C$3*Return!$B108</f>
        <v>-5.3926890849423153E-3</v>
      </c>
      <c r="E108">
        <f>Perhitungan!D$4+Perhitungan!D$3*Return!$B108</f>
        <v>-6.4673952674229387E-3</v>
      </c>
      <c r="F108">
        <f>Perhitungan!E$4+Perhitungan!E$3*Return!$B108</f>
        <v>-5.7739417564295903E-3</v>
      </c>
      <c r="G108">
        <f>Perhitungan!F$4+Perhitungan!F$3*Return!$B108</f>
        <v>-4.4061954761911524E-3</v>
      </c>
      <c r="H108">
        <f>Perhitungan!G$4+Perhitungan!G$3*Return!$B108</f>
        <v>-4.0462227203939601E-3</v>
      </c>
      <c r="I108">
        <f>Perhitungan!H$4+Perhitungan!H$3*Return!$B108</f>
        <v>-4.6992516730909864E-3</v>
      </c>
      <c r="J108">
        <f>Perhitungan!I$4+Perhitungan!I$3*Return!$B108</f>
        <v>-1.9807393584125189E-3</v>
      </c>
      <c r="K108">
        <f>Perhitungan!J$4+Perhitungan!J$3*Return!$B108</f>
        <v>-4.9739182428377802E-3</v>
      </c>
      <c r="L108">
        <f>Perhitungan!K$4+Perhitungan!K$3*Return!$B108</f>
        <v>-2.913729005512442E-3</v>
      </c>
      <c r="M108">
        <f>Perhitungan!L$4+Perhitungan!L$3*Return!$B108</f>
        <v>-1.372794937007156E-3</v>
      </c>
      <c r="N108">
        <f>Perhitungan!M$4+Perhitungan!M$3*Return!$B108</f>
        <v>-1.1623059115773913E-2</v>
      </c>
      <c r="O108">
        <f>Perhitungan!N$4+Perhitungan!N$3*Return!$B108</f>
        <v>-3.7584499149451835E-3</v>
      </c>
      <c r="P108">
        <f>Perhitungan!O$4+Perhitungan!O$3*Return!$B108</f>
        <v>-7.7618001235049651E-3</v>
      </c>
      <c r="Q108">
        <f>Perhitungan!P$4+Perhitungan!P$3*Return!$B108</f>
        <v>-5.1052516465265431E-3</v>
      </c>
      <c r="R108">
        <f>Perhitungan!Q$4+Perhitungan!Q$3*Return!$B108</f>
        <v>-4.7559272997952321E-3</v>
      </c>
      <c r="S108">
        <f>Perhitungan!R$4+Perhitungan!R$3*Return!$B108</f>
        <v>-3.7326512768231209E-3</v>
      </c>
      <c r="T108">
        <f>Perhitungan!S$4+Perhitungan!S$3*Return!$B108</f>
        <v>-2.7041455164686047E-3</v>
      </c>
      <c r="U108">
        <f>Perhitungan!T$4+Perhitungan!T$3*Return!$B108</f>
        <v>-7.0839709124206236E-3</v>
      </c>
      <c r="V108">
        <f>Perhitungan!U$4+Perhitungan!U$3*Return!$B108</f>
        <v>-6.1689152255149822E-3</v>
      </c>
      <c r="W108">
        <f>Perhitungan!V$4+Perhitungan!V$3*Return!$B108</f>
        <v>-1.0448799195039845E-2</v>
      </c>
      <c r="X108">
        <f>Perhitungan!W$4+Perhitungan!W$3*Return!$B108</f>
        <v>-1.1602216553411534E-2</v>
      </c>
      <c r="Y108">
        <f>Perhitungan!X$4+Perhitungan!X$3*Return!$B108</f>
        <v>-6.9215755296801098E-3</v>
      </c>
      <c r="Z108">
        <f>Perhitungan!Y$4+Perhitungan!Y$3*Return!$B108</f>
        <v>-6.2287644911077442E-3</v>
      </c>
      <c r="AA108">
        <f>Perhitungan!Z$4+Perhitungan!Z$3*Return!$B108</f>
        <v>-5.3887139484907285E-3</v>
      </c>
      <c r="AB108">
        <f>Perhitungan!AA$4+Perhitungan!AA$3*Return!$B108</f>
        <v>-7.9168542069962423E-3</v>
      </c>
      <c r="AC108">
        <f>Perhitungan!AB$4+Perhitungan!AB$3*Return!$B108</f>
        <v>-4.6303590793723582E-3</v>
      </c>
      <c r="AD108">
        <f>Perhitungan!AC$4+Perhitungan!AC$3*Return!$B108</f>
        <v>-6.832738932077094E-3</v>
      </c>
      <c r="AE108">
        <f>Perhitungan!AD$4+Perhitungan!AD$3*Return!$B108</f>
        <v>-5.1357486346149794E-3</v>
      </c>
      <c r="AF108">
        <f>Perhitungan!AE$4+Perhitungan!AE$3*Return!$B108</f>
        <v>16.867931483343543</v>
      </c>
    </row>
    <row r="109" spans="1:32" x14ac:dyDescent="0.3">
      <c r="A109" s="4" t="s">
        <v>66</v>
      </c>
      <c r="C109">
        <f>Perhitungan!B$4+Perhitungan!B$3*Return!$B109</f>
        <v>-5.1074282371318287E-3</v>
      </c>
      <c r="D109">
        <f>Perhitungan!C$4+Perhitungan!C$3*Return!$B109</f>
        <v>-2.7874197365856087E-3</v>
      </c>
      <c r="E109">
        <f>Perhitungan!D$4+Perhitungan!D$3*Return!$B109</f>
        <v>-3.8746473240818848E-3</v>
      </c>
      <c r="F109">
        <f>Perhitungan!E$4+Perhitungan!E$3*Return!$B109</f>
        <v>-3.5299452280019459E-3</v>
      </c>
      <c r="G109">
        <f>Perhitungan!F$4+Perhitungan!F$3*Return!$B109</f>
        <v>-2.01956716195796E-3</v>
      </c>
      <c r="H109">
        <f>Perhitungan!G$4+Perhitungan!G$3*Return!$B109</f>
        <v>-2.263828058560716E-3</v>
      </c>
      <c r="I109">
        <f>Perhitungan!H$4+Perhitungan!H$3*Return!$B109</f>
        <v>-3.5764373609720812E-3</v>
      </c>
      <c r="J109">
        <f>Perhitungan!I$4+Perhitungan!I$3*Return!$B109</f>
        <v>-1.2196956902307985E-3</v>
      </c>
      <c r="K109">
        <f>Perhitungan!J$4+Perhitungan!J$3*Return!$B109</f>
        <v>-2.4799779987910988E-3</v>
      </c>
      <c r="L109">
        <f>Perhitungan!K$4+Perhitungan!K$3*Return!$B109</f>
        <v>-1.9513061247196336E-3</v>
      </c>
      <c r="M109">
        <f>Perhitungan!L$4+Perhitungan!L$3*Return!$B109</f>
        <v>1.1976915930375694E-3</v>
      </c>
      <c r="N109">
        <f>Perhitungan!M$4+Perhitungan!M$3*Return!$B109</f>
        <v>-7.8956138555843665E-3</v>
      </c>
      <c r="O109">
        <f>Perhitungan!N$4+Perhitungan!N$3*Return!$B109</f>
        <v>-2.3988456184811627E-3</v>
      </c>
      <c r="P109">
        <f>Perhitungan!O$4+Perhitungan!O$3*Return!$B109</f>
        <v>-5.431681383358769E-3</v>
      </c>
      <c r="Q109">
        <f>Perhitungan!P$4+Perhitungan!P$3*Return!$B109</f>
        <v>-2.287836474020033E-3</v>
      </c>
      <c r="R109">
        <f>Perhitungan!Q$4+Perhitungan!Q$3*Return!$B109</f>
        <v>-3.2047302168702247E-3</v>
      </c>
      <c r="S109">
        <f>Perhitungan!R$4+Perhitungan!R$3*Return!$B109</f>
        <v>-2.2913861948177794E-3</v>
      </c>
      <c r="T109">
        <f>Perhitungan!S$4+Perhitungan!S$3*Return!$B109</f>
        <v>-1.190032764940907E-3</v>
      </c>
      <c r="U109">
        <f>Perhitungan!T$4+Perhitungan!T$3*Return!$B109</f>
        <v>-4.1811429165106058E-3</v>
      </c>
      <c r="V109">
        <f>Perhitungan!U$4+Perhitungan!U$3*Return!$B109</f>
        <v>-3.7370256362199189E-3</v>
      </c>
      <c r="W109">
        <f>Perhitungan!V$4+Perhitungan!V$3*Return!$B109</f>
        <v>-5.4212570238405602E-3</v>
      </c>
      <c r="X109">
        <f>Perhitungan!W$4+Perhitungan!W$3*Return!$B109</f>
        <v>-8.7891449363712813E-3</v>
      </c>
      <c r="Y109">
        <f>Perhitungan!X$4+Perhitungan!X$3*Return!$B109</f>
        <v>-4.8124356373244045E-3</v>
      </c>
      <c r="Z109">
        <f>Perhitungan!Y$4+Perhitungan!Y$3*Return!$B109</f>
        <v>-4.1718692214724705E-3</v>
      </c>
      <c r="AA109">
        <f>Perhitungan!Z$4+Perhitungan!Z$3*Return!$B109</f>
        <v>-2.3085974656122674E-3</v>
      </c>
      <c r="AB109">
        <f>Perhitungan!AA$4+Perhitungan!AA$3*Return!$B109</f>
        <v>-5.1271939885182676E-3</v>
      </c>
      <c r="AC109">
        <f>Perhitungan!AB$4+Perhitungan!AB$3*Return!$B109</f>
        <v>-2.3456003536069122E-3</v>
      </c>
      <c r="AD109">
        <f>Perhitungan!AC$4+Perhitungan!AC$3*Return!$B109</f>
        <v>-4.2906269383698233E-3</v>
      </c>
      <c r="AE109">
        <f>Perhitungan!AD$4+Perhitungan!AD$3*Return!$B109</f>
        <v>-3.1144306054582088E-3</v>
      </c>
      <c r="AF109">
        <f>Perhitungan!AE$4+Perhitungan!AE$3*Return!$B109</f>
        <v>16.793443780271957</v>
      </c>
    </row>
    <row r="110" spans="1:32" x14ac:dyDescent="0.3">
      <c r="A110" s="3" t="s">
        <v>67</v>
      </c>
      <c r="C110">
        <f>Perhitungan!B$4+Perhitungan!B$3*Return!$B110</f>
        <v>5.79994565162463E-3</v>
      </c>
      <c r="D110">
        <f>Perhitungan!C$4+Perhitungan!C$3*Return!$B110</f>
        <v>9.6995443566035289E-3</v>
      </c>
      <c r="E110">
        <f>Perhitungan!D$4+Perhitungan!D$3*Return!$B110</f>
        <v>8.5523021165242619E-3</v>
      </c>
      <c r="F110">
        <f>Perhitungan!E$4+Perhitungan!E$3*Return!$B110</f>
        <v>7.2254509821409098E-3</v>
      </c>
      <c r="G110">
        <f>Perhitungan!F$4+Perhitungan!F$3*Return!$B110</f>
        <v>9.4194581666193176E-3</v>
      </c>
      <c r="H110">
        <f>Perhitungan!G$4+Perhitungan!G$3*Return!$B110</f>
        <v>6.2791266866913603E-3</v>
      </c>
      <c r="I110">
        <f>Perhitungan!H$4+Perhitungan!H$3*Return!$B110</f>
        <v>1.8051720329246321E-3</v>
      </c>
      <c r="J110">
        <f>Perhitungan!I$4+Perhitungan!I$3*Return!$B110</f>
        <v>2.4279597677080355E-3</v>
      </c>
      <c r="K110">
        <f>Perhitungan!J$4+Perhitungan!J$3*Return!$B110</f>
        <v>9.4733896242583798E-3</v>
      </c>
      <c r="L110">
        <f>Perhitungan!K$4+Perhitungan!K$3*Return!$B110</f>
        <v>2.6615527961837753E-3</v>
      </c>
      <c r="M110">
        <f>Perhitungan!L$4+Perhitungan!L$3*Return!$B110</f>
        <v>1.3517942864922611E-2</v>
      </c>
      <c r="N110">
        <f>Perhitungan!M$4+Perhitungan!M$3*Return!$B110</f>
        <v>9.9698998014481326E-3</v>
      </c>
      <c r="O110">
        <f>Perhitungan!N$4+Perhitungan!N$3*Return!$B110</f>
        <v>4.1176898182868175E-3</v>
      </c>
      <c r="P110">
        <f>Perhitungan!O$4+Perhitungan!O$3*Return!$B110</f>
        <v>5.7364955498344344E-3</v>
      </c>
      <c r="Q110">
        <f>Perhitungan!P$4+Perhitungan!P$3*Return!$B110</f>
        <v>1.1215935071477071E-2</v>
      </c>
      <c r="R110">
        <f>Perhitungan!Q$4+Perhitungan!Q$3*Return!$B110</f>
        <v>4.2301026875133131E-3</v>
      </c>
      <c r="S110">
        <f>Perhitungan!R$4+Perhitungan!R$3*Return!$B110</f>
        <v>4.6165465066972328E-3</v>
      </c>
      <c r="T110">
        <f>Perhitungan!S$4+Perhitungan!S$3*Return!$B110</f>
        <v>6.0670562470998973E-3</v>
      </c>
      <c r="U110">
        <f>Perhitungan!T$4+Perhitungan!T$3*Return!$B110</f>
        <v>9.7320092788644903E-3</v>
      </c>
      <c r="V110">
        <f>Perhitungan!U$4+Perhitungan!U$3*Return!$B110</f>
        <v>7.9189353872658463E-3</v>
      </c>
      <c r="W110">
        <f>Perhitungan!V$4+Perhitungan!V$3*Return!$B110</f>
        <v>1.8675575270431732E-2</v>
      </c>
      <c r="X110">
        <f>Perhitungan!W$4+Perhitungan!W$3*Return!$B110</f>
        <v>4.6938081009826457E-3</v>
      </c>
      <c r="Y110">
        <f>Perhitungan!X$4+Perhitungan!X$3*Return!$B110</f>
        <v>5.296597472810867E-3</v>
      </c>
      <c r="Z110">
        <f>Perhitungan!Y$4+Perhitungan!Y$3*Return!$B110</f>
        <v>5.686757254744608E-3</v>
      </c>
      <c r="AA110">
        <f>Perhitungan!Z$4+Perhitungan!Z$3*Return!$B110</f>
        <v>1.2454292194454208E-2</v>
      </c>
      <c r="AB110">
        <f>Perhitungan!AA$4+Perhitungan!AA$3*Return!$B110</f>
        <v>8.243549041297326E-3</v>
      </c>
      <c r="AC110">
        <f>Perhitungan!AB$4+Perhitungan!AB$3*Return!$B110</f>
        <v>8.6051676306051657E-3</v>
      </c>
      <c r="AD110">
        <f>Perhitungan!AC$4+Perhitungan!AC$3*Return!$B110</f>
        <v>7.8936261816810616E-3</v>
      </c>
      <c r="AE110">
        <f>Perhitungan!AD$4+Perhitungan!AD$3*Return!$B110</f>
        <v>6.5736754120316269E-3</v>
      </c>
      <c r="AF110">
        <f>Perhitungan!AE$4+Perhitungan!AE$3*Return!$B110</f>
        <v>16.436426846792234</v>
      </c>
    </row>
    <row r="111" spans="1:32" x14ac:dyDescent="0.3">
      <c r="A111" s="4" t="s">
        <v>68</v>
      </c>
      <c r="C111">
        <f>Perhitungan!B$4+Perhitungan!B$3*Return!$B111</f>
        <v>-3.9310182663099312E-3</v>
      </c>
      <c r="D111">
        <f>Perhitungan!C$4+Perhitungan!C$3*Return!$B111</f>
        <v>-1.4406437651792144E-3</v>
      </c>
      <c r="E111">
        <f>Perhitungan!D$4+Perhitungan!D$3*Return!$B111</f>
        <v>-2.5343442063994123E-3</v>
      </c>
      <c r="F111">
        <f>Perhitungan!E$4+Perhitungan!E$3*Return!$B111</f>
        <v>-2.3699267422695714E-3</v>
      </c>
      <c r="G111">
        <f>Perhitungan!F$4+Perhitungan!F$3*Return!$B111</f>
        <v>-7.8581616100490033E-4</v>
      </c>
      <c r="H111">
        <f>Perhitungan!G$4+Perhitungan!G$3*Return!$B111</f>
        <v>-1.3424314652932432E-3</v>
      </c>
      <c r="I111">
        <f>Perhitungan!H$4+Perhitungan!H$3*Return!$B111</f>
        <v>-2.996006267785207E-3</v>
      </c>
      <c r="J111">
        <f>Perhitungan!I$4+Perhitungan!I$3*Return!$B111</f>
        <v>-8.2627942939595604E-4</v>
      </c>
      <c r="K111">
        <f>Perhitungan!J$4+Perhitungan!J$3*Return!$B111</f>
        <v>-1.1907528378978327E-3</v>
      </c>
      <c r="L111">
        <f>Perhitungan!K$4+Perhitungan!K$3*Return!$B111</f>
        <v>-1.4537882726783303E-3</v>
      </c>
      <c r="M111">
        <f>Perhitungan!L$4+Perhitungan!L$3*Return!$B111</f>
        <v>2.5264868270780103E-3</v>
      </c>
      <c r="N111">
        <f>Perhitungan!M$4+Perhitungan!M$3*Return!$B111</f>
        <v>-5.968736807603757E-3</v>
      </c>
      <c r="O111">
        <f>Perhitungan!N$4+Perhitungan!N$3*Return!$B111</f>
        <v>-1.6960075805433166E-3</v>
      </c>
      <c r="P111">
        <f>Perhitungan!O$4+Perhitungan!O$3*Return!$B111</f>
        <v>-4.2271426159057809E-3</v>
      </c>
      <c r="Q111">
        <f>Perhitungan!P$4+Perhitungan!P$3*Return!$B111</f>
        <v>-8.3139318603488339E-4</v>
      </c>
      <c r="R111">
        <f>Perhitungan!Q$4+Perhitungan!Q$3*Return!$B111</f>
        <v>-2.4028496130405991E-3</v>
      </c>
      <c r="S111">
        <f>Perhitungan!R$4+Perhitungan!R$3*Return!$B111</f>
        <v>-1.546334178566101E-3</v>
      </c>
      <c r="T111">
        <f>Perhitungan!S$4+Perhitungan!S$3*Return!$B111</f>
        <v>-4.073226497492686E-4</v>
      </c>
      <c r="U111">
        <f>Perhitungan!T$4+Perhitungan!T$3*Return!$B111</f>
        <v>-2.6805460601881264E-3</v>
      </c>
      <c r="V111">
        <f>Perhitungan!U$4+Perhitungan!U$3*Return!$B111</f>
        <v>-2.4798771321537967E-3</v>
      </c>
      <c r="W111">
        <f>Perhitungan!V$4+Perhitungan!V$3*Return!$B111</f>
        <v>-2.8223038692754207E-3</v>
      </c>
      <c r="X111">
        <f>Perhitungan!W$4+Perhitungan!W$3*Return!$B111</f>
        <v>-7.3349470193440763E-3</v>
      </c>
      <c r="Y111">
        <f>Perhitungan!X$4+Perhitungan!X$3*Return!$B111</f>
        <v>-3.7221303569314104E-3</v>
      </c>
      <c r="Z111">
        <f>Perhitungan!Y$4+Perhitungan!Y$3*Return!$B111</f>
        <v>-3.1085714374673072E-3</v>
      </c>
      <c r="AA111">
        <f>Perhitungan!Z$4+Perhitungan!Z$3*Return!$B111</f>
        <v>-7.1635255209113406E-4</v>
      </c>
      <c r="AB111">
        <f>Perhitungan!AA$4+Perhitungan!AA$3*Return!$B111</f>
        <v>-3.6850984320629483E-3</v>
      </c>
      <c r="AC111">
        <f>Perhitungan!AB$4+Perhitungan!AB$3*Return!$B111</f>
        <v>-1.1645101318749941E-3</v>
      </c>
      <c r="AD111">
        <f>Perhitungan!AC$4+Perhitungan!AC$3*Return!$B111</f>
        <v>-2.9764997246487352E-3</v>
      </c>
      <c r="AE111">
        <f>Perhitungan!AD$4+Perhitungan!AD$3*Return!$B111</f>
        <v>-2.069524229863702E-3</v>
      </c>
      <c r="AF111">
        <f>Perhitungan!AE$4+Perhitungan!AE$3*Return!$B111</f>
        <v>16.754937877331308</v>
      </c>
    </row>
    <row r="112" spans="1:32" x14ac:dyDescent="0.3">
      <c r="A112" s="3" t="s">
        <v>69</v>
      </c>
      <c r="C112">
        <f>Perhitungan!B$4+Perhitungan!B$3*Return!$B112</f>
        <v>1.6660972830468612E-3</v>
      </c>
      <c r="D112">
        <f>Perhitungan!C$4+Perhitungan!C$3*Return!$B112</f>
        <v>4.9670380107516426E-3</v>
      </c>
      <c r="E112">
        <f>Perhitungan!D$4+Perhitungan!D$3*Return!$B112</f>
        <v>3.8425410690550331E-3</v>
      </c>
      <c r="F112">
        <f>Perhitungan!E$4+Perhitungan!E$3*Return!$B112</f>
        <v>3.1492015081462537E-3</v>
      </c>
      <c r="G112">
        <f>Perhitungan!F$4+Perhitungan!F$3*Return!$B112</f>
        <v>5.0841161608406807E-3</v>
      </c>
      <c r="H112">
        <f>Perhitungan!G$4+Perhitungan!G$3*Return!$B112</f>
        <v>3.0413831292895451E-3</v>
      </c>
      <c r="I112">
        <f>Perhitungan!H$4+Perhitungan!H$3*Return!$B112</f>
        <v>-2.3443506592206041E-4</v>
      </c>
      <c r="J112">
        <f>Perhitungan!I$4+Perhitungan!I$3*Return!$B112</f>
        <v>1.0455138446359539E-3</v>
      </c>
      <c r="K112">
        <f>Perhitungan!J$4+Perhitungan!J$3*Return!$B112</f>
        <v>4.9431140738355819E-3</v>
      </c>
      <c r="L112">
        <f>Perhitungan!K$4+Perhitungan!K$3*Return!$B112</f>
        <v>9.1329886089761719E-4</v>
      </c>
      <c r="M112">
        <f>Perhitungan!L$4+Perhitungan!L$3*Return!$B112</f>
        <v>8.8486199701376528E-3</v>
      </c>
      <c r="N112">
        <f>Perhitungan!M$4+Perhitungan!M$3*Return!$B112</f>
        <v>3.1989460193414107E-3</v>
      </c>
      <c r="O112">
        <f>Perhitungan!N$4+Perhitungan!N$3*Return!$B112</f>
        <v>1.6479505704343946E-3</v>
      </c>
      <c r="P112">
        <f>Perhitungan!O$4+Perhitungan!O$3*Return!$B112</f>
        <v>1.5038039353240855E-3</v>
      </c>
      <c r="Q112">
        <f>Perhitungan!P$4+Perhitungan!P$3*Return!$B112</f>
        <v>6.0980630206671953E-3</v>
      </c>
      <c r="R112">
        <f>Perhitungan!Q$4+Perhitungan!Q$3*Return!$B112</f>
        <v>1.4123326004242547E-3</v>
      </c>
      <c r="S112">
        <f>Perhitungan!R$4+Perhitungan!R$3*Return!$B112</f>
        <v>1.9984693581876984E-3</v>
      </c>
      <c r="T112">
        <f>Perhitungan!S$4+Perhitungan!S$3*Return!$B112</f>
        <v>3.316650340140676E-3</v>
      </c>
      <c r="U112">
        <f>Perhitungan!T$4+Perhitungan!T$3*Return!$B112</f>
        <v>4.4589837008275051E-3</v>
      </c>
      <c r="V112">
        <f>Perhitungan!U$4+Perhitungan!U$3*Return!$B112</f>
        <v>3.5013756746743751E-3</v>
      </c>
      <c r="W112">
        <f>Perhitungan!V$4+Perhitungan!V$3*Return!$B112</f>
        <v>9.5429781958735437E-3</v>
      </c>
      <c r="X112">
        <f>Perhitungan!W$4+Perhitungan!W$3*Return!$B112</f>
        <v>-4.1617382367939437E-4</v>
      </c>
      <c r="Y112">
        <f>Perhitungan!X$4+Perhitungan!X$3*Return!$B112</f>
        <v>1.4653168679249831E-3</v>
      </c>
      <c r="Z112">
        <f>Perhitungan!Y$4+Perhitungan!Y$3*Return!$B112</f>
        <v>1.9503797003694264E-3</v>
      </c>
      <c r="AA112">
        <f>Perhitungan!Z$4+Perhitungan!Z$3*Return!$B112</f>
        <v>6.8592197270413288E-3</v>
      </c>
      <c r="AB112">
        <f>Perhitungan!AA$4+Perhitungan!AA$3*Return!$B112</f>
        <v>3.1760942328166236E-3</v>
      </c>
      <c r="AC112">
        <f>Perhitungan!AB$4+Perhitungan!AB$3*Return!$B112</f>
        <v>4.4548730841907644E-3</v>
      </c>
      <c r="AD112">
        <f>Perhitungan!AC$4+Perhitungan!AC$3*Return!$B112</f>
        <v>3.2758460087119155E-3</v>
      </c>
      <c r="AE112">
        <f>Perhitungan!AD$4+Perhitungan!AD$3*Return!$B112</f>
        <v>2.9019243871316451E-3</v>
      </c>
      <c r="AF112">
        <f>Perhitungan!AE$4+Perhitungan!AE$3*Return!$B112</f>
        <v>16.571734747949005</v>
      </c>
    </row>
    <row r="113" spans="1:32" x14ac:dyDescent="0.3">
      <c r="A113" s="4" t="s">
        <v>70</v>
      </c>
      <c r="C113">
        <f>Perhitungan!B$4+Perhitungan!B$3*Return!$B113</f>
        <v>8.2912812266958645E-5</v>
      </c>
      <c r="D113">
        <f>Perhitungan!C$4+Perhitungan!C$3*Return!$B113</f>
        <v>3.1545790411456093E-3</v>
      </c>
      <c r="E113">
        <f>Perhitungan!D$4+Perhitungan!D$3*Return!$B113</f>
        <v>2.0387931115549091E-3</v>
      </c>
      <c r="F113">
        <f>Perhitungan!E$4+Perhitungan!E$3*Return!$B113</f>
        <v>1.5880763069155744E-3</v>
      </c>
      <c r="G113">
        <f>Perhitungan!F$4+Perhitungan!F$3*Return!$B113</f>
        <v>3.4237634998092511E-3</v>
      </c>
      <c r="H113">
        <f>Perhitungan!G$4+Perhitungan!G$3*Return!$B113</f>
        <v>1.801389577661093E-3</v>
      </c>
      <c r="I113">
        <f>Perhitungan!H$4+Perhitungan!H$3*Return!$B113</f>
        <v>-1.0155653826340594E-3</v>
      </c>
      <c r="J113">
        <f>Perhitungan!I$4+Perhitungan!I$3*Return!$B113</f>
        <v>5.1606362731854724E-4</v>
      </c>
      <c r="K113">
        <f>Perhitungan!J$4+Perhitungan!J$3*Return!$B113</f>
        <v>3.208105611913978E-3</v>
      </c>
      <c r="L113">
        <f>Perhitungan!K$4+Perhitungan!K$3*Return!$B113</f>
        <v>2.4375120589324419E-4</v>
      </c>
      <c r="M113">
        <f>Perhitungan!L$4+Perhitungan!L$3*Return!$B113</f>
        <v>7.0603590478765105E-3</v>
      </c>
      <c r="N113">
        <f>Perhitungan!M$4+Perhitungan!M$3*Return!$B113</f>
        <v>6.0580086150683341E-4</v>
      </c>
      <c r="O113">
        <f>Perhitungan!N$4+Perhitungan!N$3*Return!$B113</f>
        <v>7.0208790798245106E-4</v>
      </c>
      <c r="P113">
        <f>Perhitungan!O$4+Perhitungan!O$3*Return!$B113</f>
        <v>-1.1723559883729685E-4</v>
      </c>
      <c r="Q113">
        <f>Perhitungan!P$4+Perhitungan!P$3*Return!$B113</f>
        <v>4.1380163929607408E-3</v>
      </c>
      <c r="R113">
        <f>Perhitungan!Q$4+Perhitungan!Q$3*Return!$B113</f>
        <v>3.3318081585061469E-4</v>
      </c>
      <c r="S113">
        <f>Perhitungan!R$4+Perhitungan!R$3*Return!$B113</f>
        <v>9.9579613090383136E-4</v>
      </c>
      <c r="T113">
        <f>Perhitungan!S$4+Perhitungan!S$3*Return!$B113</f>
        <v>2.2632977417875676E-3</v>
      </c>
      <c r="U113">
        <f>Perhitungan!T$4+Perhitungan!T$3*Return!$B113</f>
        <v>2.4395162543121595E-3</v>
      </c>
      <c r="V113">
        <f>Perhitungan!U$4+Perhitungan!U$3*Return!$B113</f>
        <v>1.809535212194148E-3</v>
      </c>
      <c r="W113">
        <f>Perhitungan!V$4+Perhitungan!V$3*Return!$B113</f>
        <v>6.0453690488537415E-3</v>
      </c>
      <c r="X113">
        <f>Perhitungan!W$4+Perhitungan!W$3*Return!$B113</f>
        <v>-2.3731986847229255E-3</v>
      </c>
      <c r="Y113">
        <f>Perhitungan!X$4+Perhitungan!X$3*Return!$B113</f>
        <v>-1.989964846537285E-6</v>
      </c>
      <c r="Z113">
        <f>Perhitungan!Y$4+Perhitungan!Y$3*Return!$B113</f>
        <v>5.1941891186509754E-4</v>
      </c>
      <c r="AA113">
        <f>Perhitungan!Z$4+Perhitungan!Z$3*Return!$B113</f>
        <v>4.7164145117779962E-3</v>
      </c>
      <c r="AB113">
        <f>Perhitungan!AA$4+Perhitungan!AA$3*Return!$B113</f>
        <v>1.2353564398806512E-3</v>
      </c>
      <c r="AC113">
        <f>Perhitungan!AB$4+Perhitungan!AB$3*Return!$B113</f>
        <v>2.8653900434022104E-3</v>
      </c>
      <c r="AD113">
        <f>Perhitungan!AC$4+Perhitungan!AC$3*Return!$B113</f>
        <v>1.5073249582324253E-3</v>
      </c>
      <c r="AE113">
        <f>Perhitungan!AD$4+Perhitungan!AD$3*Return!$B113</f>
        <v>1.4957143172659728E-3</v>
      </c>
      <c r="AF113">
        <f>Perhitungan!AE$4+Perhitungan!AE$3*Return!$B113</f>
        <v>16.623555073414625</v>
      </c>
    </row>
    <row r="114" spans="1:32" x14ac:dyDescent="0.3">
      <c r="A114" s="3" t="s">
        <v>71</v>
      </c>
      <c r="C114">
        <f>Perhitungan!B$4+Perhitungan!B$3*Return!$B114</f>
        <v>-1.4774390040945216E-2</v>
      </c>
      <c r="D114">
        <f>Perhitungan!C$4+Perhitungan!C$3*Return!$B114</f>
        <v>-1.385433705009954E-2</v>
      </c>
      <c r="E114">
        <f>Perhitungan!D$4+Perhitungan!D$3*Return!$B114</f>
        <v>-1.4888374991755682E-2</v>
      </c>
      <c r="F114">
        <f>Perhitungan!E$4+Perhitungan!E$3*Return!$B114</f>
        <v>-1.3062212610484054E-2</v>
      </c>
      <c r="G114">
        <f>Perhitungan!F$4+Perhitungan!F$3*Return!$B114</f>
        <v>-1.2157719759642279E-2</v>
      </c>
      <c r="H114">
        <f>Perhitungan!G$4+Perhitungan!G$3*Return!$B114</f>
        <v>-9.8352579972728962E-3</v>
      </c>
      <c r="I114">
        <f>Perhitungan!H$4+Perhitungan!H$3*Return!$B114</f>
        <v>-8.3460375401196978E-3</v>
      </c>
      <c r="J114">
        <f>Perhitungan!I$4+Perhitungan!I$3*Return!$B114</f>
        <v>-4.4525312329561336E-3</v>
      </c>
      <c r="K114">
        <f>Perhitungan!J$4+Perhitungan!J$3*Return!$B114</f>
        <v>-1.3073980681515031E-2</v>
      </c>
      <c r="L114">
        <f>Perhitungan!K$4+Perhitungan!K$3*Return!$B114</f>
        <v>-6.0395799337544338E-3</v>
      </c>
      <c r="M114">
        <f>Perhitungan!L$4+Perhitungan!L$3*Return!$B114</f>
        <v>-9.7214718713657215E-3</v>
      </c>
      <c r="N114">
        <f>Perhitungan!M$4+Perhitungan!M$3*Return!$B114</f>
        <v>-2.3729419489227091E-2</v>
      </c>
      <c r="O114">
        <f>Perhitungan!N$4+Perhitungan!N$3*Return!$B114</f>
        <v>-8.1743053948595146E-3</v>
      </c>
      <c r="P114">
        <f>Perhitungan!O$4+Perhitungan!O$3*Return!$B114</f>
        <v>-1.5329787099043292E-2</v>
      </c>
      <c r="Q114">
        <f>Perhitungan!P$4+Perhitungan!P$3*Return!$B114</f>
        <v>-1.4255927516750885E-2</v>
      </c>
      <c r="R114">
        <f>Perhitungan!Q$4+Perhitungan!Q$3*Return!$B114</f>
        <v>-9.7940565237732962E-3</v>
      </c>
      <c r="S114">
        <f>Perhitungan!R$4+Perhitungan!R$3*Return!$B114</f>
        <v>-8.4137326230167703E-3</v>
      </c>
      <c r="T114">
        <f>Perhitungan!S$4+Perhitungan!S$3*Return!$B114</f>
        <v>-7.621828630909014E-3</v>
      </c>
      <c r="U114">
        <f>Perhitungan!T$4+Perhitungan!T$3*Return!$B114</f>
        <v>-1.6512058883549802E-2</v>
      </c>
      <c r="V114">
        <f>Perhitungan!U$4+Perhitungan!U$3*Return!$B114</f>
        <v>-1.406744349389737E-2</v>
      </c>
      <c r="W114">
        <f>Perhitungan!V$4+Perhitungan!V$3*Return!$B114</f>
        <v>-2.677774115626309E-2</v>
      </c>
      <c r="X114">
        <f>Perhitungan!W$4+Perhitungan!W$3*Return!$B114</f>
        <v>-2.0738785000426141E-2</v>
      </c>
      <c r="Y114">
        <f>Perhitungan!X$4+Perhitungan!X$3*Return!$B114</f>
        <v>-1.3771845844202709E-2</v>
      </c>
      <c r="Z114">
        <f>Perhitungan!Y$4+Perhitungan!Y$3*Return!$B114</f>
        <v>-1.2909349622863504E-2</v>
      </c>
      <c r="AA114">
        <f>Perhitungan!Z$4+Perhitungan!Z$3*Return!$B114</f>
        <v>-1.5392616764234177E-2</v>
      </c>
      <c r="AB114">
        <f>Perhitungan!AA$4+Perhitungan!AA$3*Return!$B114</f>
        <v>-1.6977384829694939E-2</v>
      </c>
      <c r="AC114">
        <f>Perhitungan!AB$4+Perhitungan!AB$3*Return!$B114</f>
        <v>-1.2051021374786352E-2</v>
      </c>
      <c r="AD114">
        <f>Perhitungan!AC$4+Perhitungan!AC$3*Return!$B114</f>
        <v>-1.5089258279039352E-2</v>
      </c>
      <c r="AE114">
        <f>Perhitungan!AD$4+Perhitungan!AD$3*Return!$B114</f>
        <v>-1.1700782533754154E-2</v>
      </c>
      <c r="AF114">
        <f>Perhitungan!AE$4+Perhitungan!AE$3*Return!$B114</f>
        <v>17.109859912556619</v>
      </c>
    </row>
    <row r="115" spans="1:32" x14ac:dyDescent="0.3">
      <c r="A115" s="2">
        <v>45666</v>
      </c>
      <c r="C115">
        <f>Perhitungan!B$4+Perhitungan!B$3*Return!$B115</f>
        <v>-1.1996785882305419E-2</v>
      </c>
      <c r="D115">
        <f>Perhitungan!C$4+Perhitungan!C$3*Return!$B115</f>
        <v>-1.0674484250721244E-2</v>
      </c>
      <c r="E115">
        <f>Perhitungan!D$4+Perhitungan!D$3*Return!$B115</f>
        <v>-1.1723805151437372E-2</v>
      </c>
      <c r="F115">
        <f>Perhitungan!E$4+Perhitungan!E$3*Return!$B115</f>
        <v>-1.0323310144519588E-2</v>
      </c>
      <c r="G115">
        <f>Perhitungan!F$4+Perhitungan!F$3*Return!$B115</f>
        <v>-9.2447285440212072E-3</v>
      </c>
      <c r="H115">
        <f>Perhitungan!G$4+Perhitungan!G$3*Return!$B115</f>
        <v>-7.659762147447481E-3</v>
      </c>
      <c r="I115">
        <f>Perhitungan!H$4+Perhitungan!H$3*Return!$B115</f>
        <v>-6.9755902825931922E-3</v>
      </c>
      <c r="J115">
        <f>Perhitungan!I$4+Perhitungan!I$3*Return!$B115</f>
        <v>-3.5236419262734252E-3</v>
      </c>
      <c r="K115">
        <f>Perhitungan!J$4+Perhitungan!J$3*Return!$B115</f>
        <v>-1.0030010248470873E-2</v>
      </c>
      <c r="L115">
        <f>Perhitungan!K$4+Perhitungan!K$3*Return!$B115</f>
        <v>-4.8648979018927055E-3</v>
      </c>
      <c r="M115">
        <f>Perhitungan!L$4+Perhitungan!L$3*Return!$B115</f>
        <v>-6.584073124674677E-3</v>
      </c>
      <c r="N115">
        <f>Perhitungan!M$4+Perhitungan!M$3*Return!$B115</f>
        <v>-1.9179898629658656E-2</v>
      </c>
      <c r="O115">
        <f>Perhitungan!N$4+Perhitungan!N$3*Return!$B115</f>
        <v>-6.5148449130153401E-3</v>
      </c>
      <c r="P115">
        <f>Perhitungan!O$4+Perhitungan!O$3*Return!$B115</f>
        <v>-1.2485768455285299E-2</v>
      </c>
      <c r="Q115">
        <f>Perhitungan!P$4+Perhitungan!P$3*Return!$B115</f>
        <v>-1.081714084044939E-2</v>
      </c>
      <c r="R115">
        <f>Perhitungan!Q$4+Perhitungan!Q$3*Return!$B115</f>
        <v>-7.9007481064928362E-3</v>
      </c>
      <c r="S115">
        <f>Perhitungan!R$4+Perhitungan!R$3*Return!$B115</f>
        <v>-6.6546013421948285E-3</v>
      </c>
      <c r="T115">
        <f>Perhitungan!S$4+Perhitungan!S$3*Return!$B115</f>
        <v>-5.7737833704231438E-3</v>
      </c>
      <c r="U115">
        <f>Perhitungan!T$4+Perhitungan!T$3*Return!$B115</f>
        <v>-1.2969021870992766E-2</v>
      </c>
      <c r="V115">
        <f>Perhitungan!U$4+Perhitungan!U$3*Return!$B115</f>
        <v>-1.1099208780209695E-2</v>
      </c>
      <c r="W115">
        <f>Perhitungan!V$4+Perhitungan!V$3*Return!$B115</f>
        <v>-2.0641391355362731E-2</v>
      </c>
      <c r="X115">
        <f>Perhitungan!W$4+Perhitungan!W$3*Return!$B115</f>
        <v>-1.7305299836237915E-2</v>
      </c>
      <c r="Y115">
        <f>Perhitungan!X$4+Perhitungan!X$3*Return!$B115</f>
        <v>-1.1197542194862933E-2</v>
      </c>
      <c r="Z115">
        <f>Perhitungan!Y$4+Perhitungan!Y$3*Return!$B115</f>
        <v>-1.0398812973244818E-2</v>
      </c>
      <c r="AA115">
        <f>Perhitungan!Z$4+Perhitungan!Z$3*Return!$B115</f>
        <v>-1.1633190881198265E-2</v>
      </c>
      <c r="AB115">
        <f>Perhitungan!AA$4+Perhitungan!AA$3*Return!$B115</f>
        <v>-1.357247436980843E-2</v>
      </c>
      <c r="AC115">
        <f>Perhitungan!AB$4+Perhitungan!AB$3*Return!$B115</f>
        <v>-9.2623667450407472E-3</v>
      </c>
      <c r="AD115">
        <f>Perhitungan!AC$4+Perhitungan!AC$3*Return!$B115</f>
        <v>-1.1986491977880525E-2</v>
      </c>
      <c r="AE115">
        <f>Perhitungan!AD$4+Perhitungan!AD$3*Return!$B115</f>
        <v>-9.2336695661440395E-3</v>
      </c>
      <c r="AF115">
        <f>Perhitungan!AE$4+Perhitungan!AE$3*Return!$B115</f>
        <v>17.018944195423249</v>
      </c>
    </row>
    <row r="116" spans="1:32" x14ac:dyDescent="0.3">
      <c r="A116" s="1">
        <v>45697</v>
      </c>
      <c r="C116">
        <f>Perhitungan!B$4+Perhitungan!B$3*Return!$B116</f>
        <v>5.6348689420122958E-3</v>
      </c>
      <c r="D116">
        <f>Perhitungan!C$4+Perhitungan!C$3*Return!$B116</f>
        <v>9.5105614752450853E-3</v>
      </c>
      <c r="E116">
        <f>Perhitungan!D$4+Perhitungan!D$3*Return!$B116</f>
        <v>8.3642275217504711E-3</v>
      </c>
      <c r="F116">
        <f>Perhitungan!E$4+Perhitungan!E$3*Return!$B116</f>
        <v>7.0626743656010162E-3</v>
      </c>
      <c r="G116">
        <f>Perhitungan!F$4+Perhitungan!F$3*Return!$B116</f>
        <v>9.2463352241335724E-3</v>
      </c>
      <c r="H116">
        <f>Perhitungan!G$4+Perhitungan!G$3*Return!$B116</f>
        <v>6.1498340747302913E-3</v>
      </c>
      <c r="I116">
        <f>Perhitungan!H$4+Perhitungan!H$3*Return!$B116</f>
        <v>1.7237245295912166E-3</v>
      </c>
      <c r="J116">
        <f>Perhitungan!I$4+Perhitungan!I$3*Return!$B116</f>
        <v>2.3727546407052184E-3</v>
      </c>
      <c r="K116">
        <f>Perhitungan!J$4+Perhitungan!J$3*Return!$B116</f>
        <v>9.2924824126669938E-3</v>
      </c>
      <c r="L116">
        <f>Perhitungan!K$4+Perhitungan!K$3*Return!$B116</f>
        <v>2.5917398805970467E-3</v>
      </c>
      <c r="M116">
        <f>Perhitungan!L$4+Perhitungan!L$3*Return!$B116</f>
        <v>1.3331483084383096E-2</v>
      </c>
      <c r="N116">
        <f>Perhitungan!M$4+Perhitungan!M$3*Return!$B116</f>
        <v>9.6995157254903784E-3</v>
      </c>
      <c r="O116">
        <f>Perhitungan!N$4+Perhitungan!N$3*Return!$B116</f>
        <v>4.0190658746185144E-3</v>
      </c>
      <c r="P116">
        <f>Perhitungan!O$4+Perhitungan!O$3*Return!$B116</f>
        <v>5.5674717390342618E-3</v>
      </c>
      <c r="Q116">
        <f>Perhitungan!P$4+Perhitungan!P$3*Return!$B116</f>
        <v>1.1011563405407642E-2</v>
      </c>
      <c r="R116">
        <f>Perhitungan!Q$4+Perhitungan!Q$3*Return!$B116</f>
        <v>4.117580850003159E-3</v>
      </c>
      <c r="S116">
        <f>Perhitungan!R$4+Perhitungan!R$3*Return!$B116</f>
        <v>4.5119989948745167E-3</v>
      </c>
      <c r="T116">
        <f>Perhitungan!S$4+Perhitungan!S$3*Return!$B116</f>
        <v>5.9572244592021317E-3</v>
      </c>
      <c r="U116">
        <f>Perhitungan!T$4+Perhitungan!T$3*Return!$B116</f>
        <v>9.5214418766490332E-3</v>
      </c>
      <c r="V116">
        <f>Perhitungan!U$4+Perhitungan!U$3*Return!$B116</f>
        <v>7.7425292502111605E-3</v>
      </c>
      <c r="W116">
        <f>Perhitungan!V$4+Perhitungan!V$3*Return!$B116</f>
        <v>1.8310883839864827E-2</v>
      </c>
      <c r="X116">
        <f>Perhitungan!W$4+Perhitungan!W$3*Return!$B116</f>
        <v>4.4897515108295984E-3</v>
      </c>
      <c r="Y116">
        <f>Perhitungan!X$4+Perhitungan!X$3*Return!$B116</f>
        <v>5.1436031828742696E-3</v>
      </c>
      <c r="Z116">
        <f>Perhitungan!Y$4+Perhitungan!Y$3*Return!$B116</f>
        <v>5.5375527224173042E-3</v>
      </c>
      <c r="AA116">
        <f>Perhitungan!Z$4+Perhitungan!Z$3*Return!$B116</f>
        <v>1.2230864513849454E-2</v>
      </c>
      <c r="AB116">
        <f>Perhitungan!AA$4+Perhitungan!AA$3*Return!$B116</f>
        <v>8.0411906838278677E-3</v>
      </c>
      <c r="AC116">
        <f>Perhitungan!AB$4+Perhitungan!AB$3*Return!$B116</f>
        <v>8.4394341767968888E-3</v>
      </c>
      <c r="AD116">
        <f>Perhitungan!AC$4+Perhitungan!AC$3*Return!$B116</f>
        <v>7.7092246534438066E-3</v>
      </c>
      <c r="AE116">
        <f>Perhitungan!AD$4+Perhitungan!AD$3*Return!$B116</f>
        <v>6.4270516068835101E-3</v>
      </c>
      <c r="AF116">
        <f>Perhitungan!AE$4+Perhitungan!AE$3*Return!$B116</f>
        <v>16.441830088787587</v>
      </c>
    </row>
    <row r="117" spans="1:32" x14ac:dyDescent="0.3">
      <c r="A117" s="2">
        <v>45725</v>
      </c>
      <c r="C117">
        <f>Perhitungan!B$4+Perhitungan!B$3*Return!$B117</f>
        <v>7.6404439261936324E-3</v>
      </c>
      <c r="D117">
        <f>Perhitungan!C$4+Perhitungan!C$3*Return!$B117</f>
        <v>1.1806580945109056E-2</v>
      </c>
      <c r="E117">
        <f>Perhitungan!D$4+Perhitungan!D$3*Return!$B117</f>
        <v>1.0649211898554245E-2</v>
      </c>
      <c r="F117">
        <f>Perhitungan!E$4+Perhitungan!E$3*Return!$B117</f>
        <v>9.0403047103585973E-3</v>
      </c>
      <c r="G117">
        <f>Perhitungan!F$4+Perhitungan!F$3*Return!$B117</f>
        <v>1.134966672045829E-2</v>
      </c>
      <c r="H117">
        <f>Perhitungan!G$4+Perhitungan!G$3*Return!$B117</f>
        <v>7.7206554752630449E-3</v>
      </c>
      <c r="I117">
        <f>Perhitungan!H$4+Perhitungan!H$3*Return!$B117</f>
        <v>2.7132588836084018E-3</v>
      </c>
      <c r="J117">
        <f>Perhitungan!I$4+Perhitungan!I$3*Return!$B117</f>
        <v>3.0434611381597301E-3</v>
      </c>
      <c r="K117">
        <f>Perhitungan!J$4+Perhitungan!J$3*Return!$B117</f>
        <v>1.1490387731216987E-2</v>
      </c>
      <c r="L117">
        <f>Perhitungan!K$4+Perhitungan!K$3*Return!$B117</f>
        <v>3.4399215374904769E-3</v>
      </c>
      <c r="M117">
        <f>Perhitungan!L$4+Perhitungan!L$3*Return!$B117</f>
        <v>1.5596848515304251E-2</v>
      </c>
      <c r="N117">
        <f>Perhitungan!M$4+Perhitungan!M$3*Return!$B117</f>
        <v>1.2984506928279287E-2</v>
      </c>
      <c r="O117">
        <f>Perhitungan!N$4+Perhitungan!N$3*Return!$B117</f>
        <v>5.2172828413060935E-3</v>
      </c>
      <c r="P117">
        <f>Perhitungan!O$4+Perhitungan!O$3*Return!$B117</f>
        <v>7.6210014433026997E-3</v>
      </c>
      <c r="Q117">
        <f>Perhitungan!P$4+Perhitungan!P$3*Return!$B117</f>
        <v>1.3494546631247755E-2</v>
      </c>
      <c r="R117">
        <f>Perhitungan!Q$4+Perhitungan!Q$3*Return!$B117</f>
        <v>5.4846482153174218E-3</v>
      </c>
      <c r="S117">
        <f>Perhitungan!R$4+Perhitungan!R$3*Return!$B117</f>
        <v>5.782183473729512E-3</v>
      </c>
      <c r="T117">
        <f>Perhitungan!S$4+Perhitungan!S$3*Return!$B117</f>
        <v>7.2916094659845158E-3</v>
      </c>
      <c r="U117">
        <f>Perhitungan!T$4+Perhitungan!T$3*Return!$B117</f>
        <v>1.2079699279277894E-2</v>
      </c>
      <c r="V117">
        <f>Perhitungan!U$4+Perhitungan!U$3*Return!$B117</f>
        <v>9.885749431687945E-3</v>
      </c>
      <c r="W117">
        <f>Perhitungan!V$4+Perhitungan!V$3*Return!$B117</f>
        <v>2.2741648251197875E-2</v>
      </c>
      <c r="X117">
        <f>Perhitungan!W$4+Perhitungan!W$3*Return!$B117</f>
        <v>6.9689067685844716E-3</v>
      </c>
      <c r="Y117">
        <f>Perhitungan!X$4+Perhitungan!X$3*Return!$B117</f>
        <v>7.0023846023731864E-3</v>
      </c>
      <c r="Z117">
        <f>Perhitungan!Y$4+Perhitungan!Y$3*Return!$B117</f>
        <v>7.3502910442850792E-3</v>
      </c>
      <c r="AA117">
        <f>Perhitungan!Z$4+Perhitungan!Z$3*Return!$B117</f>
        <v>1.4945365960158108E-2</v>
      </c>
      <c r="AB117">
        <f>Perhitungan!AA$4+Perhitungan!AA$3*Return!$B117</f>
        <v>1.0499713515630454E-2</v>
      </c>
      <c r="AC117">
        <f>Perhitungan!AB$4+Perhitungan!AB$3*Return!$B117</f>
        <v>1.0452988177118551E-2</v>
      </c>
      <c r="AD117">
        <f>Perhitungan!AC$4+Perhitungan!AC$3*Return!$B117</f>
        <v>9.9495836534866152E-3</v>
      </c>
      <c r="AE117">
        <f>Perhitungan!AD$4+Perhitungan!AD$3*Return!$B117</f>
        <v>8.208435766896888E-3</v>
      </c>
      <c r="AF117">
        <f>Perhitungan!AE$4+Perhitungan!AE$3*Return!$B117</f>
        <v>16.376184202067396</v>
      </c>
    </row>
    <row r="118" spans="1:32" x14ac:dyDescent="0.3">
      <c r="A118" s="1">
        <v>45756</v>
      </c>
      <c r="C118">
        <f>Perhitungan!B$4+Perhitungan!B$3*Return!$B118</f>
        <v>-3.6553803415055081E-3</v>
      </c>
      <c r="D118">
        <f>Perhitungan!C$4+Perhitungan!C$3*Return!$B118</f>
        <v>-1.1250883524045632E-3</v>
      </c>
      <c r="E118">
        <f>Perhitungan!D$4+Perhitungan!D$3*Return!$B118</f>
        <v>-2.2203054111409977E-3</v>
      </c>
      <c r="F118">
        <f>Perhitungan!E$4+Perhitungan!E$3*Return!$B118</f>
        <v>-2.098129413045431E-3</v>
      </c>
      <c r="G118">
        <f>Perhitungan!F$4+Perhitungan!F$3*Return!$B118</f>
        <v>-4.9674298578309198E-4</v>
      </c>
      <c r="H118">
        <f>Perhitungan!G$4+Perhitungan!G$3*Return!$B118</f>
        <v>-1.1265442735919743E-3</v>
      </c>
      <c r="I118">
        <f>Perhitungan!H$4+Perhitungan!H$3*Return!$B118</f>
        <v>-2.860008761825429E-3</v>
      </c>
      <c r="J118">
        <f>Perhitungan!I$4+Perhitungan!I$3*Return!$B118</f>
        <v>-7.3410030442214288E-4</v>
      </c>
      <c r="K118">
        <f>Perhitungan!J$4+Perhitungan!J$3*Return!$B118</f>
        <v>-8.8868182798791423E-4</v>
      </c>
      <c r="L118">
        <f>Perhitungan!K$4+Perhitungan!K$3*Return!$B118</f>
        <v>-1.3372176963561918E-3</v>
      </c>
      <c r="M118">
        <f>Perhitungan!L$4+Perhitungan!L$3*Return!$B118</f>
        <v>2.837829275616612E-3</v>
      </c>
      <c r="N118">
        <f>Perhitungan!M$4+Perhitungan!M$3*Return!$B118</f>
        <v>-5.5172612131835731E-3</v>
      </c>
      <c r="O118">
        <f>Perhitungan!N$4+Perhitungan!N$3*Return!$B118</f>
        <v>-1.5313296000298976E-3</v>
      </c>
      <c r="P118">
        <f>Perhitungan!O$4+Perhitungan!O$3*Return!$B118</f>
        <v>-3.9449139928558969E-3</v>
      </c>
      <c r="Q118">
        <f>Perhitungan!P$4+Perhitungan!P$3*Return!$B118</f>
        <v>-4.901422484768791E-4</v>
      </c>
      <c r="R118">
        <f>Perhitungan!Q$4+Perhitungan!Q$3*Return!$B118</f>
        <v>-2.2149655326072328E-3</v>
      </c>
      <c r="S118">
        <f>Perhitungan!R$4+Perhitungan!R$3*Return!$B118</f>
        <v>-1.3717652810520092E-3</v>
      </c>
      <c r="T118">
        <f>Perhitungan!S$4+Perhitungan!S$3*Return!$B118</f>
        <v>-2.2393029740111199E-4</v>
      </c>
      <c r="U118">
        <f>Perhitungan!T$4+Perhitungan!T$3*Return!$B118</f>
        <v>-2.3289497513300905E-3</v>
      </c>
      <c r="V118">
        <f>Perhitungan!U$4+Perhitungan!U$3*Return!$B118</f>
        <v>-2.1853218211428942E-3</v>
      </c>
      <c r="W118">
        <f>Perhitungan!V$4+Perhitungan!V$3*Return!$B118</f>
        <v>-2.2133579473977332E-3</v>
      </c>
      <c r="X118">
        <f>Perhitungan!W$4+Perhitungan!W$3*Return!$B118</f>
        <v>-6.994222181875849E-3</v>
      </c>
      <c r="Y118">
        <f>Perhitungan!X$4+Perhitungan!X$3*Return!$B118</f>
        <v>-3.4666671320822831E-3</v>
      </c>
      <c r="Z118">
        <f>Perhitungan!Y$4+Perhitungan!Y$3*Return!$B118</f>
        <v>-2.8594361853854491E-3</v>
      </c>
      <c r="AA118">
        <f>Perhitungan!Z$4+Perhitungan!Z$3*Return!$B118</f>
        <v>-3.4328270855968346E-4</v>
      </c>
      <c r="AB118">
        <f>Perhitungan!AA$4+Perhitungan!AA$3*Return!$B118</f>
        <v>-3.3472092298205422E-3</v>
      </c>
      <c r="AC118">
        <f>Perhitungan!AB$4+Perhitungan!AB$3*Return!$B118</f>
        <v>-8.8777560411717983E-4</v>
      </c>
      <c r="AD118">
        <f>Perhitungan!AC$4+Perhitungan!AC$3*Return!$B118</f>
        <v>-2.6685940564691022E-3</v>
      </c>
      <c r="AE118">
        <f>Perhitungan!AD$4+Perhitungan!AD$3*Return!$B118</f>
        <v>-1.824698164013071E-3</v>
      </c>
      <c r="AF118">
        <f>Perhitungan!AE$4+Perhitungan!AE$3*Return!$B118</f>
        <v>16.745915778367063</v>
      </c>
    </row>
    <row r="119" spans="1:32" x14ac:dyDescent="0.3">
      <c r="A119" s="2">
        <v>45878</v>
      </c>
      <c r="C119">
        <f>Perhitungan!B$4+Perhitungan!B$3*Return!$B119</f>
        <v>-1.2612095217494925E-2</v>
      </c>
      <c r="D119">
        <f>Perhitungan!C$4+Perhitungan!C$3*Return!$B119</f>
        <v>-1.1378901799168499E-2</v>
      </c>
      <c r="E119">
        <f>Perhitungan!D$4+Perhitungan!D$3*Return!$B119</f>
        <v>-1.2424837139220889E-2</v>
      </c>
      <c r="F119">
        <f>Perhitungan!E$4+Perhitungan!E$3*Return!$B119</f>
        <v>-1.0930046079242113E-2</v>
      </c>
      <c r="G119">
        <f>Perhitungan!F$4+Perhitungan!F$3*Return!$B119</f>
        <v>-9.8900295249840266E-3</v>
      </c>
      <c r="H119">
        <f>Perhitungan!G$4+Perhitungan!G$3*Return!$B119</f>
        <v>-8.1416893151109709E-3</v>
      </c>
      <c r="I119">
        <f>Perhitungan!H$4+Perhitungan!H$3*Return!$B119</f>
        <v>-7.2791788944974369E-3</v>
      </c>
      <c r="J119">
        <f>Perhitungan!I$4+Perhitungan!I$3*Return!$B119</f>
        <v>-3.7294143218762135E-3</v>
      </c>
      <c r="K119">
        <f>Perhitungan!J$4+Perhitungan!J$3*Return!$B119</f>
        <v>-1.0704326427638073E-2</v>
      </c>
      <c r="L119">
        <f>Perhitungan!K$4+Perhitungan!K$3*Return!$B119</f>
        <v>-5.1251195817298544E-3</v>
      </c>
      <c r="M119">
        <f>Perhitungan!L$4+Perhitungan!L$3*Return!$B119</f>
        <v>-7.2790860303279482E-3</v>
      </c>
      <c r="N119">
        <f>Perhitungan!M$4+Perhitungan!M$3*Return!$B119</f>
        <v>-2.018773217815921E-2</v>
      </c>
      <c r="O119">
        <f>Perhitungan!N$4+Perhitungan!N$3*Return!$B119</f>
        <v>-6.8824572391564497E-3</v>
      </c>
      <c r="P119">
        <f>Perhitungan!O$4+Perhitungan!O$3*Return!$B119</f>
        <v>-1.3115790273014087E-2</v>
      </c>
      <c r="Q119">
        <f>Perhitungan!P$4+Perhitungan!P$3*Return!$B119</f>
        <v>-1.1578918769486541E-2</v>
      </c>
      <c r="R119">
        <f>Perhitungan!Q$4+Perhitungan!Q$3*Return!$B119</f>
        <v>-8.3201636448523488E-3</v>
      </c>
      <c r="S119">
        <f>Perhitungan!R$4+Perhitungan!R$3*Return!$B119</f>
        <v>-7.0442932626748403E-3</v>
      </c>
      <c r="T119">
        <f>Perhitungan!S$4+Perhitungan!S$3*Return!$B119</f>
        <v>-6.1831719786208392E-3</v>
      </c>
      <c r="U119">
        <f>Perhitungan!T$4+Perhitungan!T$3*Return!$B119</f>
        <v>-1.3753893877310566E-2</v>
      </c>
      <c r="V119">
        <f>Perhitungan!U$4+Perhitungan!U$3*Return!$B119</f>
        <v>-1.1756747588496892E-2</v>
      </c>
      <c r="W119">
        <f>Perhitungan!V$4+Perhitungan!V$3*Return!$B119</f>
        <v>-2.2000747512984288E-2</v>
      </c>
      <c r="X119">
        <f>Perhitungan!W$4+Perhitungan!W$3*Return!$B119</f>
        <v>-1.8065903346708705E-2</v>
      </c>
      <c r="Y119">
        <f>Perhitungan!X$4+Perhitungan!X$3*Return!$B119</f>
        <v>-1.1767815342721E-2</v>
      </c>
      <c r="Z119">
        <f>Perhitungan!Y$4+Perhitungan!Y$3*Return!$B119</f>
        <v>-1.0954960123313255E-2</v>
      </c>
      <c r="AA119">
        <f>Perhitungan!Z$4+Perhitungan!Z$3*Return!$B119</f>
        <v>-1.2465998476762146E-2</v>
      </c>
      <c r="AB119">
        <f>Perhitungan!AA$4+Perhitungan!AA$3*Return!$B119</f>
        <v>-1.4326747863004282E-2</v>
      </c>
      <c r="AC119">
        <f>Perhitungan!AB$4+Perhitungan!AB$3*Return!$B119</f>
        <v>-9.8801240381253663E-3</v>
      </c>
      <c r="AD119">
        <f>Perhitungan!AC$4+Perhitungan!AC$3*Return!$B119</f>
        <v>-1.2673832923881039E-2</v>
      </c>
      <c r="AE119">
        <f>Perhitungan!AD$4+Perhitungan!AD$3*Return!$B119</f>
        <v>-9.7801972760827287E-3</v>
      </c>
      <c r="AF119">
        <f>Perhitungan!AE$4+Perhitungan!AE$3*Return!$B119</f>
        <v>17.039084318447475</v>
      </c>
    </row>
    <row r="120" spans="1:32" x14ac:dyDescent="0.3">
      <c r="A120" s="1">
        <v>45909</v>
      </c>
      <c r="C120">
        <f>Perhitungan!B$4+Perhitungan!B$3*Return!$B120</f>
        <v>-1.6929098502797998E-2</v>
      </c>
      <c r="D120">
        <f>Perhitungan!C$4+Perhitungan!C$3*Return!$B120</f>
        <v>-1.6321087293453856E-2</v>
      </c>
      <c r="E120">
        <f>Perhitungan!D$4+Perhitungan!D$3*Return!$B120</f>
        <v>-1.7343269578462064E-2</v>
      </c>
      <c r="F120">
        <f>Perhitungan!E$4+Perhitungan!E$3*Return!$B120</f>
        <v>-1.5186898484547942E-2</v>
      </c>
      <c r="G120">
        <f>Perhitungan!F$4+Perhitungan!F$3*Return!$B120</f>
        <v>-1.4417453855329707E-2</v>
      </c>
      <c r="H120">
        <f>Perhitungan!G$4+Perhitungan!G$3*Return!$B120</f>
        <v>-1.1522884832710793E-2</v>
      </c>
      <c r="I120">
        <f>Perhitungan!H$4+Perhitungan!H$3*Return!$B120</f>
        <v>-9.4091531367500505E-3</v>
      </c>
      <c r="J120">
        <f>Perhitungan!I$4+Perhitungan!I$3*Return!$B120</f>
        <v>-5.1731111050045426E-3</v>
      </c>
      <c r="K120">
        <f>Perhitungan!J$4+Perhitungan!J$3*Return!$B120</f>
        <v>-1.5435321058007635E-2</v>
      </c>
      <c r="L120">
        <f>Perhitungan!K$4+Perhitungan!K$3*Return!$B120</f>
        <v>-6.9508319226909603E-3</v>
      </c>
      <c r="M120">
        <f>Perhitungan!L$4+Perhitungan!L$3*Return!$B120</f>
        <v>-1.2155288657920357E-2</v>
      </c>
      <c r="N120">
        <f>Perhitungan!M$4+Perhitungan!M$3*Return!$B120</f>
        <v>-2.7258680871917542E-2</v>
      </c>
      <c r="O120">
        <f>Perhitungan!N$4+Perhitungan!N$3*Return!$B120</f>
        <v>-9.4616211310553245E-3</v>
      </c>
      <c r="P120">
        <f>Perhitungan!O$4+Perhitungan!O$3*Return!$B120</f>
        <v>-1.7536016168189464E-2</v>
      </c>
      <c r="Q120">
        <f>Perhitungan!P$4+Perhitungan!P$3*Return!$B120</f>
        <v>-1.692354404046819E-2</v>
      </c>
      <c r="R120">
        <f>Perhitungan!Q$4+Perhitungan!Q$3*Return!$B120</f>
        <v>-1.1262778283467473E-2</v>
      </c>
      <c r="S120">
        <f>Perhitungan!R$4+Perhitungan!R$3*Return!$B120</f>
        <v>-9.7783673368966404E-3</v>
      </c>
      <c r="T120">
        <f>Perhitungan!S$4+Perhitungan!S$3*Return!$B120</f>
        <v>-9.055437789460186E-3</v>
      </c>
      <c r="U120">
        <f>Perhitungan!T$4+Perhitungan!T$3*Return!$B120</f>
        <v>-1.926054693137615E-2</v>
      </c>
      <c r="V120">
        <f>Perhitungan!U$4+Perhitungan!U$3*Return!$B120</f>
        <v>-1.6370032375921505E-2</v>
      </c>
      <c r="W120">
        <f>Perhitungan!V$4+Perhitungan!V$3*Return!$B120</f>
        <v>-3.1537974827342954E-2</v>
      </c>
      <c r="X120">
        <f>Perhitungan!W$4+Perhitungan!W$3*Return!$B120</f>
        <v>-2.340228891040922E-2</v>
      </c>
      <c r="Y120">
        <f>Perhitungan!X$4+Perhitungan!X$3*Return!$B120</f>
        <v>-1.5768845250816222E-2</v>
      </c>
      <c r="Z120">
        <f>Perhitungan!Y$4+Perhitungan!Y$3*Return!$B120</f>
        <v>-1.4856882191857766E-2</v>
      </c>
      <c r="AA120">
        <f>Perhitungan!Z$4+Perhitungan!Z$3*Return!$B120</f>
        <v>-1.8308967078835045E-2</v>
      </c>
      <c r="AB120">
        <f>Perhitungan!AA$4+Perhitungan!AA$3*Return!$B120</f>
        <v>-1.9618722097623449E-2</v>
      </c>
      <c r="AC120">
        <f>Perhitungan!AB$4+Perhitungan!AB$3*Return!$B120</f>
        <v>-1.4214302168130313E-2</v>
      </c>
      <c r="AD120">
        <f>Perhitungan!AC$4+Perhitungan!AC$3*Return!$B120</f>
        <v>-1.7496209169958428E-2</v>
      </c>
      <c r="AE120">
        <f>Perhitungan!AD$4+Perhitungan!AD$3*Return!$B120</f>
        <v>-1.3614629462273823E-2</v>
      </c>
      <c r="AF120">
        <f>Perhitungan!AE$4+Perhitungan!AE$3*Return!$B120</f>
        <v>17.180387192123561</v>
      </c>
    </row>
    <row r="121" spans="1:32" x14ac:dyDescent="0.3">
      <c r="A121" s="2">
        <v>45939</v>
      </c>
      <c r="C121">
        <f>Perhitungan!B$4+Perhitungan!B$3*Return!$B121</f>
        <v>6.2890872984486465E-3</v>
      </c>
      <c r="D121">
        <f>Perhitungan!C$4+Perhitungan!C$3*Return!$B121</f>
        <v>1.0259522793454495E-2</v>
      </c>
      <c r="E121">
        <f>Perhitungan!D$4+Perhitungan!D$3*Return!$B121</f>
        <v>9.1095891937228134E-3</v>
      </c>
      <c r="F121">
        <f>Perhitungan!E$4+Perhitungan!E$3*Return!$B121</f>
        <v>7.7077771834914589E-3</v>
      </c>
      <c r="G121">
        <f>Perhitungan!F$4+Perhitungan!F$3*Return!$B121</f>
        <v>9.932441744916717E-3</v>
      </c>
      <c r="H121">
        <f>Perhitungan!G$4+Perhitungan!G$3*Return!$B121</f>
        <v>6.6622358562727895E-3</v>
      </c>
      <c r="I121">
        <f>Perhitungan!H$4+Perhitungan!H$3*Return!$B121</f>
        <v>2.0465105355139432E-3</v>
      </c>
      <c r="J121">
        <f>Perhitungan!I$4+Perhitungan!I$3*Return!$B121</f>
        <v>2.5915390321524338E-3</v>
      </c>
      <c r="K121">
        <f>Perhitungan!J$4+Perhitungan!J$3*Return!$B121</f>
        <v>1.0009438904668433E-2</v>
      </c>
      <c r="L121">
        <f>Perhitungan!K$4+Perhitungan!K$3*Return!$B121</f>
        <v>2.8684166510538674E-3</v>
      </c>
      <c r="M121">
        <f>Perhitungan!L$4+Perhitungan!L$3*Return!$B121</f>
        <v>1.4070445058198263E-2</v>
      </c>
      <c r="N121">
        <f>Perhitungan!M$4+Perhitungan!M$3*Return!$B121</f>
        <v>1.0771079522679283E-2</v>
      </c>
      <c r="O121">
        <f>Perhitungan!N$4+Perhitungan!N$3*Return!$B121</f>
        <v>4.4099241276299222E-3</v>
      </c>
      <c r="P121">
        <f>Perhitungan!O$4+Perhitungan!O$3*Return!$B121</f>
        <v>6.2373329202995006E-3</v>
      </c>
      <c r="Q121">
        <f>Perhitungan!P$4+Perhitungan!P$3*Return!$B121</f>
        <v>1.1821512281854775E-2</v>
      </c>
      <c r="R121">
        <f>Perhitungan!Q$4+Perhitungan!Q$3*Return!$B121</f>
        <v>4.5635180859219353E-3</v>
      </c>
      <c r="S121">
        <f>Perhitungan!R$4+Perhitungan!R$3*Return!$B121</f>
        <v>4.9263330430560559E-3</v>
      </c>
      <c r="T121">
        <f>Perhitungan!S$4+Perhitungan!S$3*Return!$B121</f>
        <v>6.3925007130824253E-3</v>
      </c>
      <c r="U121">
        <f>Perhitungan!T$4+Perhitungan!T$3*Return!$B121</f>
        <v>1.0355945181930417E-2</v>
      </c>
      <c r="V121">
        <f>Perhitungan!U$4+Perhitungan!U$3*Return!$B121</f>
        <v>8.4416474560454358E-3</v>
      </c>
      <c r="W121">
        <f>Perhitungan!V$4+Perhitungan!V$3*Return!$B121</f>
        <v>1.9756198741477549E-2</v>
      </c>
      <c r="X121">
        <f>Perhitungan!W$4+Perhitungan!W$3*Return!$B121</f>
        <v>5.2984517044755543E-3</v>
      </c>
      <c r="Y121">
        <f>Perhitungan!X$4+Perhitungan!X$3*Return!$B121</f>
        <v>5.7499374933988861E-3</v>
      </c>
      <c r="Z121">
        <f>Perhitungan!Y$4+Perhitungan!Y$3*Return!$B121</f>
        <v>6.1288677791642918E-3</v>
      </c>
      <c r="AA121">
        <f>Perhitungan!Z$4+Perhitungan!Z$3*Return!$B121</f>
        <v>1.3116334610333055E-2</v>
      </c>
      <c r="AB121">
        <f>Perhitungan!AA$4+Perhitungan!AA$3*Return!$B121</f>
        <v>8.8431605822207101E-3</v>
      </c>
      <c r="AC121">
        <f>Perhitungan!AB$4+Perhitungan!AB$3*Return!$B121</f>
        <v>9.0962552874889885E-3</v>
      </c>
      <c r="AD121">
        <f>Perhitungan!AC$4+Perhitungan!AC$3*Return!$B121</f>
        <v>8.440029532042587E-3</v>
      </c>
      <c r="AE121">
        <f>Perhitungan!AD$4+Perhitungan!AD$3*Return!$B121</f>
        <v>7.0081389392135044E-3</v>
      </c>
      <c r="AF121">
        <f>Perhitungan!AE$4+Perhitungan!AE$3*Return!$B121</f>
        <v>16.420416407197205</v>
      </c>
    </row>
    <row r="122" spans="1:32" x14ac:dyDescent="0.3">
      <c r="A122" s="1">
        <v>45970</v>
      </c>
      <c r="C122">
        <f>Perhitungan!B$4+Perhitungan!B$3*Return!$B122</f>
        <v>3.8155728982531274E-3</v>
      </c>
      <c r="D122">
        <f>Perhitungan!C$4+Perhitungan!C$3*Return!$B122</f>
        <v>7.4277975941316465E-3</v>
      </c>
      <c r="E122">
        <f>Perhitungan!D$4+Perhitungan!D$3*Return!$B122</f>
        <v>6.2914737880038849E-3</v>
      </c>
      <c r="F122">
        <f>Perhitungan!E$4+Perhitungan!E$3*Return!$B122</f>
        <v>5.2687274473290054E-3</v>
      </c>
      <c r="G122">
        <f>Perhitungan!F$4+Perhitungan!F$3*Return!$B122</f>
        <v>7.3383623484449597E-3</v>
      </c>
      <c r="H122">
        <f>Perhitungan!G$4+Perhitungan!G$3*Return!$B122</f>
        <v>4.7249114555403598E-3</v>
      </c>
      <c r="I122">
        <f>Perhitungan!H$4+Perhitungan!H$3*Return!$B122</f>
        <v>8.2609868681471094E-4</v>
      </c>
      <c r="J122">
        <f>Perhitungan!I$4+Perhitungan!I$3*Return!$B122</f>
        <v>1.764343742600281E-3</v>
      </c>
      <c r="K122">
        <f>Perhitungan!J$4+Perhitungan!J$3*Return!$B122</f>
        <v>7.2987197849248746E-3</v>
      </c>
      <c r="L122">
        <f>Perhitungan!K$4+Perhitungan!K$3*Return!$B122</f>
        <v>1.8223378163779445E-3</v>
      </c>
      <c r="M122">
        <f>Perhitungan!L$4+Perhitungan!L$3*Return!$B122</f>
        <v>1.1276526077714028E-2</v>
      </c>
      <c r="N122">
        <f>Perhitungan!M$4+Perhitungan!M$3*Return!$B122</f>
        <v>6.719636366126984E-3</v>
      </c>
      <c r="O122">
        <f>Perhitungan!N$4+Perhitungan!N$3*Return!$B122</f>
        <v>2.9321399784273789E-3</v>
      </c>
      <c r="P122">
        <f>Perhitungan!O$4+Perhitungan!O$3*Return!$B122</f>
        <v>3.7046750367496521E-3</v>
      </c>
      <c r="Q122">
        <f>Perhitungan!P$4+Perhitungan!P$3*Return!$B122</f>
        <v>8.7592010678632197E-3</v>
      </c>
      <c r="R122">
        <f>Perhitungan!Q$4+Perhitungan!Q$3*Return!$B122</f>
        <v>2.8774874758410699E-3</v>
      </c>
      <c r="S122">
        <f>Perhitungan!R$4+Perhitungan!R$3*Return!$B122</f>
        <v>3.3597899698060941E-3</v>
      </c>
      <c r="T122">
        <f>Perhitungan!S$4+Perhitungan!S$3*Return!$B122</f>
        <v>4.7467778876012744E-3</v>
      </c>
      <c r="U122">
        <f>Perhitungan!T$4+Perhitungan!T$3*Return!$B122</f>
        <v>7.2007968704888101E-3</v>
      </c>
      <c r="V122">
        <f>Perhitungan!U$4+Perhitungan!U$3*Return!$B122</f>
        <v>5.7983725730390394E-3</v>
      </c>
      <c r="W122">
        <f>Perhitungan!V$4+Perhitungan!V$3*Return!$B122</f>
        <v>1.4291651336494959E-2</v>
      </c>
      <c r="X122">
        <f>Perhitungan!W$4+Perhitungan!W$3*Return!$B122</f>
        <v>2.2408615975266222E-3</v>
      </c>
      <c r="Y122">
        <f>Perhitungan!X$4+Perhitungan!X$3*Return!$B122</f>
        <v>3.4574664343707926E-3</v>
      </c>
      <c r="Z122">
        <f>Perhitungan!Y$4+Perhitungan!Y$3*Return!$B122</f>
        <v>3.8931825625596992E-3</v>
      </c>
      <c r="AA122">
        <f>Perhitungan!Z$4+Perhitungan!Z$3*Return!$B122</f>
        <v>9.7684874992778788E-3</v>
      </c>
      <c r="AB122">
        <f>Perhitungan!AA$4+Perhitungan!AA$3*Return!$B122</f>
        <v>5.8110168450692052E-3</v>
      </c>
      <c r="AC122">
        <f>Perhitungan!AB$4+Perhitungan!AB$3*Return!$B122</f>
        <v>6.6129002124355575E-3</v>
      </c>
      <c r="AD122">
        <f>Perhitungan!AC$4+Perhitungan!AC$3*Return!$B122</f>
        <v>5.676951466190289E-3</v>
      </c>
      <c r="AE122">
        <f>Perhitungan!AD$4+Perhitungan!AD$3*Return!$B122</f>
        <v>4.8111234165693038E-3</v>
      </c>
      <c r="AF122">
        <f>Perhitungan!AE$4+Perhitungan!AE$3*Return!$B122</f>
        <v>16.501378748369543</v>
      </c>
    </row>
    <row r="123" spans="1:32" x14ac:dyDescent="0.3">
      <c r="A123" s="2">
        <v>46000</v>
      </c>
      <c r="C123">
        <f>Perhitungan!B$4+Perhitungan!B$3*Return!$B123</f>
        <v>1.0130505603287791E-2</v>
      </c>
      <c r="D123">
        <f>Perhitungan!C$4+Perhitungan!C$3*Return!$B123</f>
        <v>1.4657249774180066E-2</v>
      </c>
      <c r="E123">
        <f>Perhitungan!D$4+Perhitungan!D$3*Return!$B123</f>
        <v>1.3486179887442719E-2</v>
      </c>
      <c r="F123">
        <f>Perhitungan!E$4+Perhitungan!E$3*Return!$B123</f>
        <v>1.1495671162263899E-2</v>
      </c>
      <c r="G123">
        <f>Perhitungan!F$4+Perhitungan!F$3*Return!$B123</f>
        <v>1.396109994760396E-2</v>
      </c>
      <c r="H123">
        <f>Perhitungan!G$4+Perhitungan!G$3*Return!$B123</f>
        <v>9.6709401576493322E-3</v>
      </c>
      <c r="I123">
        <f>Perhitungan!H$4+Perhitungan!H$3*Return!$B123</f>
        <v>3.9418350238877471E-3</v>
      </c>
      <c r="J123">
        <f>Perhitungan!I$4+Perhitungan!I$3*Return!$B123</f>
        <v>3.8761901854714445E-3</v>
      </c>
      <c r="K123">
        <f>Perhitungan!J$4+Perhitungan!J$3*Return!$B123</f>
        <v>1.4219240976181441E-2</v>
      </c>
      <c r="L123">
        <f>Perhitungan!K$4+Perhitungan!K$3*Return!$B123</f>
        <v>4.4929984135498747E-3</v>
      </c>
      <c r="M123">
        <f>Perhitungan!L$4+Perhitungan!L$3*Return!$B123</f>
        <v>1.84094582101012E-2</v>
      </c>
      <c r="N123">
        <f>Perhitungan!M$4+Perhitungan!M$3*Return!$B123</f>
        <v>1.7063053364175854E-2</v>
      </c>
      <c r="O123">
        <f>Perhitungan!N$4+Perhitungan!N$3*Return!$B123</f>
        <v>6.7049530471700982E-3</v>
      </c>
      <c r="P123">
        <f>Perhitungan!O$4+Perhitungan!O$3*Return!$B123</f>
        <v>1.017060226087602E-2</v>
      </c>
      <c r="Q123">
        <f>Perhitungan!P$4+Perhitungan!P$3*Return!$B123</f>
        <v>1.6577344045604153E-2</v>
      </c>
      <c r="R123">
        <f>Perhitungan!Q$4+Perhitungan!Q$3*Return!$B123</f>
        <v>7.1819580058883562E-3</v>
      </c>
      <c r="S123">
        <f>Perhitungan!R$4+Perhitungan!R$3*Return!$B123</f>
        <v>7.3592063816651588E-3</v>
      </c>
      <c r="T123">
        <f>Perhitungan!S$4+Perhitungan!S$3*Return!$B123</f>
        <v>8.948341821585843E-3</v>
      </c>
      <c r="U123">
        <f>Perhitungan!T$4+Perhitungan!T$3*Return!$B123</f>
        <v>1.525595485120748E-2</v>
      </c>
      <c r="V123">
        <f>Perhitungan!U$4+Perhitungan!U$3*Return!$B123</f>
        <v>1.254670725254377E-2</v>
      </c>
      <c r="W123">
        <f>Perhitungan!V$4+Perhitungan!V$3*Return!$B123</f>
        <v>2.8242752297625059E-2</v>
      </c>
      <c r="X123">
        <f>Perhitungan!W$4+Perhitungan!W$3*Return!$B123</f>
        <v>1.0046951492712196E-2</v>
      </c>
      <c r="Y123">
        <f>Perhitungan!X$4+Perhitungan!X$3*Return!$B123</f>
        <v>9.3101917974645499E-3</v>
      </c>
      <c r="Z123">
        <f>Perhitungan!Y$4+Perhitungan!Y$3*Return!$B123</f>
        <v>9.6009325119365326E-3</v>
      </c>
      <c r="AA123">
        <f>Perhitungan!Z$4+Perhitungan!Z$3*Return!$B123</f>
        <v>1.8315609445035307E-2</v>
      </c>
      <c r="AB123">
        <f>Perhitungan!AA$4+Perhitungan!AA$3*Return!$B123</f>
        <v>1.355214163924486E-2</v>
      </c>
      <c r="AC123">
        <f>Perhitungan!AB$4+Perhitungan!AB$3*Return!$B123</f>
        <v>1.29529563610592E-2</v>
      </c>
      <c r="AD123">
        <f>Perhitungan!AC$4+Perhitungan!AC$3*Return!$B123</f>
        <v>1.2731146114596364E-2</v>
      </c>
      <c r="AE123">
        <f>Perhitungan!AD$4+Perhitungan!AD$3*Return!$B123</f>
        <v>1.0420148848690502E-2</v>
      </c>
      <c r="AF123">
        <f>Perhitungan!AE$4+Perhitungan!AE$3*Return!$B123</f>
        <v>16.294680240325704</v>
      </c>
    </row>
    <row r="124" spans="1:32" x14ac:dyDescent="0.3">
      <c r="A124" s="3" t="s">
        <v>72</v>
      </c>
      <c r="C124">
        <f>Perhitungan!B$4+Perhitungan!B$3*Return!$B124</f>
        <v>7.4450092618623485E-3</v>
      </c>
      <c r="D124">
        <f>Perhitungan!C$4+Perhitungan!C$3*Return!$B124</f>
        <v>1.1582843713676584E-2</v>
      </c>
      <c r="E124">
        <f>Perhitungan!D$4+Perhitungan!D$3*Return!$B124</f>
        <v>1.0426549989523125E-2</v>
      </c>
      <c r="F124">
        <f>Perhitungan!E$4+Perhitungan!E$3*Return!$B124</f>
        <v>8.8475931310621359E-3</v>
      </c>
      <c r="G124">
        <f>Perhitungan!F$4+Perhitungan!F$3*Return!$B124</f>
        <v>1.114470610407454E-2</v>
      </c>
      <c r="H124">
        <f>Perhitungan!G$4+Perhitungan!G$3*Return!$B124</f>
        <v>7.567585679539187E-3</v>
      </c>
      <c r="I124">
        <f>Perhitungan!H$4+Perhitungan!H$3*Return!$B124</f>
        <v>2.6168330127998049E-3</v>
      </c>
      <c r="J124">
        <f>Perhitungan!I$4+Perhitungan!I$3*Return!$B124</f>
        <v>2.9781036719823484E-3</v>
      </c>
      <c r="K124">
        <f>Perhitungan!J$4+Perhitungan!J$3*Return!$B124</f>
        <v>1.1276211302237394E-2</v>
      </c>
      <c r="L124">
        <f>Perhitungan!K$4+Perhitungan!K$3*Return!$B124</f>
        <v>3.3572698796295848E-3</v>
      </c>
      <c r="M124">
        <f>Perhitungan!L$4+Perhitungan!L$3*Return!$B124</f>
        <v>1.537609838824755E-2</v>
      </c>
      <c r="N124">
        <f>Perhitungan!M$4+Perhitungan!M$3*Return!$B124</f>
        <v>1.2664398651046094E-2</v>
      </c>
      <c r="O124">
        <f>Perhitungan!N$4+Perhitungan!N$3*Return!$B124</f>
        <v>5.1005217465937835E-3</v>
      </c>
      <c r="P124">
        <f>Perhitungan!O$4+Perhitungan!O$3*Return!$B124</f>
        <v>7.4208937975584815E-3</v>
      </c>
      <c r="Q124">
        <f>Perhitungan!P$4+Perhitungan!P$3*Return!$B124</f>
        <v>1.3252590585171347E-2</v>
      </c>
      <c r="R124">
        <f>Perhitungan!Q$4+Perhitungan!Q$3*Return!$B124</f>
        <v>5.3514333748024938E-3</v>
      </c>
      <c r="S124">
        <f>Perhitungan!R$4+Perhitungan!R$3*Return!$B124</f>
        <v>5.6584094541980703E-3</v>
      </c>
      <c r="T124">
        <f>Perhitungan!S$4+Perhitungan!S$3*Return!$B124</f>
        <v>7.1615793808737045E-3</v>
      </c>
      <c r="U124">
        <f>Perhitungan!T$4+Perhitungan!T$3*Return!$B124</f>
        <v>1.1830408088123611E-2</v>
      </c>
      <c r="V124">
        <f>Perhitungan!U$4+Perhitungan!U$3*Return!$B124</f>
        <v>9.6769018343362424E-3</v>
      </c>
      <c r="W124">
        <f>Perhitungan!V$4+Perhitungan!V$3*Return!$B124</f>
        <v>2.2309889298134676E-2</v>
      </c>
      <c r="X124">
        <f>Perhitungan!W$4+Perhitungan!W$3*Return!$B124</f>
        <v>6.7273237415493405E-3</v>
      </c>
      <c r="Y124">
        <f>Perhitungan!X$4+Perhitungan!X$3*Return!$B124</f>
        <v>6.8212543401540045E-3</v>
      </c>
      <c r="Z124">
        <f>Perhitungan!Y$4+Perhitungan!Y$3*Return!$B124</f>
        <v>7.173647484084663E-3</v>
      </c>
      <c r="AA124">
        <f>Perhitungan!Z$4+Perhitungan!Z$3*Return!$B124</f>
        <v>1.4680849458321769E-2</v>
      </c>
      <c r="AB124">
        <f>Perhitungan!AA$4+Perhitungan!AA$3*Return!$B124</f>
        <v>1.0260141029847647E-2</v>
      </c>
      <c r="AC124">
        <f>Perhitungan!AB$4+Perhitungan!AB$3*Return!$B124</f>
        <v>1.0256775991949912E-2</v>
      </c>
      <c r="AD124">
        <f>Perhitungan!AC$4+Perhitungan!AC$3*Return!$B124</f>
        <v>9.7312702956673536E-3</v>
      </c>
      <c r="AE124">
        <f>Perhitungan!AD$4+Perhitungan!AD$3*Return!$B124</f>
        <v>8.0348475350415782E-3</v>
      </c>
      <c r="AF124">
        <f>Perhitungan!AE$4+Perhitungan!AE$3*Return!$B124</f>
        <v>16.382581111650474</v>
      </c>
    </row>
    <row r="125" spans="1:32" x14ac:dyDescent="0.3">
      <c r="A125" s="4" t="s">
        <v>73</v>
      </c>
      <c r="C125">
        <f>Perhitungan!B$4+Perhitungan!B$3*Return!$B125</f>
        <v>5.8811463436963694E-4</v>
      </c>
      <c r="D125">
        <f>Perhitungan!C$4+Perhitungan!C$3*Return!$B125</f>
        <v>3.7329434647684883E-3</v>
      </c>
      <c r="E125">
        <f>Perhitungan!D$4+Perhitungan!D$3*Return!$B125</f>
        <v>2.6143778090817532E-3</v>
      </c>
      <c r="F125">
        <f>Perhitungan!E$4+Perhitungan!E$3*Return!$B125</f>
        <v>2.0862389094097934E-3</v>
      </c>
      <c r="G125">
        <f>Perhitungan!F$4+Perhitungan!F$3*Return!$B125</f>
        <v>3.9535900646648896E-3</v>
      </c>
      <c r="H125">
        <f>Perhitungan!G$4+Perhitungan!G$3*Return!$B125</f>
        <v>2.1970775175318442E-3</v>
      </c>
      <c r="I125">
        <f>Perhitungan!H$4+Perhitungan!H$3*Return!$B125</f>
        <v>-7.6630292043460154E-4</v>
      </c>
      <c r="J125">
        <f>Perhitungan!I$4+Perhitungan!I$3*Return!$B125</f>
        <v>6.8501375248598796E-4</v>
      </c>
      <c r="K125">
        <f>Perhitungan!J$4+Perhitungan!J$3*Return!$B125</f>
        <v>3.7617552039255564E-3</v>
      </c>
      <c r="L125">
        <f>Perhitungan!K$4+Perhitungan!K$3*Return!$B125</f>
        <v>4.5740710104370249E-4</v>
      </c>
      <c r="M125">
        <f>Perhitungan!L$4+Perhitungan!L$3*Return!$B125</f>
        <v>7.6310017575515875E-3</v>
      </c>
      <c r="N125">
        <f>Perhitungan!M$4+Perhitungan!M$3*Return!$B125</f>
        <v>1.4332860237819584E-3</v>
      </c>
      <c r="O125">
        <f>Perhitungan!N$4+Perhitungan!N$3*Return!$B125</f>
        <v>1.0039172584776685E-3</v>
      </c>
      <c r="P125">
        <f>Perhitungan!O$4+Perhitungan!O$3*Return!$B125</f>
        <v>4.0004595708611232E-4</v>
      </c>
      <c r="Q125">
        <f>Perhitungan!P$4+Perhitungan!P$3*Return!$B125</f>
        <v>4.7634767521289381E-3</v>
      </c>
      <c r="R125">
        <f>Perhitungan!Q$4+Perhitungan!Q$3*Return!$B125</f>
        <v>6.7754336990181172E-4</v>
      </c>
      <c r="S125">
        <f>Perhitungan!R$4+Perhitungan!R$3*Return!$B125</f>
        <v>1.3157540074157496E-3</v>
      </c>
      <c r="T125">
        <f>Perhitungan!S$4+Perhitungan!S$3*Return!$B125</f>
        <v>2.5994276507314272E-3</v>
      </c>
      <c r="U125">
        <f>Perhitungan!T$4+Perhitungan!T$3*Return!$B125</f>
        <v>3.0839380841662695E-3</v>
      </c>
      <c r="V125">
        <f>Perhitungan!U$4+Perhitungan!U$3*Return!$B125</f>
        <v>2.3494096867909074E-3</v>
      </c>
      <c r="W125">
        <f>Perhitungan!V$4+Perhitungan!V$3*Return!$B125</f>
        <v>7.1614730447493976E-3</v>
      </c>
      <c r="X125">
        <f>Perhitungan!W$4+Perhitungan!W$3*Return!$B125</f>
        <v>-1.7487025859124145E-3</v>
      </c>
      <c r="Y125">
        <f>Perhitungan!X$4+Perhitungan!X$3*Return!$B125</f>
        <v>4.6623474249581813E-4</v>
      </c>
      <c r="Z125">
        <f>Perhitungan!Y$4+Perhitungan!Y$3*Return!$B125</f>
        <v>9.7604542068484897E-4</v>
      </c>
      <c r="AA125">
        <f>Perhitungan!Z$4+Perhitungan!Z$3*Return!$B125</f>
        <v>5.4001940201942687E-3</v>
      </c>
      <c r="AB125">
        <f>Perhitungan!AA$4+Perhitungan!AA$3*Return!$B125</f>
        <v>1.854655256481468E-3</v>
      </c>
      <c r="AC125">
        <f>Perhitungan!AB$4+Perhitungan!AB$3*Return!$B125</f>
        <v>3.3726017696592949E-3</v>
      </c>
      <c r="AD125">
        <f>Perhitungan!AC$4+Perhitungan!AC$3*Return!$B125</f>
        <v>2.0716685793450351E-3</v>
      </c>
      <c r="AE125">
        <f>Perhitungan!AD$4+Perhitungan!AD$3*Return!$B125</f>
        <v>1.9444427520549444E-3</v>
      </c>
      <c r="AF125">
        <f>Perhitungan!AE$4+Perhitungan!AE$3*Return!$B125</f>
        <v>16.607018956916281</v>
      </c>
    </row>
    <row r="126" spans="1:32" x14ac:dyDescent="0.3">
      <c r="A126" s="3" t="s">
        <v>74</v>
      </c>
      <c r="C126">
        <f>Perhitungan!B$4+Perhitungan!B$3*Return!$B126</f>
        <v>5.6449303719362937E-3</v>
      </c>
      <c r="D126">
        <f>Perhitungan!C$4+Perhitungan!C$3*Return!$B126</f>
        <v>9.5220799869848004E-3</v>
      </c>
      <c r="E126">
        <f>Perhitungan!D$4+Perhitungan!D$3*Return!$B126</f>
        <v>8.3756906733982381E-3</v>
      </c>
      <c r="F126">
        <f>Perhitungan!E$4+Perhitungan!E$3*Return!$B126</f>
        <v>7.0725956047899231E-3</v>
      </c>
      <c r="G126">
        <f>Perhitungan!F$4+Perhitungan!F$3*Return!$B126</f>
        <v>9.256887072169236E-3</v>
      </c>
      <c r="H126">
        <f>Perhitungan!G$4+Perhitungan!G$3*Return!$B126</f>
        <v>6.1577144629327936E-3</v>
      </c>
      <c r="I126">
        <f>Perhitungan!H$4+Perhitungan!H$3*Return!$B126</f>
        <v>1.7286887571263923E-3</v>
      </c>
      <c r="J126">
        <f>Perhitungan!I$4+Perhitungan!I$3*Return!$B126</f>
        <v>2.3761193946919478E-3</v>
      </c>
      <c r="K126">
        <f>Perhitungan!J$4+Perhitungan!J$3*Return!$B126</f>
        <v>9.3035087121155768E-3</v>
      </c>
      <c r="L126">
        <f>Perhitungan!K$4+Perhitungan!K$3*Return!$B126</f>
        <v>2.5959949796937965E-3</v>
      </c>
      <c r="M126">
        <f>Perhitungan!L$4+Perhitungan!L$3*Return!$B126</f>
        <v>1.3342847813059527E-2</v>
      </c>
      <c r="N126">
        <f>Perhitungan!M$4+Perhitungan!M$3*Return!$B126</f>
        <v>9.7159956422466706E-3</v>
      </c>
      <c r="O126">
        <f>Perhitungan!N$4+Perhitungan!N$3*Return!$B126</f>
        <v>4.0250770066575367E-3</v>
      </c>
      <c r="P126">
        <f>Perhitungan!O$4+Perhitungan!O$3*Return!$B126</f>
        <v>5.5777737448826142E-3</v>
      </c>
      <c r="Q126">
        <f>Perhitungan!P$4+Perhitungan!P$3*Return!$B126</f>
        <v>1.1024019863992486E-2</v>
      </c>
      <c r="R126">
        <f>Perhitungan!Q$4+Perhitungan!Q$3*Return!$B126</f>
        <v>4.1244390590484351E-3</v>
      </c>
      <c r="S126">
        <f>Perhitungan!R$4+Perhitungan!R$3*Return!$B126</f>
        <v>4.5183711685530623E-3</v>
      </c>
      <c r="T126">
        <f>Perhitungan!S$4+Perhitungan!S$3*Return!$B126</f>
        <v>5.9639187096506407E-3</v>
      </c>
      <c r="U126">
        <f>Perhitungan!T$4+Perhitungan!T$3*Return!$B126</f>
        <v>9.5342759655198655E-3</v>
      </c>
      <c r="V126">
        <f>Perhitungan!U$4+Perhitungan!U$3*Return!$B126</f>
        <v>7.7532812090447666E-3</v>
      </c>
      <c r="W126">
        <f>Perhitungan!V$4+Perhitungan!V$3*Return!$B126</f>
        <v>1.8333111792440019E-2</v>
      </c>
      <c r="X126">
        <f>Perhitungan!W$4+Perhitungan!W$3*Return!$B126</f>
        <v>4.5021887655287999E-3</v>
      </c>
      <c r="Y126">
        <f>Perhitungan!X$4+Perhitungan!X$3*Return!$B126</f>
        <v>5.1529281889916307E-3</v>
      </c>
      <c r="Z126">
        <f>Perhitungan!Y$4+Perhitungan!Y$3*Return!$B126</f>
        <v>5.5466467427056857E-3</v>
      </c>
      <c r="AA126">
        <f>Perhitungan!Z$4+Perhitungan!Z$3*Return!$B126</f>
        <v>1.2244482437036592E-2</v>
      </c>
      <c r="AB126">
        <f>Perhitungan!AA$4+Perhitungan!AA$3*Return!$B126</f>
        <v>8.0535244311989874E-3</v>
      </c>
      <c r="AC126">
        <f>Perhitungan!AB$4+Perhitungan!AB$3*Return!$B126</f>
        <v>8.4495356352974234E-3</v>
      </c>
      <c r="AD126">
        <f>Perhitungan!AC$4+Perhitungan!AC$3*Return!$B126</f>
        <v>7.7204639315866432E-3</v>
      </c>
      <c r="AE126">
        <f>Perhitungan!AD$4+Perhitungan!AD$3*Return!$B126</f>
        <v>6.4359883317803906E-3</v>
      </c>
      <c r="AF126">
        <f>Perhitungan!AE$4+Perhitungan!AE$3*Return!$B126</f>
        <v>16.441500761041556</v>
      </c>
    </row>
    <row r="127" spans="1:32" x14ac:dyDescent="0.3">
      <c r="A127" s="4" t="s">
        <v>75</v>
      </c>
      <c r="C127">
        <f>Perhitungan!B$4+Perhitungan!B$3*Return!$B127</f>
        <v>-3.4319935248222659E-3</v>
      </c>
      <c r="D127">
        <f>Perhitungan!C$4+Perhitungan!C$3*Return!$B127</f>
        <v>-8.6935097810488318E-4</v>
      </c>
      <c r="E127">
        <f>Perhitungan!D$4+Perhitungan!D$3*Return!$B127</f>
        <v>-1.9657971578315395E-3</v>
      </c>
      <c r="F127">
        <f>Perhitungan!E$4+Perhitungan!E$3*Return!$B127</f>
        <v>-1.8778551521596385E-3</v>
      </c>
      <c r="G127">
        <f>Perhitungan!F$4+Perhitungan!F$3*Return!$B127</f>
        <v>-2.6246776241847097E-4</v>
      </c>
      <c r="H127">
        <f>Perhitungan!G$4+Perhitungan!G$3*Return!$B127</f>
        <v>-9.51581584582289E-4</v>
      </c>
      <c r="I127">
        <f>Perhitungan!H$4+Perhitungan!H$3*Return!$B127</f>
        <v>-2.7497915268249449E-3</v>
      </c>
      <c r="J127">
        <f>Perhitungan!I$4+Perhitungan!I$3*Return!$B127</f>
        <v>-6.5939505003032625E-4</v>
      </c>
      <c r="K127">
        <f>Perhitungan!J$4+Perhitungan!J$3*Return!$B127</f>
        <v>-6.4387269526806922E-4</v>
      </c>
      <c r="L127">
        <f>Perhitungan!K$4+Perhitungan!K$3*Return!$B127</f>
        <v>-1.2427447388268164E-3</v>
      </c>
      <c r="M127">
        <f>Perhitungan!L$4+Perhitungan!L$3*Return!$B127</f>
        <v>3.0901523132637462E-3</v>
      </c>
      <c r="N127">
        <f>Perhitungan!M$4+Perhitungan!M$3*Return!$B127</f>
        <v>-5.151369270268753E-3</v>
      </c>
      <c r="O127">
        <f>Perhitungan!N$4+Perhitungan!N$3*Return!$B127</f>
        <v>-1.3978686843347172E-3</v>
      </c>
      <c r="P127">
        <f>Perhitungan!O$4+Perhitungan!O$3*Return!$B127</f>
        <v>-3.7161858389752494E-3</v>
      </c>
      <c r="Q127">
        <f>Perhitungan!P$4+Perhitungan!P$3*Return!$B127</f>
        <v>-2.1358030336231064E-4</v>
      </c>
      <c r="R127">
        <f>Perhitungan!Q$4+Perhitungan!Q$3*Return!$B127</f>
        <v>-2.062697564898333E-3</v>
      </c>
      <c r="S127">
        <f>Perhitungan!R$4+Perhitungan!R$3*Return!$B127</f>
        <v>-1.2302884130366743E-3</v>
      </c>
      <c r="T127">
        <f>Perhitungan!S$4+Perhitungan!S$3*Return!$B127</f>
        <v>-7.5302586522159798E-5</v>
      </c>
      <c r="U127">
        <f>Perhitungan!T$4+Perhitungan!T$3*Return!$B127</f>
        <v>-2.0440035479036079E-3</v>
      </c>
      <c r="V127">
        <f>Perhitungan!U$4+Perhitungan!U$3*Return!$B127</f>
        <v>-1.946603679179826E-3</v>
      </c>
      <c r="W127">
        <f>Perhitungan!V$4+Perhitungan!V$3*Return!$B127</f>
        <v>-1.7198464281936244E-3</v>
      </c>
      <c r="X127">
        <f>Perhitungan!W$4+Perhitungan!W$3*Return!$B127</f>
        <v>-6.7180866070599091E-3</v>
      </c>
      <c r="Y127">
        <f>Perhitungan!X$4+Perhitungan!X$3*Return!$B127</f>
        <v>-3.2596306126368066E-3</v>
      </c>
      <c r="Z127">
        <f>Perhitungan!Y$4+Perhitungan!Y$3*Return!$B127</f>
        <v>-2.6575280810285039E-3</v>
      </c>
      <c r="AA127">
        <f>Perhitungan!Z$4+Perhitungan!Z$3*Return!$B127</f>
        <v>-4.0933585861352428E-5</v>
      </c>
      <c r="AB127">
        <f>Perhitungan!AA$4+Perhitungan!AA$3*Return!$B127</f>
        <v>-3.0733717550458809E-3</v>
      </c>
      <c r="AC127">
        <f>Perhitungan!AB$4+Perhitungan!AB$3*Return!$B127</f>
        <v>-6.6350006124323924E-4</v>
      </c>
      <c r="AD127">
        <f>Perhitungan!AC$4+Perhitungan!AC$3*Return!$B127</f>
        <v>-2.4190563083447149E-3</v>
      </c>
      <c r="AE127">
        <f>Perhitungan!AD$4+Perhitungan!AD$3*Return!$B127</f>
        <v>-1.6262823780494385E-3</v>
      </c>
      <c r="AF127">
        <f>Perhitungan!AE$4+Perhitungan!AE$3*Return!$B127</f>
        <v>16.738603947207203</v>
      </c>
    </row>
    <row r="128" spans="1:32" x14ac:dyDescent="0.3">
      <c r="A128" s="3" t="s">
        <v>76</v>
      </c>
      <c r="C128">
        <f>Perhitungan!B$4+Perhitungan!B$3*Return!$B128</f>
        <v>2.9398069005902778E-3</v>
      </c>
      <c r="D128">
        <f>Perhitungan!C$4+Perhitungan!C$3*Return!$B128</f>
        <v>6.4252044238246615E-3</v>
      </c>
      <c r="E128">
        <f>Perhitungan!D$4+Perhitungan!D$3*Return!$B128</f>
        <v>5.2936992653961328E-3</v>
      </c>
      <c r="F128">
        <f>Perhitungan!E$4+Perhitungan!E$3*Return!$B128</f>
        <v>4.4051639178946198E-3</v>
      </c>
      <c r="G128">
        <f>Perhitungan!F$4+Perhitungan!F$3*Return!$B128</f>
        <v>6.4199094255559079E-3</v>
      </c>
      <c r="H128">
        <f>Perhitungan!G$4+Perhitungan!G$3*Return!$B128</f>
        <v>4.0389874777095021E-3</v>
      </c>
      <c r="I128">
        <f>Perhitungan!H$4+Perhitungan!H$3*Return!$B128</f>
        <v>3.9400288007464821E-4</v>
      </c>
      <c r="J128">
        <f>Perhitungan!I$4+Perhitungan!I$3*Return!$B128</f>
        <v>1.4714691557535708E-3</v>
      </c>
      <c r="K128">
        <f>Perhitungan!J$4+Perhitungan!J$3*Return!$B128</f>
        <v>6.3389697086373344E-3</v>
      </c>
      <c r="L128">
        <f>Perhitungan!K$4+Perhitungan!K$3*Return!$B128</f>
        <v>1.4519658976975699E-3</v>
      </c>
      <c r="M128">
        <f>Perhitungan!L$4+Perhitungan!L$3*Return!$B128</f>
        <v>1.0287318477734203E-2</v>
      </c>
      <c r="N128">
        <f>Perhitungan!M$4+Perhitungan!M$3*Return!$B128</f>
        <v>5.2851930664672411E-3</v>
      </c>
      <c r="O128">
        <f>Perhitungan!N$4+Perhitungan!N$3*Return!$B128</f>
        <v>2.4089196124354078E-3</v>
      </c>
      <c r="P128">
        <f>Perhitungan!O$4+Perhitungan!O$3*Return!$B128</f>
        <v>2.8079688530498956E-3</v>
      </c>
      <c r="Q128">
        <f>Perhitungan!P$4+Perhitungan!P$3*Return!$B128</f>
        <v>7.6749672201591344E-3</v>
      </c>
      <c r="R128">
        <f>Perhitungan!Q$4+Perhitungan!Q$3*Return!$B128</f>
        <v>2.2805359160640755E-3</v>
      </c>
      <c r="S128">
        <f>Perhitungan!R$4+Perhitungan!R$3*Return!$B128</f>
        <v>2.8051438528002119E-3</v>
      </c>
      <c r="T128">
        <f>Perhitungan!S$4+Perhitungan!S$3*Return!$B128</f>
        <v>4.1640975959401066E-3</v>
      </c>
      <c r="U128">
        <f>Perhitungan!T$4+Perhitungan!T$3*Return!$B128</f>
        <v>6.0836933644305875E-3</v>
      </c>
      <c r="V128">
        <f>Perhitungan!U$4+Perhitungan!U$3*Return!$B128</f>
        <v>4.8625016256816003E-3</v>
      </c>
      <c r="W128">
        <f>Perhitungan!V$4+Perhitungan!V$3*Return!$B128</f>
        <v>1.2356888066257992E-2</v>
      </c>
      <c r="X128">
        <f>Perhitungan!W$4+Perhitungan!W$3*Return!$B128</f>
        <v>1.1582992925549878E-3</v>
      </c>
      <c r="Y128">
        <f>Perhitungan!X$4+Perhitungan!X$3*Return!$B128</f>
        <v>2.6458001655331217E-3</v>
      </c>
      <c r="Z128">
        <f>Perhitungan!Y$4+Perhitungan!Y$3*Return!$B128</f>
        <v>3.1016217396168289E-3</v>
      </c>
      <c r="AA128">
        <f>Perhitungan!Z$4+Perhitungan!Z$3*Return!$B128</f>
        <v>8.5831575634569383E-3</v>
      </c>
      <c r="AB128">
        <f>Perhitungan!AA$4+Perhitungan!AA$3*Return!$B128</f>
        <v>4.7374640148072312E-3</v>
      </c>
      <c r="AC128">
        <f>Perhitungan!AB$4+Perhitungan!AB$3*Return!$B128</f>
        <v>5.7336500513354809E-3</v>
      </c>
      <c r="AD128">
        <f>Perhitungan!AC$4+Perhitungan!AC$3*Return!$B128</f>
        <v>4.6986633192645224E-3</v>
      </c>
      <c r="AE128">
        <f>Perhitungan!AD$4+Perhitungan!AD$3*Return!$B128</f>
        <v>4.0332538836823414E-3</v>
      </c>
      <c r="AF128">
        <f>Perhitungan!AE$4+Perhitungan!AE$3*Return!$B128</f>
        <v>16.53004406177314</v>
      </c>
    </row>
    <row r="129" spans="1:32" x14ac:dyDescent="0.3">
      <c r="A129" s="4" t="s">
        <v>77</v>
      </c>
      <c r="C129">
        <f>Perhitungan!B$4+Perhitungan!B$3*Return!$B129</f>
        <v>-2.8212760930452861E-3</v>
      </c>
      <c r="D129">
        <f>Perhitungan!C$4+Perhitungan!C$3*Return!$B129</f>
        <v>-1.7019032592032043E-4</v>
      </c>
      <c r="E129">
        <f>Perhitungan!D$4+Perhitungan!D$3*Return!$B129</f>
        <v>-1.2699968006976718E-3</v>
      </c>
      <c r="F129">
        <f>Perhitungan!E$4+Perhitungan!E$3*Return!$B129</f>
        <v>-1.275647139654148E-3</v>
      </c>
      <c r="G129">
        <f>Perhitungan!F$4+Perhitungan!F$3*Return!$B129</f>
        <v>3.7801749479837959E-4</v>
      </c>
      <c r="H129">
        <f>Perhitungan!G$4+Perhitungan!G$3*Return!$B129</f>
        <v>-4.7325092176477577E-4</v>
      </c>
      <c r="I129">
        <f>Perhitungan!H$4+Perhitungan!H$3*Return!$B129</f>
        <v>-2.448468522645597E-3</v>
      </c>
      <c r="J129">
        <f>Perhitungan!I$4+Perhitungan!I$3*Return!$B129</f>
        <v>-4.5515828360059624E-4</v>
      </c>
      <c r="K129">
        <f>Perhitungan!J$4+Perhitungan!J$3*Return!$B129</f>
        <v>2.5411226809636967E-5</v>
      </c>
      <c r="L129">
        <f>Perhitungan!K$4+Perhitungan!K$3*Return!$B129</f>
        <v>-9.8446502988352612E-4</v>
      </c>
      <c r="M129">
        <f>Perhitungan!L$4+Perhitungan!L$3*Return!$B129</f>
        <v>3.7799785072084495E-3</v>
      </c>
      <c r="N129">
        <f>Perhitungan!M$4+Perhitungan!M$3*Return!$B129</f>
        <v>-4.1510569375956697E-3</v>
      </c>
      <c r="O129">
        <f>Perhitungan!N$4+Perhitungan!N$3*Return!$B129</f>
        <v>-1.032999759273934E-3</v>
      </c>
      <c r="P129">
        <f>Perhitungan!O$4+Perhitungan!O$3*Return!$B129</f>
        <v>-3.0908657203258397E-3</v>
      </c>
      <c r="Q129">
        <f>Perhitungan!P$4+Perhitungan!P$3*Return!$B129</f>
        <v>5.4251266288964984E-4</v>
      </c>
      <c r="R129">
        <f>Perhitungan!Q$4+Perhitungan!Q$3*Return!$B129</f>
        <v>-1.6464120223502205E-3</v>
      </c>
      <c r="S129">
        <f>Perhitungan!R$4+Perhitungan!R$3*Return!$B129</f>
        <v>-8.4350466826138212E-4</v>
      </c>
      <c r="T129">
        <f>Perhitungan!S$4+Perhitungan!S$3*Return!$B129</f>
        <v>3.3103085439702693E-4</v>
      </c>
      <c r="U129">
        <f>Perhitungan!T$4+Perhitungan!T$3*Return!$B129</f>
        <v>-1.2649888498340188E-3</v>
      </c>
      <c r="V129">
        <f>Perhitungan!U$4+Perhitungan!U$3*Return!$B129</f>
        <v>-1.2939719225574828E-3</v>
      </c>
      <c r="W129">
        <f>Perhitungan!V$4+Perhitungan!V$3*Return!$B129</f>
        <v>-3.7063481384816844E-4</v>
      </c>
      <c r="X129">
        <f>Perhitungan!W$4+Perhitungan!W$3*Return!$B129</f>
        <v>-5.9631592949751485E-3</v>
      </c>
      <c r="Y129">
        <f>Perhitungan!X$4+Perhitungan!X$3*Return!$B129</f>
        <v>-2.6936132741155415E-3</v>
      </c>
      <c r="Z129">
        <f>Perhitungan!Y$4+Perhitungan!Y$3*Return!$B129</f>
        <v>-2.1055313214225794E-3</v>
      </c>
      <c r="AA129">
        <f>Perhitungan!Z$4+Perhitungan!Z$3*Return!$B129</f>
        <v>7.8565896984965702E-4</v>
      </c>
      <c r="AB129">
        <f>Perhitungan!AA$4+Perhitungan!AA$3*Return!$B129</f>
        <v>-2.3247272208618682E-3</v>
      </c>
      <c r="AC129">
        <f>Perhitungan!AB$4+Perhitungan!AB$3*Return!$B129</f>
        <v>-5.0352940083532539E-5</v>
      </c>
      <c r="AD129">
        <f>Perhitungan!AC$4+Perhitungan!AC$3*Return!$B129</f>
        <v>-1.7368448200900939E-3</v>
      </c>
      <c r="AE129">
        <f>Perhitungan!AD$4+Perhitungan!AD$3*Return!$B129</f>
        <v>-1.083833271039038E-3</v>
      </c>
      <c r="AF129">
        <f>Perhitungan!AE$4+Perhitungan!AE$3*Return!$B129</f>
        <v>16.718614125006244</v>
      </c>
    </row>
    <row r="130" spans="1:32" x14ac:dyDescent="0.3">
      <c r="A130" s="3" t="s">
        <v>78</v>
      </c>
      <c r="C130">
        <f>Perhitungan!B$4+Perhitungan!B$3*Return!$B130</f>
        <v>7.459238341544298E-3</v>
      </c>
      <c r="D130">
        <f>Perhitungan!C$4+Perhitungan!C$3*Return!$B130</f>
        <v>1.1599133428220136E-2</v>
      </c>
      <c r="E130">
        <f>Perhitungan!D$4+Perhitungan!D$3*Return!$B130</f>
        <v>1.0442761412694034E-2</v>
      </c>
      <c r="F130">
        <f>Perhitungan!E$4+Perhitungan!E$3*Return!$B130</f>
        <v>8.8616239501434213E-3</v>
      </c>
      <c r="G130">
        <f>Perhitungan!F$4+Perhitungan!F$3*Return!$B130</f>
        <v>1.115962874306576E-2</v>
      </c>
      <c r="H130">
        <f>Perhitungan!G$4+Perhitungan!G$3*Return!$B130</f>
        <v>7.5787302854754329E-3</v>
      </c>
      <c r="I130">
        <f>Perhitungan!H$4+Perhitungan!H$3*Return!$B130</f>
        <v>2.6238535247639018E-3</v>
      </c>
      <c r="J130">
        <f>Perhitungan!I$4+Perhitungan!I$3*Return!$B130</f>
        <v>2.9828621757883667E-3</v>
      </c>
      <c r="K130">
        <f>Perhitungan!J$4+Perhitungan!J$3*Return!$B130</f>
        <v>1.1291804920106435E-2</v>
      </c>
      <c r="L130">
        <f>Perhitungan!K$4+Perhitungan!K$3*Return!$B130</f>
        <v>3.3632875276736105E-3</v>
      </c>
      <c r="M130">
        <f>Perhitungan!L$4+Perhitungan!L$3*Return!$B130</f>
        <v>1.5392170619642313E-2</v>
      </c>
      <c r="N130">
        <f>Perhitungan!M$4+Perhitungan!M$3*Return!$B130</f>
        <v>1.2687704885890298E-2</v>
      </c>
      <c r="O130">
        <f>Perhitungan!N$4+Perhitungan!N$3*Return!$B130</f>
        <v>5.1090228122880298E-3</v>
      </c>
      <c r="P130">
        <f>Perhitungan!O$4+Perhitungan!O$3*Return!$B130</f>
        <v>7.4354631046259093E-3</v>
      </c>
      <c r="Q130">
        <f>Perhitungan!P$4+Perhitungan!P$3*Return!$B130</f>
        <v>1.3270206763298861E-2</v>
      </c>
      <c r="R130">
        <f>Perhitungan!Q$4+Perhitungan!Q$3*Return!$B130</f>
        <v>5.3611323940987443E-3</v>
      </c>
      <c r="S130">
        <f>Perhitungan!R$4+Perhitungan!R$3*Return!$B130</f>
        <v>5.6674211123524431E-3</v>
      </c>
      <c r="T130">
        <f>Perhitungan!S$4+Perhitungan!S$3*Return!$B130</f>
        <v>7.1710465265738968E-3</v>
      </c>
      <c r="U130">
        <f>Perhitungan!T$4+Perhitungan!T$3*Return!$B130</f>
        <v>1.184855831871387E-2</v>
      </c>
      <c r="V130">
        <f>Perhitungan!U$4+Perhitungan!U$3*Return!$B130</f>
        <v>9.6921074741047539E-3</v>
      </c>
      <c r="W130">
        <f>Perhitungan!V$4+Perhitungan!V$3*Return!$B130</f>
        <v>2.2341324522625446E-2</v>
      </c>
      <c r="X130">
        <f>Perhitungan!W$4+Perhitungan!W$3*Return!$B130</f>
        <v>6.7449127611495822E-3</v>
      </c>
      <c r="Y130">
        <f>Perhitungan!X$4+Perhitungan!X$3*Return!$B130</f>
        <v>6.8344419542487097E-3</v>
      </c>
      <c r="Z130">
        <f>Perhitungan!Y$4+Perhitungan!Y$3*Return!$B130</f>
        <v>7.1865084333026293E-3</v>
      </c>
      <c r="AA130">
        <f>Perhitungan!Z$4+Perhitungan!Z$3*Return!$B130</f>
        <v>1.4700108203410306E-2</v>
      </c>
      <c r="AB130">
        <f>Perhitungan!AA$4+Perhitungan!AA$3*Return!$B130</f>
        <v>1.0277583667270596E-2</v>
      </c>
      <c r="AC130">
        <f>Perhitungan!AB$4+Perhitungan!AB$3*Return!$B130</f>
        <v>1.0271061680862302E-2</v>
      </c>
      <c r="AD130">
        <f>Perhitungan!AC$4+Perhitungan!AC$3*Return!$B130</f>
        <v>9.7471651123554447E-3</v>
      </c>
      <c r="AE130">
        <f>Perhitungan!AD$4+Perhitungan!AD$3*Return!$B130</f>
        <v>8.0474860339044569E-3</v>
      </c>
      <c r="AF130">
        <f>Perhitungan!AE$4+Perhitungan!AE$3*Return!$B130</f>
        <v>16.382115369626217</v>
      </c>
    </row>
    <row r="131" spans="1:32" x14ac:dyDescent="0.3">
      <c r="A131" s="4" t="s">
        <v>79</v>
      </c>
      <c r="C131">
        <f>Perhitungan!B$4+Perhitungan!B$3*Return!$B131</f>
        <v>-1.4953563409732399E-3</v>
      </c>
      <c r="D131">
        <f>Perhitungan!C$4+Perhitungan!C$3*Return!$B131</f>
        <v>1.3477472182983547E-3</v>
      </c>
      <c r="E131">
        <f>Perhitungan!D$4+Perhitungan!D$3*Return!$B131</f>
        <v>2.4064525570834539E-4</v>
      </c>
      <c r="F131">
        <f>Perhitungan!E$4+Perhitungan!E$3*Return!$B131</f>
        <v>3.1797935744757173E-5</v>
      </c>
      <c r="G131">
        <f>Perhitungan!F$4+Perhitungan!F$3*Return!$B131</f>
        <v>1.7685657406275358E-3</v>
      </c>
      <c r="H131">
        <f>Perhitungan!G$4+Perhitungan!G$3*Return!$B131</f>
        <v>5.6524583770394682E-4</v>
      </c>
      <c r="I131">
        <f>Perhitungan!H$4+Perhitungan!H$3*Return!$B131</f>
        <v>-1.7942705217262717E-3</v>
      </c>
      <c r="J131">
        <f>Perhitungan!I$4+Perhitungan!I$3*Return!$B131</f>
        <v>-1.1742804332936332E-5</v>
      </c>
      <c r="K131">
        <f>Perhitungan!J$4+Perhitungan!J$3*Return!$B131</f>
        <v>1.4784838359293687E-3</v>
      </c>
      <c r="L131">
        <f>Perhitungan!K$4+Perhitungan!K$3*Return!$B131</f>
        <v>-4.2371770251333683E-4</v>
      </c>
      <c r="M131">
        <f>Perhitungan!L$4+Perhitungan!L$3*Return!$B131</f>
        <v>5.2776501446245147E-3</v>
      </c>
      <c r="N131">
        <f>Perhitungan!M$4+Perhitungan!M$3*Return!$B131</f>
        <v>-1.979293350836203E-3</v>
      </c>
      <c r="O131">
        <f>Perhitungan!N$4+Perhitungan!N$3*Return!$B131</f>
        <v>-2.4083813184546529E-4</v>
      </c>
      <c r="P131">
        <f>Perhitungan!O$4+Perhitungan!O$3*Return!$B131</f>
        <v>-1.7332422867309969E-3</v>
      </c>
      <c r="Q131">
        <f>Perhitungan!P$4+Perhitungan!P$3*Return!$B131</f>
        <v>2.1840551278545501E-3</v>
      </c>
      <c r="R131">
        <f>Perhitungan!Q$4+Perhitungan!Q$3*Return!$B131</f>
        <v>-7.4262052296473363E-4</v>
      </c>
      <c r="S131">
        <f>Perhitungan!R$4+Perhitungan!R$3*Return!$B131</f>
        <v>-3.7640938262451537E-6</v>
      </c>
      <c r="T131">
        <f>Perhitungan!S$4+Perhitungan!S$3*Return!$B131</f>
        <v>1.2132154903824854E-3</v>
      </c>
      <c r="U131">
        <f>Perhitungan!T$4+Perhitungan!T$3*Return!$B131</f>
        <v>4.2631865439013514E-4</v>
      </c>
      <c r="V131">
        <f>Perhitungan!U$4+Perhitungan!U$3*Return!$B131</f>
        <v>1.2294741183453499E-4</v>
      </c>
      <c r="W131">
        <f>Perhitungan!V$4+Perhitungan!V$3*Return!$B131</f>
        <v>2.5586189393653688E-3</v>
      </c>
      <c r="X131">
        <f>Perhitungan!W$4+Perhitungan!W$3*Return!$B131</f>
        <v>-4.3241475648541474E-3</v>
      </c>
      <c r="Y131">
        <f>Perhitungan!X$4+Perhitungan!X$3*Return!$B131</f>
        <v>-1.4647412457260557E-3</v>
      </c>
      <c r="Z131">
        <f>Perhitungan!Y$4+Perhitungan!Y$3*Return!$B131</f>
        <v>-9.0709916841907098E-4</v>
      </c>
      <c r="AA131">
        <f>Perhitungan!Z$4+Perhitungan!Z$3*Return!$B131</f>
        <v>2.5802620702458034E-3</v>
      </c>
      <c r="AB131">
        <f>Perhitungan!AA$4+Perhitungan!AA$3*Return!$B131</f>
        <v>-6.99355938651853E-4</v>
      </c>
      <c r="AC131">
        <f>Perhitungan!AB$4+Perhitungan!AB$3*Return!$B131</f>
        <v>1.2808418753424171E-3</v>
      </c>
      <c r="AD131">
        <f>Perhitungan!AC$4+Perhitungan!AC$3*Return!$B131</f>
        <v>-2.5570535967660497E-4</v>
      </c>
      <c r="AE131">
        <f>Perhitungan!AD$4+Perhitungan!AD$3*Return!$B131</f>
        <v>9.3870111990618108E-5</v>
      </c>
      <c r="AF131">
        <f>Perhitungan!AE$4+Perhitungan!AE$3*Return!$B131</f>
        <v>16.675214512161496</v>
      </c>
    </row>
    <row r="132" spans="1:32" x14ac:dyDescent="0.3">
      <c r="A132" s="3" t="s">
        <v>80</v>
      </c>
      <c r="C132">
        <f>Perhitungan!B$4+Perhitungan!B$3*Return!$B132</f>
        <v>-1.0717801477232572E-2</v>
      </c>
      <c r="D132">
        <f>Perhitungan!C$4+Perhitungan!C$3*Return!$B132</f>
        <v>-9.2102791629726372E-3</v>
      </c>
      <c r="E132">
        <f>Perhitungan!D$4+Perhitungan!D$3*Return!$B132</f>
        <v>-1.0266637303404977E-2</v>
      </c>
      <c r="F132">
        <f>Perhitungan!E$4+Perhitungan!E$3*Return!$B132</f>
        <v>-9.0621464433896341E-3</v>
      </c>
      <c r="G132">
        <f>Perhitungan!F$4+Perhitungan!F$3*Return!$B132</f>
        <v>-7.9034033860411659E-3</v>
      </c>
      <c r="H132">
        <f>Perhitungan!G$4+Perhitungan!G$3*Return!$B132</f>
        <v>-6.6580264405892492E-3</v>
      </c>
      <c r="I132">
        <f>Perhitungan!H$4+Perhitungan!H$3*Return!$B132</f>
        <v>-6.3445497994130406E-3</v>
      </c>
      <c r="J132">
        <f>Perhitungan!I$4+Perhitungan!I$3*Return!$B132</f>
        <v>-3.0959226151575118E-3</v>
      </c>
      <c r="K132">
        <f>Perhitungan!J$4+Perhitungan!J$3*Return!$B132</f>
        <v>-8.6283739853422834E-3</v>
      </c>
      <c r="L132">
        <f>Perhitungan!K$4+Perhitungan!K$3*Return!$B132</f>
        <v>-4.3240000943353587E-3</v>
      </c>
      <c r="M132">
        <f>Perhitungan!L$4+Perhitungan!L$3*Return!$B132</f>
        <v>-5.1394165644404197E-3</v>
      </c>
      <c r="N132">
        <f>Perhitungan!M$4+Perhitungan!M$3*Return!$B132</f>
        <v>-1.7085011850402426E-2</v>
      </c>
      <c r="O132">
        <f>Perhitungan!N$4+Perhitungan!N$3*Return!$B132</f>
        <v>-5.7507244855197507E-3</v>
      </c>
      <c r="P132">
        <f>Perhitungan!O$4+Perhitungan!O$3*Return!$B132</f>
        <v>-1.1176202626119713E-2</v>
      </c>
      <c r="Q132">
        <f>Perhitungan!P$4+Perhitungan!P$3*Return!$B132</f>
        <v>-9.2337062399209663E-3</v>
      </c>
      <c r="R132">
        <f>Perhitungan!Q$4+Perhitungan!Q$3*Return!$B132</f>
        <v>-7.0289493182592068E-3</v>
      </c>
      <c r="S132">
        <f>Perhitungan!R$4+Perhitungan!R$3*Return!$B132</f>
        <v>-5.8445861830337511E-3</v>
      </c>
      <c r="T132">
        <f>Perhitungan!S$4+Perhitungan!S$3*Return!$B132</f>
        <v>-4.9228265986750452E-3</v>
      </c>
      <c r="U132">
        <f>Perhitungan!T$4+Perhitungan!T$3*Return!$B132</f>
        <v>-1.1337583830564638E-2</v>
      </c>
      <c r="V132">
        <f>Perhitungan!U$4+Perhitungan!U$3*Return!$B132</f>
        <v>-9.7324460262032068E-3</v>
      </c>
      <c r="W132">
        <f>Perhitungan!V$4+Perhitungan!V$3*Return!$B132</f>
        <v>-1.7815828297714241E-2</v>
      </c>
      <c r="X132">
        <f>Perhitungan!W$4+Perhitungan!W$3*Return!$B132</f>
        <v>-1.572430638676231E-2</v>
      </c>
      <c r="Y132">
        <f>Perhitungan!X$4+Perhitungan!X$3*Return!$B132</f>
        <v>-1.0012170185973071E-2</v>
      </c>
      <c r="Z132">
        <f>Perhitungan!Y$4+Perhitungan!Y$3*Return!$B132</f>
        <v>-9.2428033189395284E-3</v>
      </c>
      <c r="AA132">
        <f>Perhitungan!Z$4+Perhitungan!Z$3*Return!$B132</f>
        <v>-9.9021137363596128E-3</v>
      </c>
      <c r="AB132">
        <f>Perhitungan!AA$4+Perhitungan!AA$3*Return!$B132</f>
        <v>-1.2004638519146097E-2</v>
      </c>
      <c r="AC132">
        <f>Perhitungan!AB$4+Perhitungan!AB$3*Return!$B132</f>
        <v>-7.9782940050555726E-3</v>
      </c>
      <c r="AD132">
        <f>Perhitungan!AC$4+Perhitungan!AC$3*Return!$B132</f>
        <v>-1.055778238316598E-2</v>
      </c>
      <c r="AE132">
        <f>Perhitungan!AD$4+Perhitungan!AD$3*Return!$B132</f>
        <v>-8.0976549179403393E-3</v>
      </c>
      <c r="AF132">
        <f>Perhitungan!AE$4+Perhitungan!AE$3*Return!$B132</f>
        <v>16.977080856463338</v>
      </c>
    </row>
    <row r="133" spans="1:32" x14ac:dyDescent="0.3">
      <c r="A133" s="4" t="s">
        <v>81</v>
      </c>
      <c r="C133">
        <f>Perhitungan!B$4+Perhitungan!B$3*Return!$B133</f>
        <v>4.6275253129176037E-3</v>
      </c>
      <c r="D133">
        <f>Perhitungan!C$4+Perhitungan!C$3*Return!$B133</f>
        <v>8.3573357900987646E-3</v>
      </c>
      <c r="E133">
        <f>Perhitungan!D$4+Perhitungan!D$3*Return!$B133</f>
        <v>7.2165444519530324E-3</v>
      </c>
      <c r="F133">
        <f>Perhitungan!E$4+Perhitungan!E$3*Return!$B133</f>
        <v>6.0693665390631462E-3</v>
      </c>
      <c r="G133">
        <f>Perhitungan!F$4+Perhitungan!F$3*Return!$B133</f>
        <v>8.1898912619738726E-3</v>
      </c>
      <c r="H133">
        <f>Perhitungan!G$4+Perhitungan!G$3*Return!$B133</f>
        <v>5.3608548828512209E-3</v>
      </c>
      <c r="I133">
        <f>Perhitungan!H$4+Perhitungan!H$3*Return!$B133</f>
        <v>1.2267093917122255E-3</v>
      </c>
      <c r="J133">
        <f>Perhitungan!I$4+Perhitungan!I$3*Return!$B133</f>
        <v>2.0358777238448861E-3</v>
      </c>
      <c r="K133">
        <f>Perhitungan!J$4+Perhitungan!J$3*Return!$B133</f>
        <v>8.1885366926327773E-3</v>
      </c>
      <c r="L133">
        <f>Perhitungan!K$4+Perhitungan!K$3*Return!$B133</f>
        <v>2.165722207298563E-3</v>
      </c>
      <c r="M133">
        <f>Perhitungan!L$4+Perhitungan!L$3*Return!$B133</f>
        <v>1.2193654056593704E-2</v>
      </c>
      <c r="N133">
        <f>Perhitungan!M$4+Perhitungan!M$3*Return!$B133</f>
        <v>8.0495574911378116E-3</v>
      </c>
      <c r="O133">
        <f>Perhitungan!N$4+Perhitungan!N$3*Return!$B133</f>
        <v>3.4172353585889209E-3</v>
      </c>
      <c r="P133">
        <f>Perhitungan!O$4+Perhitungan!O$3*Return!$B133</f>
        <v>4.5360418094293562E-3</v>
      </c>
      <c r="Q133">
        <f>Perhitungan!P$4+Perhitungan!P$3*Return!$B133</f>
        <v>9.7644311099676848E-3</v>
      </c>
      <c r="R133">
        <f>Perhitungan!Q$4+Perhitungan!Q$3*Return!$B133</f>
        <v>3.4309415511216382E-3</v>
      </c>
      <c r="S133">
        <f>Perhitungan!R$4+Perhitungan!R$3*Return!$B133</f>
        <v>3.8740212315689828E-3</v>
      </c>
      <c r="T133">
        <f>Perhitungan!S$4+Perhitungan!S$3*Return!$B133</f>
        <v>5.2870005852788142E-3</v>
      </c>
      <c r="U133">
        <f>Perhitungan!T$4+Perhitungan!T$3*Return!$B133</f>
        <v>8.2365014897532295E-3</v>
      </c>
      <c r="V133">
        <f>Perhitungan!U$4+Perhitungan!U$3*Return!$B133</f>
        <v>6.6660503289111533E-3</v>
      </c>
      <c r="W133">
        <f>Perhitungan!V$4+Perhitungan!V$3*Return!$B133</f>
        <v>1.6085436106930657E-2</v>
      </c>
      <c r="X133">
        <f>Perhitungan!W$4+Perhitungan!W$3*Return!$B133</f>
        <v>3.2445418955653806E-3</v>
      </c>
      <c r="Y133">
        <f>Perhitungan!X$4+Perhitungan!X$3*Return!$B133</f>
        <v>4.2099898123544258E-3</v>
      </c>
      <c r="Z133">
        <f>Perhitungan!Y$4+Perhitungan!Y$3*Return!$B133</f>
        <v>4.6270654984780363E-3</v>
      </c>
      <c r="AA133">
        <f>Perhitungan!Z$4+Perhitungan!Z$3*Return!$B133</f>
        <v>1.0867447159886232E-2</v>
      </c>
      <c r="AB133">
        <f>Perhitungan!AA$4+Perhitungan!AA$3*Return!$B133</f>
        <v>6.8063441529657457E-3</v>
      </c>
      <c r="AC133">
        <f>Perhitungan!AB$4+Perhitungan!AB$3*Return!$B133</f>
        <v>7.4280829134133778E-3</v>
      </c>
      <c r="AD133">
        <f>Perhitungan!AC$4+Perhitungan!AC$3*Return!$B133</f>
        <v>6.583955649104239E-3</v>
      </c>
      <c r="AE133">
        <f>Perhitungan!AD$4+Perhitungan!AD$3*Return!$B133</f>
        <v>5.5323126922514222E-3</v>
      </c>
      <c r="AF133">
        <f>Perhitungan!AE$4+Perhitungan!AE$3*Return!$B133</f>
        <v>16.474802162275452</v>
      </c>
    </row>
    <row r="134" spans="1:32" x14ac:dyDescent="0.3">
      <c r="A134" s="3" t="s">
        <v>82</v>
      </c>
      <c r="C134">
        <f>Perhitungan!B$4+Perhitungan!B$3*Return!$B134</f>
        <v>8.9773683676368926E-4</v>
      </c>
      <c r="D134">
        <f>Perhitungan!C$4+Perhitungan!C$3*Return!$B134</f>
        <v>4.0874047093522161E-3</v>
      </c>
      <c r="E134">
        <f>Perhitungan!D$4+Perhitungan!D$3*Return!$B134</f>
        <v>2.9671354475456048E-3</v>
      </c>
      <c r="F134">
        <f>Perhitungan!E$4+Perhitungan!E$3*Return!$B134</f>
        <v>2.3915469969630972E-3</v>
      </c>
      <c r="G134">
        <f>Perhitungan!F$4+Perhitungan!F$3*Return!$B134</f>
        <v>4.2783039922883286E-3</v>
      </c>
      <c r="H134">
        <f>Perhitungan!G$4+Perhitungan!G$3*Return!$B134</f>
        <v>2.4395821286467417E-3</v>
      </c>
      <c r="I134">
        <f>Perhitungan!H$4+Perhitungan!H$3*Return!$B134</f>
        <v>-6.1353784884569766E-4</v>
      </c>
      <c r="J134">
        <f>Perhitungan!I$4+Perhitungan!I$3*Return!$B134</f>
        <v>7.8855793534616386E-4</v>
      </c>
      <c r="K134">
        <f>Perhitungan!J$4+Perhitungan!J$3*Return!$B134</f>
        <v>4.1010695106707788E-3</v>
      </c>
      <c r="L134">
        <f>Perhitungan!K$4+Perhitungan!K$3*Return!$B134</f>
        <v>5.8835003496984458E-4</v>
      </c>
      <c r="M134">
        <f>Perhitungan!L$4+Perhitungan!L$3*Return!$B134</f>
        <v>7.9807306081213242E-3</v>
      </c>
      <c r="N134">
        <f>Perhitungan!M$4+Perhitungan!M$3*Return!$B134</f>
        <v>1.9404254820793825E-3</v>
      </c>
      <c r="O134">
        <f>Perhitungan!N$4+Perhitungan!N$3*Return!$B134</f>
        <v>1.1888989116683451E-3</v>
      </c>
      <c r="P134">
        <f>Perhitungan!O$4+Perhitungan!O$3*Return!$B134</f>
        <v>7.170714459020977E-4</v>
      </c>
      <c r="Q134">
        <f>Perhitungan!P$4+Perhitungan!P$3*Return!$B134</f>
        <v>5.1468016045806246E-3</v>
      </c>
      <c r="R134">
        <f>Perhitungan!Q$4+Perhitungan!Q$3*Return!$B134</f>
        <v>8.8859227697741269E-4</v>
      </c>
      <c r="S134">
        <f>Perhitungan!R$4+Perhitungan!R$3*Return!$B134</f>
        <v>1.5118460602643038E-3</v>
      </c>
      <c r="T134">
        <f>Perhitungan!S$4+Perhitungan!S$3*Return!$B134</f>
        <v>2.8054310302611189E-3</v>
      </c>
      <c r="U134">
        <f>Perhitungan!T$4+Perhitungan!T$3*Return!$B134</f>
        <v>3.478883821693088E-3</v>
      </c>
      <c r="V134">
        <f>Perhitungan!U$4+Perhitungan!U$3*Return!$B134</f>
        <v>2.6802816601841609E-3</v>
      </c>
      <c r="W134">
        <f>Perhitungan!V$4+Perhitungan!V$3*Return!$B134</f>
        <v>7.8454978486816769E-3</v>
      </c>
      <c r="X134">
        <f>Perhitungan!W$4+Perhitungan!W$3*Return!$B134</f>
        <v>-1.3659686981060764E-3</v>
      </c>
      <c r="Y134">
        <f>Perhitungan!X$4+Perhitungan!X$3*Return!$B134</f>
        <v>7.5319484192551932E-4</v>
      </c>
      <c r="Z134">
        <f>Perhitungan!Y$4+Perhitungan!Y$3*Return!$B134</f>
        <v>1.2558973514317328E-3</v>
      </c>
      <c r="AA134">
        <f>Perhitungan!Z$4+Perhitungan!Z$3*Return!$B134</f>
        <v>5.8192608328724287E-3</v>
      </c>
      <c r="AB134">
        <f>Perhitungan!AA$4+Perhitungan!AA$3*Return!$B134</f>
        <v>2.2342038945641777E-3</v>
      </c>
      <c r="AC134">
        <f>Perhitungan!AB$4+Perhitungan!AB$3*Return!$B134</f>
        <v>3.6834557786772784E-3</v>
      </c>
      <c r="AD134">
        <f>Perhitungan!AC$4+Perhitungan!AC$3*Return!$B134</f>
        <v>2.4175369179600284E-3</v>
      </c>
      <c r="AE134">
        <f>Perhitungan!AD$4+Perhitungan!AD$3*Return!$B134</f>
        <v>2.2194542032764318E-3</v>
      </c>
      <c r="AF134">
        <f>Perhitungan!AE$4+Perhitungan!AE$3*Return!$B134</f>
        <v>16.596884494637518</v>
      </c>
    </row>
    <row r="135" spans="1:32" x14ac:dyDescent="0.3">
      <c r="A135" s="4" t="s">
        <v>83</v>
      </c>
      <c r="C135">
        <f>Perhitungan!B$4+Perhitungan!B$3*Return!$B135</f>
        <v>-8.2153639208010325E-3</v>
      </c>
      <c r="D135">
        <f>Perhitungan!C$4+Perhitungan!C$3*Return!$B135</f>
        <v>-6.3454421975120967E-3</v>
      </c>
      <c r="E135">
        <f>Perhitungan!D$4+Perhitungan!D$3*Return!$B135</f>
        <v>-7.4155692728036932E-3</v>
      </c>
      <c r="F135">
        <f>Perhitungan!E$4+Perhitungan!E$3*Return!$B135</f>
        <v>-6.5945765512172251E-3</v>
      </c>
      <c r="G135">
        <f>Perhitungan!F$4+Perhitungan!F$3*Return!$B135</f>
        <v>-5.2789910496573271E-3</v>
      </c>
      <c r="H135">
        <f>Perhitungan!G$4+Perhitungan!G$3*Return!$B135</f>
        <v>-4.6980486296653093E-3</v>
      </c>
      <c r="I135">
        <f>Perhitungan!H$4+Perhitungan!H$3*Return!$B135</f>
        <v>-5.1098675011181137E-3</v>
      </c>
      <c r="J135">
        <f>Perhitungan!I$4+Perhitungan!I$3*Return!$B135</f>
        <v>-2.2590548132498519E-3</v>
      </c>
      <c r="K135">
        <f>Perhitungan!J$4+Perhitungan!J$3*Return!$B135</f>
        <v>-5.8859580407869885E-3</v>
      </c>
      <c r="L135">
        <f>Perhitungan!K$4+Perhitungan!K$3*Return!$B135</f>
        <v>-3.2656893108306225E-3</v>
      </c>
      <c r="M135">
        <f>Perhitungan!L$4+Perhitungan!L$3*Return!$B135</f>
        <v>-2.3128278913209042E-3</v>
      </c>
      <c r="N135">
        <f>Perhitungan!M$4+Perhitungan!M$3*Return!$B135</f>
        <v>-1.2986194591888541E-2</v>
      </c>
      <c r="O135">
        <f>Perhitungan!N$4+Perhitungan!N$3*Return!$B135</f>
        <v>-4.2556603957487928E-3</v>
      </c>
      <c r="P135">
        <f>Perhitungan!O$4+Perhitungan!O$3*Return!$B135</f>
        <v>-8.6139300131579354E-3</v>
      </c>
      <c r="Q135">
        <f>Perhitungan!P$4+Perhitungan!P$3*Return!$B135</f>
        <v>-6.1355869846749962E-3</v>
      </c>
      <c r="R135">
        <f>Perhitungan!Q$4+Perhitungan!Q$3*Return!$B135</f>
        <v>-5.3232037120779646E-3</v>
      </c>
      <c r="S135">
        <f>Perhitungan!R$4+Perhitungan!R$3*Return!$B135</f>
        <v>-4.2597252984726934E-3</v>
      </c>
      <c r="T135">
        <f>Perhitungan!S$4+Perhitungan!S$3*Return!$B135</f>
        <v>-3.2578601017607262E-3</v>
      </c>
      <c r="U135">
        <f>Perhitungan!T$4+Perhitungan!T$3*Return!$B135</f>
        <v>-8.1455419204633974E-3</v>
      </c>
      <c r="V135">
        <f>Perhitungan!U$4+Perhitungan!U$3*Return!$B135</f>
        <v>-7.0582629534527395E-3</v>
      </c>
      <c r="W135">
        <f>Perhitungan!V$4+Perhitungan!V$3*Return!$B135</f>
        <v>-1.2287383161495094E-2</v>
      </c>
      <c r="X135">
        <f>Perhitungan!W$4+Perhitungan!W$3*Return!$B135</f>
        <v>-1.2630963443136137E-2</v>
      </c>
      <c r="Y135">
        <f>Perhitungan!X$4+Perhitungan!X$3*Return!$B135</f>
        <v>-7.6928929362870286E-3</v>
      </c>
      <c r="Z135">
        <f>Perhitungan!Y$4+Perhitungan!Y$3*Return!$B135</f>
        <v>-6.9809759166216435E-3</v>
      </c>
      <c r="AA135">
        <f>Perhitungan!Z$4+Perhitungan!Z$3*Return!$B135</f>
        <v>-6.5151197721307905E-3</v>
      </c>
      <c r="AB135">
        <f>Perhitungan!AA$4+Perhitungan!AA$3*Return!$B135</f>
        <v>-8.9370394933442551E-3</v>
      </c>
      <c r="AC135">
        <f>Perhitungan!AB$4+Perhitungan!AB$3*Return!$B135</f>
        <v>-5.4659007053531944E-3</v>
      </c>
      <c r="AD135">
        <f>Perhitungan!AC$4+Perhitungan!AC$3*Return!$B135</f>
        <v>-7.7623952518865117E-3</v>
      </c>
      <c r="AE135">
        <f>Perhitungan!AD$4+Perhitungan!AD$3*Return!$B135</f>
        <v>-5.8749493798228606E-3</v>
      </c>
      <c r="AF135">
        <f>Perhitungan!AE$4+Perhitungan!AE$3*Return!$B135</f>
        <v>16.895171811102511</v>
      </c>
    </row>
    <row r="136" spans="1:32" x14ac:dyDescent="0.3">
      <c r="A136" s="1">
        <v>45667</v>
      </c>
      <c r="C136">
        <f>Perhitungan!B$4+Perhitungan!B$3*Return!$B136</f>
        <v>-3.4762278443176459E-3</v>
      </c>
      <c r="D136">
        <f>Perhitungan!C$4+Perhitungan!C$3*Return!$B136</f>
        <v>-9.1999124815144665E-4</v>
      </c>
      <c r="E136">
        <f>Perhitungan!D$4+Perhitungan!D$3*Return!$B136</f>
        <v>-2.0161940413999423E-3</v>
      </c>
      <c r="F136">
        <f>Perhitungan!E$4+Perhitungan!E$3*Return!$B136</f>
        <v>-1.9214731336381387E-3</v>
      </c>
      <c r="G136">
        <f>Perhitungan!F$4+Perhitungan!F$3*Return!$B136</f>
        <v>-3.0885816823573368E-4</v>
      </c>
      <c r="H136">
        <f>Perhitungan!G$4+Perhitungan!G$3*Return!$B136</f>
        <v>-9.8622711828179744E-4</v>
      </c>
      <c r="I136">
        <f>Perhitungan!H$4+Perhitungan!H$3*Return!$B136</f>
        <v>-2.771616379604068E-3</v>
      </c>
      <c r="J136">
        <f>Perhitungan!I$4+Perhitungan!I$3*Return!$B136</f>
        <v>-6.7418793772090562E-4</v>
      </c>
      <c r="K136">
        <f>Perhitungan!J$4+Perhitungan!J$3*Return!$B136</f>
        <v>-6.9234899101774917E-4</v>
      </c>
      <c r="L136">
        <f>Perhitungan!K$4+Perhitungan!K$3*Return!$B136</f>
        <v>-1.2614519617913367E-3</v>
      </c>
      <c r="M136">
        <f>Perhitungan!L$4+Perhitungan!L$3*Return!$B136</f>
        <v>3.0401881388820743E-3</v>
      </c>
      <c r="N136">
        <f>Perhitungan!M$4+Perhitungan!M$3*Return!$B136</f>
        <v>-5.223821984103828E-3</v>
      </c>
      <c r="O136">
        <f>Perhitungan!N$4+Perhitungan!N$3*Return!$B136</f>
        <v>-1.4242961739809735E-3</v>
      </c>
      <c r="P136">
        <f>Perhitungan!O$4+Perhitungan!O$3*Return!$B136</f>
        <v>-3.7614778324176891E-3</v>
      </c>
      <c r="Q136">
        <f>Perhitungan!P$4+Perhitungan!P$3*Return!$B136</f>
        <v>-2.6834418612898441E-4</v>
      </c>
      <c r="R136">
        <f>Perhitungan!Q$4+Perhitungan!Q$3*Return!$B136</f>
        <v>-2.0928491648564379E-3</v>
      </c>
      <c r="S136">
        <f>Perhitungan!R$4+Perhitungan!R$3*Return!$B136</f>
        <v>-1.2583031950811755E-3</v>
      </c>
      <c r="T136">
        <f>Perhitungan!S$4+Perhitungan!S$3*Return!$B136</f>
        <v>-1.047333548481568E-4</v>
      </c>
      <c r="U136">
        <f>Perhitungan!T$4+Perhitungan!T$3*Return!$B136</f>
        <v>-2.100427653804339E-3</v>
      </c>
      <c r="V136">
        <f>Perhitungan!U$4+Perhitungan!U$3*Return!$B136</f>
        <v>-1.9938738570610525E-3</v>
      </c>
      <c r="W136">
        <f>Perhitungan!V$4+Perhitungan!V$3*Return!$B136</f>
        <v>-1.8175699489422969E-3</v>
      </c>
      <c r="X136">
        <f>Perhitungan!W$4+Perhitungan!W$3*Return!$B136</f>
        <v>-6.7727660613885361E-3</v>
      </c>
      <c r="Y136">
        <f>Perhitungan!X$4+Perhitungan!X$3*Return!$B136</f>
        <v>-3.3006273002853378E-3</v>
      </c>
      <c r="Z136">
        <f>Perhitungan!Y$4+Perhitungan!Y$3*Return!$B136</f>
        <v>-2.6975092568625996E-3</v>
      </c>
      <c r="AA136">
        <f>Perhitungan!Z$4+Perhitungan!Z$3*Return!$B136</f>
        <v>-1.0080376034685102E-4</v>
      </c>
      <c r="AB136">
        <f>Perhitungan!AA$4+Perhitungan!AA$3*Return!$B136</f>
        <v>-3.1275961471959619E-3</v>
      </c>
      <c r="AC136">
        <f>Perhitungan!AB$4+Perhitungan!AB$3*Return!$B136</f>
        <v>-7.0791036336305012E-4</v>
      </c>
      <c r="AD136">
        <f>Perhitungan!AC$4+Perhitungan!AC$3*Return!$B136</f>
        <v>-2.4684689488961202E-3</v>
      </c>
      <c r="AE136">
        <f>Perhitungan!AD$4+Perhitungan!AD$3*Return!$B136</f>
        <v>-1.6655720165319433E-3</v>
      </c>
      <c r="AF136">
        <f>Perhitungan!AE$4+Perhitungan!AE$3*Return!$B136</f>
        <v>16.740051811859306</v>
      </c>
    </row>
    <row r="137" spans="1:32" x14ac:dyDescent="0.3">
      <c r="A137" s="2">
        <v>45698</v>
      </c>
      <c r="C137">
        <f>Perhitungan!B$4+Perhitungan!B$3*Return!$B137</f>
        <v>1.2719167751371243E-3</v>
      </c>
      <c r="D137">
        <f>Perhitungan!C$4+Perhitungan!C$3*Return!$B137</f>
        <v>4.5157728484216198E-3</v>
      </c>
      <c r="E137">
        <f>Perhitungan!D$4+Perhitungan!D$3*Return!$B137</f>
        <v>3.3934447703285187E-3</v>
      </c>
      <c r="F137">
        <f>Perhitungan!E$4+Perhitungan!E$3*Return!$B137</f>
        <v>2.7605133065567947E-3</v>
      </c>
      <c r="G137">
        <f>Perhitungan!F$4+Perhitungan!F$3*Return!$B137</f>
        <v>4.6707223540455407E-3</v>
      </c>
      <c r="H137">
        <f>Perhitungan!G$4+Perhitungan!G$3*Return!$B137</f>
        <v>2.7326501313307411E-3</v>
      </c>
      <c r="I137">
        <f>Perhitungan!H$4+Perhitungan!H$3*Return!$B137</f>
        <v>-4.2892051639742391E-4</v>
      </c>
      <c r="J137">
        <f>Perhitungan!I$4+Perhitungan!I$3*Return!$B137</f>
        <v>9.1369158423171477E-4</v>
      </c>
      <c r="K137">
        <f>Perhitungan!J$4+Perhitungan!J$3*Return!$B137</f>
        <v>4.5111325016495901E-3</v>
      </c>
      <c r="L137">
        <f>Perhitungan!K$4+Perhitungan!K$3*Return!$B137</f>
        <v>7.465952078549718E-4</v>
      </c>
      <c r="M137">
        <f>Perhitungan!L$4+Perhitungan!L$3*Return!$B137</f>
        <v>8.4033796259945677E-3</v>
      </c>
      <c r="N137">
        <f>Perhitungan!M$4+Perhitungan!M$3*Return!$B137</f>
        <v>2.5533059854321765E-3</v>
      </c>
      <c r="O137">
        <f>Perhitungan!N$4+Perhitungan!N$3*Return!$B137</f>
        <v>1.4124501397647484E-3</v>
      </c>
      <c r="P137">
        <f>Perhitungan!O$4+Perhitungan!O$3*Return!$B137</f>
        <v>1.1001982919446225E-3</v>
      </c>
      <c r="Q137">
        <f>Perhitungan!P$4+Perhitungan!P$3*Return!$B137</f>
        <v>5.6100515542235555E-3</v>
      </c>
      <c r="R137">
        <f>Perhitungan!Q$4+Perhitungan!Q$3*Return!$B137</f>
        <v>1.143645908250356E-3</v>
      </c>
      <c r="S137">
        <f>Perhitungan!R$4+Perhitungan!R$3*Return!$B137</f>
        <v>1.7488242604161476E-3</v>
      </c>
      <c r="T137">
        <f>Perhitungan!S$4+Perhitungan!S$3*Return!$B137</f>
        <v>3.0543871169407101E-3</v>
      </c>
      <c r="U137">
        <f>Perhitungan!T$4+Perhitungan!T$3*Return!$B137</f>
        <v>3.9561776675024951E-3</v>
      </c>
      <c r="V137">
        <f>Perhitungan!U$4+Perhitungan!U$3*Return!$B137</f>
        <v>3.0801420502224001E-3</v>
      </c>
      <c r="W137">
        <f>Perhitungan!V$4+Perhitungan!V$3*Return!$B137</f>
        <v>8.6721451530488852E-3</v>
      </c>
      <c r="X137">
        <f>Perhitungan!W$4+Perhitungan!W$3*Return!$B137</f>
        <v>-9.0343293211298491E-4</v>
      </c>
      <c r="Y137">
        <f>Perhitungan!X$4+Perhitungan!X$3*Return!$B137</f>
        <v>1.0999875185811357E-3</v>
      </c>
      <c r="Z137">
        <f>Perhitungan!Y$4+Perhitungan!Y$3*Return!$B137</f>
        <v>1.5940997716421758E-3</v>
      </c>
      <c r="AA137">
        <f>Perhitungan!Z$4+Perhitungan!Z$3*Return!$B137</f>
        <v>6.3257051153877393E-3</v>
      </c>
      <c r="AB137">
        <f>Perhitungan!AA$4+Perhitungan!AA$3*Return!$B137</f>
        <v>2.6928902707652079E-3</v>
      </c>
      <c r="AC137">
        <f>Perhitungan!AB$4+Perhitungan!AB$3*Return!$B137</f>
        <v>4.0591243613503358E-3</v>
      </c>
      <c r="AD137">
        <f>Perhitungan!AC$4+Perhitungan!AC$3*Return!$B137</f>
        <v>2.8355204883487349E-3</v>
      </c>
      <c r="AE137">
        <f>Perhitungan!AD$4+Perhitungan!AD$3*Return!$B137</f>
        <v>2.5518068804241795E-3</v>
      </c>
      <c r="AF137">
        <f>Perhitungan!AE$4+Perhitungan!AE$3*Return!$B137</f>
        <v>16.58463694765415</v>
      </c>
    </row>
    <row r="138" spans="1:32" x14ac:dyDescent="0.3">
      <c r="A138" s="1">
        <v>45726</v>
      </c>
      <c r="C138">
        <f>Perhitungan!B$4+Perhitungan!B$3*Return!$B138</f>
        <v>3.3863812724619891E-3</v>
      </c>
      <c r="D138">
        <f>Perhitungan!C$4+Perhitungan!C$3*Return!$B138</f>
        <v>6.9364510541660655E-3</v>
      </c>
      <c r="E138">
        <f>Perhitungan!D$4+Perhitungan!D$3*Return!$B138</f>
        <v>5.8024887501355168E-3</v>
      </c>
      <c r="F138">
        <f>Perhitungan!E$4+Perhitungan!E$3*Return!$B138</f>
        <v>4.8455159545775324E-3</v>
      </c>
      <c r="G138">
        <f>Perhitungan!F$4+Perhitungan!F$3*Return!$B138</f>
        <v>6.888250898309474E-3</v>
      </c>
      <c r="H138">
        <f>Perhitungan!G$4+Perhitungan!G$3*Return!$B138</f>
        <v>4.3887567886544626E-3</v>
      </c>
      <c r="I138">
        <f>Perhitungan!H$4+Perhitungan!H$3*Return!$B138</f>
        <v>6.1433903607785315E-4</v>
      </c>
      <c r="J138">
        <f>Perhitungan!I$4+Perhitungan!I$3*Return!$B138</f>
        <v>1.6208130272983622E-3</v>
      </c>
      <c r="K138">
        <f>Perhitungan!J$4+Perhitungan!J$3*Return!$B138</f>
        <v>6.8283696038327823E-3</v>
      </c>
      <c r="L138">
        <f>Perhitungan!K$4+Perhitungan!K$3*Return!$B138</f>
        <v>1.6408275426860791E-3</v>
      </c>
      <c r="M138">
        <f>Perhitungan!L$4+Perhitungan!L$3*Return!$B138</f>
        <v>1.0791739480365752E-2</v>
      </c>
      <c r="N138">
        <f>Perhitungan!M$4+Perhitungan!M$3*Return!$B138</f>
        <v>6.016650575939704E-3</v>
      </c>
      <c r="O138">
        <f>Perhitungan!N$4+Perhitungan!N$3*Return!$B138</f>
        <v>2.6757223964175552E-3</v>
      </c>
      <c r="P138">
        <f>Perhitungan!O$4+Perhitungan!O$3*Return!$B138</f>
        <v>3.2652211348327756E-3</v>
      </c>
      <c r="Q138">
        <f>Perhitungan!P$4+Perhitungan!P$3*Return!$B138</f>
        <v>8.2278444165707985E-3</v>
      </c>
      <c r="R138">
        <f>Perhitungan!Q$4+Perhitungan!Q$3*Return!$B138</f>
        <v>2.5849360281450175E-3</v>
      </c>
      <c r="S138">
        <f>Perhitungan!R$4+Perhitungan!R$3*Return!$B138</f>
        <v>3.0879713911768974E-3</v>
      </c>
      <c r="T138">
        <f>Perhitungan!S$4+Perhitungan!S$3*Return!$B138</f>
        <v>4.4612204414776497E-3</v>
      </c>
      <c r="U138">
        <f>Perhitungan!T$4+Perhitungan!T$3*Return!$B138</f>
        <v>6.6533315986906164E-3</v>
      </c>
      <c r="V138">
        <f>Perhitungan!U$4+Perhitungan!U$3*Return!$B138</f>
        <v>5.3397249725396362E-3</v>
      </c>
      <c r="W138">
        <f>Perhitungan!V$4+Perhitungan!V$3*Return!$B138</f>
        <v>1.334347089138745E-2</v>
      </c>
      <c r="X138">
        <f>Perhitungan!W$4+Perhitungan!W$3*Return!$B138</f>
        <v>1.7103241286925688E-3</v>
      </c>
      <c r="Y138">
        <f>Perhitungan!X$4+Perhitungan!X$3*Return!$B138</f>
        <v>3.0596885274276893E-3</v>
      </c>
      <c r="Z138">
        <f>Perhitungan!Y$4+Perhitungan!Y$3*Return!$B138</f>
        <v>3.5052578458910221E-3</v>
      </c>
      <c r="AA138">
        <f>Perhitungan!Z$4+Perhitungan!Z$3*Return!$B138</f>
        <v>9.1875861128212812E-3</v>
      </c>
      <c r="AB138">
        <f>Perhitungan!AA$4+Perhitungan!AA$3*Return!$B138</f>
        <v>5.2848947007721652E-3</v>
      </c>
      <c r="AC138">
        <f>Perhitungan!AB$4+Perhitungan!AB$3*Return!$B138</f>
        <v>6.1820010828430201E-3</v>
      </c>
      <c r="AD138">
        <f>Perhitungan!AC$4+Perhitungan!AC$3*Return!$B138</f>
        <v>5.1975162273344968E-3</v>
      </c>
      <c r="AE138">
        <f>Perhitungan!AD$4+Perhitungan!AD$3*Return!$B138</f>
        <v>4.4299084683250174E-3</v>
      </c>
      <c r="AF138">
        <f>Perhitungan!AE$4+Perhitungan!AE$3*Return!$B138</f>
        <v>16.515426921621685</v>
      </c>
    </row>
    <row r="139" spans="1:32" x14ac:dyDescent="0.3">
      <c r="A139" s="2">
        <v>45818</v>
      </c>
      <c r="C139">
        <f>Perhitungan!B$4+Perhitungan!B$3*Return!$B139</f>
        <v>6.4527479283164489E-4</v>
      </c>
      <c r="D139">
        <f>Perhitungan!C$4+Perhitungan!C$3*Return!$B139</f>
        <v>3.7983814751966307E-3</v>
      </c>
      <c r="E139">
        <f>Perhitungan!D$4+Perhitungan!D$3*Return!$B139</f>
        <v>2.6795013123621005E-3</v>
      </c>
      <c r="F139">
        <f>Perhitungan!E$4+Perhitungan!E$3*Return!$B139</f>
        <v>2.1426026279330185E-3</v>
      </c>
      <c r="G139">
        <f>Perhitungan!F$4+Perhitungan!F$3*Return!$B139</f>
        <v>4.0135363456946811E-3</v>
      </c>
      <c r="H139">
        <f>Perhitungan!G$4+Perhitungan!G$3*Return!$B139</f>
        <v>2.2418469232524767E-3</v>
      </c>
      <c r="I139">
        <f>Perhitungan!H$4+Perhitungan!H$3*Return!$B139</f>
        <v>-7.3810056404037734E-4</v>
      </c>
      <c r="J139">
        <f>Perhitungan!I$4+Perhitungan!I$3*Return!$B139</f>
        <v>7.0412931285066178E-4</v>
      </c>
      <c r="K139">
        <f>Perhitungan!J$4+Perhitungan!J$3*Return!$B139</f>
        <v>3.8243968988428325E-3</v>
      </c>
      <c r="L139">
        <f>Perhitungan!K$4+Perhitungan!K$3*Return!$B139</f>
        <v>4.8158081596086719E-4</v>
      </c>
      <c r="M139">
        <f>Perhitungan!L$4+Perhitungan!L$3*Return!$B139</f>
        <v>7.6955661084370588E-3</v>
      </c>
      <c r="N139">
        <f>Perhitungan!M$4+Perhitungan!M$3*Return!$B139</f>
        <v>1.5269103555465282E-3</v>
      </c>
      <c r="O139">
        <f>Perhitungan!N$4+Perhitungan!N$3*Return!$B139</f>
        <v>1.0380672016251122E-3</v>
      </c>
      <c r="P139">
        <f>Perhitungan!O$4+Perhitungan!O$3*Return!$B139</f>
        <v>4.5857285547098504E-4</v>
      </c>
      <c r="Q139">
        <f>Perhitungan!P$4+Perhitungan!P$3*Return!$B139</f>
        <v>4.8342433481260768E-3</v>
      </c>
      <c r="R139">
        <f>Perhitungan!Q$4+Perhitungan!Q$3*Return!$B139</f>
        <v>7.1650565645102276E-4</v>
      </c>
      <c r="S139">
        <f>Perhitungan!R$4+Perhitungan!R$3*Return!$B139</f>
        <v>1.3519550702830003E-3</v>
      </c>
      <c r="T139">
        <f>Perhitungan!S$4+Perhitungan!S$3*Return!$B139</f>
        <v>2.6374584693438473E-3</v>
      </c>
      <c r="U139">
        <f>Perhitungan!T$4+Perhitungan!T$3*Return!$B139</f>
        <v>3.1568500419211477E-3</v>
      </c>
      <c r="V139">
        <f>Perhitungan!U$4+Perhitungan!U$3*Return!$B139</f>
        <v>2.4104928206345379E-3</v>
      </c>
      <c r="W139">
        <f>Perhitungan!V$4+Perhitungan!V$3*Return!$B139</f>
        <v>7.2877526393081626E-3</v>
      </c>
      <c r="X139">
        <f>Perhitungan!W$4+Perhitungan!W$3*Return!$B139</f>
        <v>-1.678045089432405E-3</v>
      </c>
      <c r="Y139">
        <f>Perhitungan!X$4+Perhitungan!X$3*Return!$B139</f>
        <v>5.1921119130616481E-4</v>
      </c>
      <c r="Z139">
        <f>Perhitungan!Y$4+Perhitungan!Y$3*Return!$B139</f>
        <v>1.0277096120241778E-3</v>
      </c>
      <c r="AA139">
        <f>Perhitungan!Z$4+Perhitungan!Z$3*Return!$B139</f>
        <v>5.4775590322432635E-3</v>
      </c>
      <c r="AB139">
        <f>Perhitungan!AA$4+Perhitungan!AA$3*Return!$B139</f>
        <v>1.9247247157421312E-3</v>
      </c>
      <c r="AC139">
        <f>Perhitungan!AB$4+Perhitungan!AB$3*Return!$B139</f>
        <v>3.4299893351395138E-3</v>
      </c>
      <c r="AD139">
        <f>Perhitungan!AC$4+Perhitungan!AC$3*Return!$B139</f>
        <v>2.1355202310979139E-3</v>
      </c>
      <c r="AE139">
        <f>Perhitungan!AD$4+Perhitungan!AD$3*Return!$B139</f>
        <v>1.9952133299047867E-3</v>
      </c>
      <c r="AF139">
        <f>Perhitungan!AE$4+Perhitungan!AE$3*Return!$B139</f>
        <v>16.605148007529245</v>
      </c>
    </row>
    <row r="140" spans="1:32" x14ac:dyDescent="0.3">
      <c r="A140" s="1">
        <v>45848</v>
      </c>
      <c r="C140">
        <f>Perhitungan!B$4+Perhitungan!B$3*Return!$B140</f>
        <v>1.4623341231489863E-3</v>
      </c>
      <c r="D140">
        <f>Perhitungan!C$4+Perhitungan!C$3*Return!$B140</f>
        <v>4.7337661629989654E-3</v>
      </c>
      <c r="E140">
        <f>Perhitungan!D$4+Perhitungan!D$3*Return!$B140</f>
        <v>3.6103903688283513E-3</v>
      </c>
      <c r="F140">
        <f>Perhitungan!E$4+Perhitungan!E$3*Return!$B140</f>
        <v>2.9482774782116569E-3</v>
      </c>
      <c r="G140">
        <f>Perhitungan!F$4+Perhitungan!F$3*Return!$B140</f>
        <v>4.8704210981358595E-3</v>
      </c>
      <c r="H140">
        <f>Perhitungan!G$4+Perhitungan!G$3*Return!$B140</f>
        <v>2.8817902271381394E-3</v>
      </c>
      <c r="I140">
        <f>Perhitungan!H$4+Perhitungan!H$3*Return!$B140</f>
        <v>-3.3497014857535186E-4</v>
      </c>
      <c r="J140">
        <f>Perhitungan!I$4+Perhitungan!I$3*Return!$B140</f>
        <v>9.7737115420388652E-4</v>
      </c>
      <c r="K140">
        <f>Perhitungan!J$4+Perhitungan!J$3*Return!$B140</f>
        <v>4.7198104644485201E-3</v>
      </c>
      <c r="L140">
        <f>Perhitungan!K$4+Perhitungan!K$3*Return!$B140</f>
        <v>8.2712498261374541E-4</v>
      </c>
      <c r="M140">
        <f>Perhitungan!L$4+Perhitungan!L$3*Return!$B140</f>
        <v>8.6184625229373795E-3</v>
      </c>
      <c r="N140">
        <f>Perhitungan!M$4+Perhitungan!M$3*Return!$B140</f>
        <v>2.8651962503243138E-3</v>
      </c>
      <c r="O140">
        <f>Perhitungan!N$4+Perhitungan!N$3*Return!$B140</f>
        <v>1.5262136733843103E-3</v>
      </c>
      <c r="P140">
        <f>Perhitungan!O$4+Perhitungan!O$3*Return!$B140</f>
        <v>1.2951686537782858E-3</v>
      </c>
      <c r="Q140">
        <f>Perhitungan!P$4+Perhitungan!P$3*Return!$B140</f>
        <v>5.8457959590708305E-3</v>
      </c>
      <c r="R140">
        <f>Perhitungan!Q$4+Perhitungan!Q$3*Return!$B140</f>
        <v>1.2734407772080794E-3</v>
      </c>
      <c r="S140">
        <f>Perhitungan!R$4+Perhitungan!R$3*Return!$B140</f>
        <v>1.8694206788283593E-3</v>
      </c>
      <c r="T140">
        <f>Perhitungan!S$4+Perhitungan!S$3*Return!$B140</f>
        <v>3.181078991451705E-3</v>
      </c>
      <c r="U140">
        <f>Perhitungan!T$4+Perhitungan!T$3*Return!$B140</f>
        <v>4.1990689051687579E-3</v>
      </c>
      <c r="V140">
        <f>Perhitungan!U$4+Perhitungan!U$3*Return!$B140</f>
        <v>3.2836279863659927E-3</v>
      </c>
      <c r="W140">
        <f>Perhitungan!V$4+Perhitungan!V$3*Return!$B140</f>
        <v>9.0928197304273872E-3</v>
      </c>
      <c r="X140">
        <f>Perhitungan!W$4+Perhitungan!W$3*Return!$B140</f>
        <v>-6.6805196993766905E-4</v>
      </c>
      <c r="Y140">
        <f>Perhitungan!X$4+Perhitungan!X$3*Return!$B140</f>
        <v>1.276467695700609E-3</v>
      </c>
      <c r="Z140">
        <f>Perhitungan!Y$4+Perhitungan!Y$3*Return!$B140</f>
        <v>1.7662084320573001E-3</v>
      </c>
      <c r="AA140">
        <f>Perhitungan!Z$4+Perhitungan!Z$3*Return!$B140</f>
        <v>6.5834307903973165E-3</v>
      </c>
      <c r="AB140">
        <f>Perhitungan!AA$4+Perhitungan!AA$3*Return!$B140</f>
        <v>2.9263123075132158E-3</v>
      </c>
      <c r="AC140">
        <f>Perhitungan!AB$4+Perhitungan!AB$3*Return!$B140</f>
        <v>4.2502992692166879E-3</v>
      </c>
      <c r="AD140">
        <f>Perhitungan!AC$4+Perhitungan!AC$3*Return!$B140</f>
        <v>3.0482291742604684E-3</v>
      </c>
      <c r="AE140">
        <f>Perhitungan!AD$4+Perhitungan!AD$3*Return!$B140</f>
        <v>2.7209386507222361E-3</v>
      </c>
      <c r="AF140">
        <f>Perhitungan!AE$4+Perhitungan!AE$3*Return!$B140</f>
        <v>16.578404263383682</v>
      </c>
    </row>
    <row r="141" spans="1:32" x14ac:dyDescent="0.3">
      <c r="A141" s="2">
        <v>45879</v>
      </c>
      <c r="C141">
        <f>Perhitungan!B$4+Perhitungan!B$3*Return!$B141</f>
        <v>-1.9808660486257952E-3</v>
      </c>
      <c r="D141">
        <f>Perhitungan!C$4+Perhitungan!C$3*Return!$B141</f>
        <v>7.919266928278194E-4</v>
      </c>
      <c r="E141">
        <f>Perhitungan!D$4+Perhitungan!D$3*Return!$B141</f>
        <v>-3.1250389379877203E-4</v>
      </c>
      <c r="F141">
        <f>Perhitungan!E$4+Perhitungan!E$3*Return!$B141</f>
        <v>-4.469469319870298E-4</v>
      </c>
      <c r="G141">
        <f>Perhitungan!F$4+Perhitungan!F$3*Return!$B141</f>
        <v>1.2593911308864457E-3</v>
      </c>
      <c r="H141">
        <f>Perhitungan!G$4+Perhitungan!G$3*Return!$B141</f>
        <v>1.8498130261435347E-4</v>
      </c>
      <c r="I141">
        <f>Perhitungan!H$4+Perhitungan!H$3*Return!$B141</f>
        <v>-2.0338170551245987E-3</v>
      </c>
      <c r="J141">
        <f>Perhitungan!I$4+Perhitungan!I$3*Return!$B141</f>
        <v>-1.7410747185631558E-4</v>
      </c>
      <c r="K141">
        <f>Perhitungan!J$4+Perhitungan!J$3*Return!$B141</f>
        <v>9.4641478985837903E-4</v>
      </c>
      <c r="L141">
        <f>Perhitungan!K$4+Perhitungan!K$3*Return!$B141</f>
        <v>-6.2904556685279144E-4</v>
      </c>
      <c r="M141">
        <f>Perhitungan!L$4+Perhitungan!L$3*Return!$B141</f>
        <v>4.7292503506663301E-3</v>
      </c>
      <c r="N141">
        <f>Perhitungan!M$4+Perhitungan!M$3*Return!$B141</f>
        <v>-2.774524210358658E-3</v>
      </c>
      <c r="O141">
        <f>Perhitungan!N$4+Perhitungan!N$3*Return!$B141</f>
        <v>-5.3090256413508259E-4</v>
      </c>
      <c r="P141">
        <f>Perhitungan!O$4+Perhitungan!O$3*Return!$B141</f>
        <v>-2.2303608757834924E-3</v>
      </c>
      <c r="Q141">
        <f>Perhitungan!P$4+Perhitungan!P$3*Return!$B141</f>
        <v>1.5829744055718504E-3</v>
      </c>
      <c r="R141">
        <f>Perhitungan!Q$4+Perhitungan!Q$3*Return!$B141</f>
        <v>-1.0735602694763834E-3</v>
      </c>
      <c r="S141">
        <f>Perhitungan!R$4+Perhitungan!R$3*Return!$B141</f>
        <v>-3.1125042560527352E-4</v>
      </c>
      <c r="T141">
        <f>Perhitungan!S$4+Perhitungan!S$3*Return!$B141</f>
        <v>8.9018749110609868E-4</v>
      </c>
      <c r="U141">
        <f>Perhitungan!T$4+Perhitungan!T$3*Return!$B141</f>
        <v>-1.9298444494390626E-4</v>
      </c>
      <c r="V141">
        <f>Perhitungan!U$4+Perhitungan!U$3*Return!$B141</f>
        <v>-3.9588345310497604E-4</v>
      </c>
      <c r="W141">
        <f>Perhitungan!V$4+Perhitungan!V$3*Return!$B141</f>
        <v>1.4860192355443955E-3</v>
      </c>
      <c r="X141">
        <f>Perhitungan!W$4+Perhitungan!W$3*Return!$B141</f>
        <v>-4.9243016124023561E-3</v>
      </c>
      <c r="Y141">
        <f>Perhitungan!X$4+Perhitungan!X$3*Return!$B141</f>
        <v>-1.9147151587878494E-3</v>
      </c>
      <c r="Z141">
        <f>Perhitungan!Y$4+Perhitungan!Y$3*Return!$B141</f>
        <v>-1.3459269657551348E-3</v>
      </c>
      <c r="AA141">
        <f>Perhitungan!Z$4+Perhitungan!Z$3*Return!$B141</f>
        <v>1.9231354038211532E-3</v>
      </c>
      <c r="AB141">
        <f>Perhitungan!AA$4+Perhitungan!AA$3*Return!$B141</f>
        <v>-1.2945152873375075E-3</v>
      </c>
      <c r="AC141">
        <f>Perhitungan!AB$4+Perhitungan!AB$3*Return!$B141</f>
        <v>7.9340060700317612E-4</v>
      </c>
      <c r="AD141">
        <f>Perhitungan!AC$4+Perhitungan!AC$3*Return!$B141</f>
        <v>-7.9805159540787766E-4</v>
      </c>
      <c r="AE141">
        <f>Perhitungan!AD$4+Perhitungan!AD$3*Return!$B141</f>
        <v>-3.3736746803834629E-4</v>
      </c>
      <c r="AF141">
        <f>Perhitungan!AE$4+Perhitungan!AE$3*Return!$B141</f>
        <v>16.69110607219864</v>
      </c>
    </row>
    <row r="142" spans="1:32" x14ac:dyDescent="0.3">
      <c r="A142" s="1">
        <v>45910</v>
      </c>
      <c r="C142">
        <f>Perhitungan!B$4+Perhitungan!B$3*Return!$B142</f>
        <v>7.2925661025438227E-3</v>
      </c>
      <c r="D142">
        <f>Perhitungan!C$4+Perhitungan!C$3*Return!$B142</f>
        <v>1.1408323955201543E-2</v>
      </c>
      <c r="E142">
        <f>Perhitungan!D$4+Perhitungan!D$3*Return!$B142</f>
        <v>1.0252869005196515E-2</v>
      </c>
      <c r="F142">
        <f>Perhitungan!E$4+Perhitungan!E$3*Return!$B142</f>
        <v>8.6972740354925981E-3</v>
      </c>
      <c r="G142">
        <f>Perhitungan!F$4+Perhitungan!F$3*Return!$B142</f>
        <v>1.0984832501280881E-2</v>
      </c>
      <c r="H142">
        <f>Perhitungan!G$4+Perhitungan!G$3*Return!$B142</f>
        <v>7.4481880110844664E-3</v>
      </c>
      <c r="I142">
        <f>Perhitungan!H$4+Perhitungan!H$3*Return!$B142</f>
        <v>2.5416188002321447E-3</v>
      </c>
      <c r="J142">
        <f>Perhitungan!I$4+Perhitungan!I$3*Return!$B142</f>
        <v>2.9271234701679725E-3</v>
      </c>
      <c r="K142">
        <f>Perhitungan!J$4+Perhitungan!J$3*Return!$B142</f>
        <v>1.1109149171284699E-2</v>
      </c>
      <c r="L142">
        <f>Perhitungan!K$4+Perhitungan!K$3*Return!$B142</f>
        <v>3.2927998436186223E-3</v>
      </c>
      <c r="M142">
        <f>Perhitungan!L$4+Perhitungan!L$3*Return!$B142</f>
        <v>1.5203908634174826E-2</v>
      </c>
      <c r="N142">
        <f>Perhitungan!M$4+Perhitungan!M$3*Return!$B142</f>
        <v>1.2414707444665638E-2</v>
      </c>
      <c r="O142">
        <f>Perhitungan!N$4+Perhitungan!N$3*Return!$B142</f>
        <v>5.0094456305713872E-3</v>
      </c>
      <c r="P142">
        <f>Perhitungan!O$4+Perhitungan!O$3*Return!$B142</f>
        <v>7.2648056141984855E-3</v>
      </c>
      <c r="Q142">
        <f>Perhitungan!P$4+Perhitungan!P$3*Return!$B142</f>
        <v>1.306385976709302E-2</v>
      </c>
      <c r="R142">
        <f>Perhitungan!Q$4+Perhitungan!Q$3*Return!$B142</f>
        <v>5.24752299009313E-3</v>
      </c>
      <c r="S142">
        <f>Perhitungan!R$4+Perhitungan!R$3*Return!$B142</f>
        <v>5.5618631089348683E-3</v>
      </c>
      <c r="T142">
        <f>Perhitungan!S$4+Perhitungan!S$3*Return!$B142</f>
        <v>7.0601531725366408E-3</v>
      </c>
      <c r="U142">
        <f>Perhitungan!T$4+Perhitungan!T$3*Return!$B142</f>
        <v>1.163595570220799E-2</v>
      </c>
      <c r="V142">
        <f>Perhitungan!U$4+Perhitungan!U$3*Return!$B142</f>
        <v>9.5139963044226315E-3</v>
      </c>
      <c r="W142">
        <f>Perhitungan!V$4+Perhitungan!V$3*Return!$B142</f>
        <v>2.1973108210223666E-2</v>
      </c>
      <c r="X142">
        <f>Perhitungan!W$4+Perhitungan!W$3*Return!$B142</f>
        <v>6.5388838861890819E-3</v>
      </c>
      <c r="Y142">
        <f>Perhitungan!X$4+Perhitungan!X$3*Return!$B142</f>
        <v>6.6799689161205298E-3</v>
      </c>
      <c r="Z142">
        <f>Perhitungan!Y$4+Perhitungan!Y$3*Return!$B142</f>
        <v>7.0358617822371267E-3</v>
      </c>
      <c r="AA142">
        <f>Perhitungan!Z$4+Perhitungan!Z$3*Return!$B142</f>
        <v>1.4474521009017284E-2</v>
      </c>
      <c r="AB142">
        <f>Perhitungan!AA$4+Perhitungan!AA$3*Return!$B142</f>
        <v>1.0073269439060579E-2</v>
      </c>
      <c r="AC142">
        <f>Perhitungan!AB$4+Perhitungan!AB$3*Return!$B142</f>
        <v>1.010372634998263E-2</v>
      </c>
      <c r="AD142">
        <f>Perhitungan!AC$4+Perhitungan!AC$3*Return!$B142</f>
        <v>9.560981272984102E-3</v>
      </c>
      <c r="AE142">
        <f>Perhitungan!AD$4+Perhitungan!AD$3*Return!$B142</f>
        <v>7.8994450537310783E-3</v>
      </c>
      <c r="AF142">
        <f>Perhitungan!AE$4+Perhitungan!AE$3*Return!$B142</f>
        <v>16.387570836017211</v>
      </c>
    </row>
    <row r="143" spans="1:32" x14ac:dyDescent="0.3">
      <c r="A143" s="2">
        <v>45940</v>
      </c>
      <c r="C143">
        <f>Perhitungan!B$4+Perhitungan!B$3*Return!$B143</f>
        <v>-9.1870865441553637E-4</v>
      </c>
      <c r="D143">
        <f>Perhitungan!C$4+Perhitungan!C$3*Return!$B143</f>
        <v>2.0079041937449494E-3</v>
      </c>
      <c r="E143">
        <f>Perhitungan!D$4+Perhitungan!D$3*Return!$B143</f>
        <v>8.9762939496865896E-4</v>
      </c>
      <c r="F143">
        <f>Perhitungan!E$4+Perhitungan!E$3*Return!$B143</f>
        <v>6.0041091315296644E-4</v>
      </c>
      <c r="G143">
        <f>Perhitungan!F$4+Perhitungan!F$3*Return!$B143</f>
        <v>2.3733206119168244E-3</v>
      </c>
      <c r="H143">
        <f>Perhitungan!G$4+Perhitungan!G$3*Return!$B143</f>
        <v>1.016892140513358E-3</v>
      </c>
      <c r="I143">
        <f>Perhitungan!H$4+Perhitungan!H$3*Return!$B143</f>
        <v>-1.5097572522080533E-3</v>
      </c>
      <c r="J143">
        <f>Perhitungan!I$4+Perhitungan!I$3*Return!$B143</f>
        <v>1.8110032203575344E-4</v>
      </c>
      <c r="K143">
        <f>Perhitungan!J$4+Perhitungan!J$3*Return!$B143</f>
        <v>2.1104307973799667E-3</v>
      </c>
      <c r="L143">
        <f>Perhitungan!K$4+Perhitungan!K$3*Return!$B143</f>
        <v>-1.7984649645722185E-4</v>
      </c>
      <c r="M143">
        <f>Perhitungan!L$4+Perhitungan!L$3*Return!$B143</f>
        <v>5.9289933979318503E-3</v>
      </c>
      <c r="N143">
        <f>Perhitungan!M$4+Perhitungan!M$3*Return!$B143</f>
        <v>-1.0347848720251426E-3</v>
      </c>
      <c r="O143">
        <f>Perhitungan!N$4+Perhitungan!N$3*Return!$B143</f>
        <v>1.0367605849113888E-4</v>
      </c>
      <c r="P143">
        <f>Perhitungan!O$4+Perhitungan!O$3*Return!$B143</f>
        <v>-1.1428065450689679E-3</v>
      </c>
      <c r="Q143">
        <f>Perhitungan!P$4+Perhitungan!P$3*Return!$B143</f>
        <v>2.8979683668186569E-3</v>
      </c>
      <c r="R143">
        <f>Perhitungan!Q$4+Perhitungan!Q$3*Return!$B143</f>
        <v>-3.495580646698665E-4</v>
      </c>
      <c r="S143">
        <f>Perhitungan!R$4+Perhitungan!R$3*Return!$B143</f>
        <v>3.6144236667027743E-4</v>
      </c>
      <c r="T143">
        <f>Perhitungan!S$4+Perhitungan!S$3*Return!$B143</f>
        <v>1.5968810392686769E-3</v>
      </c>
      <c r="U143">
        <f>Perhitungan!T$4+Perhitungan!T$3*Return!$B143</f>
        <v>1.1618749035857861E-3</v>
      </c>
      <c r="V143">
        <f>Perhitungan!U$4+Perhitungan!U$3*Return!$B143</f>
        <v>7.3917117269124894E-4</v>
      </c>
      <c r="W143">
        <f>Perhitungan!V$4+Perhitungan!V$3*Return!$B143</f>
        <v>3.8325628545166331E-3</v>
      </c>
      <c r="X143">
        <f>Perhitungan!W$4+Perhitungan!W$3*Return!$B143</f>
        <v>-3.6113349523727101E-3</v>
      </c>
      <c r="Y143">
        <f>Perhitungan!X$4+Perhitungan!X$3*Return!$B143</f>
        <v>-9.3029999380346952E-4</v>
      </c>
      <c r="Z143">
        <f>Perhitungan!Y$4+Perhitungan!Y$3*Return!$B143</f>
        <v>-3.858963373684853E-4</v>
      </c>
      <c r="AA143">
        <f>Perhitungan!Z$4+Perhitungan!Z$3*Return!$B143</f>
        <v>3.3607419782609978E-3</v>
      </c>
      <c r="AB143">
        <f>Perhitungan!AA$4+Perhitungan!AA$3*Return!$B143</f>
        <v>7.5243896780061896E-6</v>
      </c>
      <c r="AC143">
        <f>Perhitungan!AB$4+Perhitungan!AB$3*Return!$B143</f>
        <v>1.8597837075863283E-3</v>
      </c>
      <c r="AD143">
        <f>Perhitungan!AC$4+Perhitungan!AC$3*Return!$B143</f>
        <v>3.8844798518612006E-4</v>
      </c>
      <c r="AE143">
        <f>Perhitungan!AD$4+Perhitungan!AD$3*Return!$B143</f>
        <v>6.0605791989826522E-4</v>
      </c>
      <c r="AF143">
        <f>Perhitungan!AE$4+Perhitungan!AE$3*Return!$B143</f>
        <v>16.656339850776209</v>
      </c>
    </row>
    <row r="144" spans="1:32" x14ac:dyDescent="0.3">
      <c r="A144" s="3" t="s">
        <v>84</v>
      </c>
      <c r="C144">
        <f>Perhitungan!B$4+Perhitungan!B$3*Return!$B144</f>
        <v>-4.8284009982997745E-3</v>
      </c>
      <c r="D144">
        <f>Perhitungan!C$4+Perhitungan!C$3*Return!$B144</f>
        <v>-2.4679841741988488E-3</v>
      </c>
      <c r="E144">
        <f>Perhitungan!D$4+Perhitungan!D$3*Return!$B144</f>
        <v>-3.5567470279260702E-3</v>
      </c>
      <c r="F144">
        <f>Perhitungan!E$4+Perhitungan!E$3*Return!$B144</f>
        <v>-3.2548058096902245E-3</v>
      </c>
      <c r="G144">
        <f>Perhitungan!F$4+Perhitungan!F$3*Return!$B144</f>
        <v>-1.7269394694523397E-3</v>
      </c>
      <c r="H144">
        <f>Perhitungan!G$4+Perhitungan!G$3*Return!$B144</f>
        <v>-2.0452862630427251E-3</v>
      </c>
      <c r="I144">
        <f>Perhitungan!H$4+Perhitungan!H$3*Return!$B144</f>
        <v>-3.4387675950901635E-3</v>
      </c>
      <c r="J144">
        <f>Perhitungan!I$4+Perhitungan!I$3*Return!$B144</f>
        <v>-1.1263831072919747E-3</v>
      </c>
      <c r="K144">
        <f>Perhitungan!J$4+Perhitungan!J$3*Return!$B144</f>
        <v>-2.1741926469162455E-3</v>
      </c>
      <c r="L144">
        <f>Perhitungan!K$4+Perhitungan!K$3*Return!$B144</f>
        <v>-1.8333021669431177E-3</v>
      </c>
      <c r="M144">
        <f>Perhitungan!L$4+Perhitungan!L$3*Return!$B144</f>
        <v>1.5128623875085311E-3</v>
      </c>
      <c r="N144">
        <f>Perhitungan!M$4+Perhitungan!M$3*Return!$B144</f>
        <v>-7.4385868024293674E-3</v>
      </c>
      <c r="O144">
        <f>Perhitungan!N$4+Perhitungan!N$3*Return!$B144</f>
        <v>-2.2321427156360573E-3</v>
      </c>
      <c r="P144">
        <f>Perhitungan!O$4+Perhitungan!O$3*Return!$B144</f>
        <v>-5.1459824053793849E-3</v>
      </c>
      <c r="Q144">
        <f>Perhitungan!P$4+Perhitungan!P$3*Return!$B144</f>
        <v>-1.9423894281419248E-3</v>
      </c>
      <c r="R144">
        <f>Perhitungan!Q$4+Perhitungan!Q$3*Return!$B144</f>
        <v>-3.014535865998444E-3</v>
      </c>
      <c r="S144">
        <f>Perhitungan!R$4+Perhitungan!R$3*Return!$B144</f>
        <v>-2.1146707537409593E-3</v>
      </c>
      <c r="T144">
        <f>Perhitungan!S$4+Perhitungan!S$3*Return!$B144</f>
        <v>-1.0043853735852736E-3</v>
      </c>
      <c r="U144">
        <f>Perhitungan!T$4+Perhitungan!T$3*Return!$B144</f>
        <v>-3.8252232900157766E-3</v>
      </c>
      <c r="V144">
        <f>Perhitungan!U$4+Perhitungan!U$3*Return!$B144</f>
        <v>-3.4388483981892459E-3</v>
      </c>
      <c r="W144">
        <f>Perhitungan!V$4+Perhitungan!V$3*Return!$B144</f>
        <v>-4.8048233480315018E-3</v>
      </c>
      <c r="X144">
        <f>Perhitungan!W$4+Perhitungan!W$3*Return!$B144</f>
        <v>-8.4442304596434592E-3</v>
      </c>
      <c r="Y144">
        <f>Perhitungan!X$4+Perhitungan!X$3*Return!$B144</f>
        <v>-4.5538311716894183E-3</v>
      </c>
      <c r="Z144">
        <f>Perhitungan!Y$4+Perhitungan!Y$3*Return!$B144</f>
        <v>-3.9196705389673223E-3</v>
      </c>
      <c r="AA144">
        <f>Perhitungan!Z$4+Perhitungan!Z$3*Return!$B144</f>
        <v>-1.9309402604002187E-3</v>
      </c>
      <c r="AB144">
        <f>Perhitungan!AA$4+Perhitungan!AA$3*Return!$B144</f>
        <v>-4.7851500147082036E-3</v>
      </c>
      <c r="AC144">
        <f>Perhitungan!AB$4+Perhitungan!AB$3*Return!$B144</f>
        <v>-2.0654630277126477E-3</v>
      </c>
      <c r="AD144">
        <f>Perhitungan!AC$4+Perhitungan!AC$3*Return!$B144</f>
        <v>-3.9789351837832164E-3</v>
      </c>
      <c r="AE144">
        <f>Perhitungan!AD$4+Perhitungan!AD$3*Return!$B144</f>
        <v>-2.8665940960341607E-3</v>
      </c>
      <c r="AF144">
        <f>Perhitungan!AE$4+Perhitungan!AE$3*Return!$B144</f>
        <v>16.784310743284216</v>
      </c>
    </row>
    <row r="145" spans="1:32" x14ac:dyDescent="0.3">
      <c r="A145" s="4" t="s">
        <v>85</v>
      </c>
      <c r="C145">
        <f>Perhitungan!B$4+Perhitungan!B$3*Return!$B145</f>
        <v>-1.8415427802274228E-2</v>
      </c>
      <c r="D145">
        <f>Perhitungan!C$4+Perhitungan!C$3*Return!$B145</f>
        <v>-1.8022664665102071E-2</v>
      </c>
      <c r="E145">
        <f>Perhitungan!D$4+Perhitungan!D$3*Return!$B145</f>
        <v>-1.9036668855415651E-2</v>
      </c>
      <c r="F145">
        <f>Perhitungan!E$4+Perhitungan!E$3*Return!$B145</f>
        <v>-1.6652518044091021E-2</v>
      </c>
      <c r="G145">
        <f>Perhitungan!F$4+Perhitungan!F$3*Return!$B145</f>
        <v>-1.5976230392809664E-2</v>
      </c>
      <c r="H145">
        <f>Perhitungan!G$4+Perhitungan!G$3*Return!$B145</f>
        <v>-1.2687018754539276E-2</v>
      </c>
      <c r="I145">
        <f>Perhitungan!H$4+Perhitungan!H$3*Return!$B145</f>
        <v>-1.0142495901201408E-2</v>
      </c>
      <c r="J145">
        <f>Perhitungan!I$4+Perhitungan!I$3*Return!$B145</f>
        <v>-5.6701709139763048E-3</v>
      </c>
      <c r="K145">
        <f>Perhitungan!J$4+Perhitungan!J$3*Return!$B145</f>
        <v>-1.7064186145676737E-2</v>
      </c>
      <c r="L145">
        <f>Perhitungan!K$4+Perhitungan!K$3*Return!$B145</f>
        <v>-7.5794183669089018E-3</v>
      </c>
      <c r="M145">
        <f>Perhitungan!L$4+Perhitungan!L$3*Return!$B145</f>
        <v>-1.3834148356787777E-2</v>
      </c>
      <c r="N145">
        <f>Perhitungan!M$4+Perhitungan!M$3*Return!$B145</f>
        <v>-2.9693184050176843E-2</v>
      </c>
      <c r="O145">
        <f>Perhitungan!N$4+Perhitungan!N$3*Return!$B145</f>
        <v>-1.034961833822245E-2</v>
      </c>
      <c r="P145">
        <f>Perhitungan!O$4+Perhitungan!O$3*Return!$B145</f>
        <v>-1.90578846552183E-2</v>
      </c>
      <c r="Q145">
        <f>Perhitungan!P$4+Perhitungan!P$3*Return!$B145</f>
        <v>-1.8763680035273997E-2</v>
      </c>
      <c r="R145">
        <f>Perhitungan!Q$4+Perhitungan!Q$3*Return!$B145</f>
        <v>-1.2275910325625338E-2</v>
      </c>
      <c r="S145">
        <f>Perhitungan!R$4+Perhitungan!R$3*Return!$B145</f>
        <v>-1.0719699584034115E-2</v>
      </c>
      <c r="T145">
        <f>Perhitungan!S$4+Perhitungan!S$3*Return!$B145</f>
        <v>-1.0044348973537419E-2</v>
      </c>
      <c r="U145">
        <f>Perhitungan!T$4+Perhitungan!T$3*Return!$B145</f>
        <v>-2.1156468531475958E-2</v>
      </c>
      <c r="V145">
        <f>Perhitungan!U$4+Perhitungan!U$3*Return!$B145</f>
        <v>-1.795837037179954E-2</v>
      </c>
      <c r="W145">
        <f>Perhitungan!V$4+Perhitungan!V$3*Return!$B145</f>
        <v>-3.4821609204308948E-2</v>
      </c>
      <c r="X145">
        <f>Perhitungan!W$4+Perhitungan!W$3*Return!$B145</f>
        <v>-2.5239588002497638E-2</v>
      </c>
      <c r="Y145">
        <f>Perhitungan!X$4+Perhitungan!X$3*Return!$B145</f>
        <v>-1.7146386009408703E-2</v>
      </c>
      <c r="Z145">
        <f>Perhitungan!Y$4+Perhitungan!Y$3*Return!$B145</f>
        <v>-1.620030046408719E-2</v>
      </c>
      <c r="AA145">
        <f>Perhitungan!Z$4+Perhitungan!Z$3*Return!$B145</f>
        <v>-2.0320680958865345E-2</v>
      </c>
      <c r="AB145">
        <f>Perhitungan!AA$4+Perhitungan!AA$3*Return!$B145</f>
        <v>-2.1440730522719092E-2</v>
      </c>
      <c r="AC145">
        <f>Perhitungan!AB$4+Perhitungan!AB$3*Return!$B145</f>
        <v>-1.5706544707233032E-2</v>
      </c>
      <c r="AD145">
        <f>Perhitungan!AC$4+Perhitungan!AC$3*Return!$B145</f>
        <v>-1.9156536631844946E-2</v>
      </c>
      <c r="AE145">
        <f>Perhitungan!AD$4+Perhitungan!AD$3*Return!$B145</f>
        <v>-1.4934811201443013E-2</v>
      </c>
      <c r="AF145">
        <f>Perhitungan!AE$4+Perhitungan!AE$3*Return!$B145</f>
        <v>17.229037282791772</v>
      </c>
    </row>
    <row r="146" spans="1:32" x14ac:dyDescent="0.3">
      <c r="A146" s="3" t="s">
        <v>86</v>
      </c>
      <c r="C146">
        <f>Perhitungan!B$4+Perhitungan!B$3*Return!$B146</f>
        <v>-3.2737223380410992E-3</v>
      </c>
      <c r="D146">
        <f>Perhitungan!C$4+Perhitungan!C$3*Return!$B146</f>
        <v>-6.8815918560934043E-4</v>
      </c>
      <c r="E146">
        <f>Perhitungan!D$4+Perhitungan!D$3*Return!$B146</f>
        <v>-1.7854762065105491E-3</v>
      </c>
      <c r="F146">
        <f>Perhitungan!E$4+Perhitungan!E$3*Return!$B146</f>
        <v>-1.7217892338329817E-3</v>
      </c>
      <c r="G146">
        <f>Perhitungan!F$4+Perhitungan!F$3*Return!$B146</f>
        <v>-9.6482060191831502E-5</v>
      </c>
      <c r="H146">
        <f>Perhitungan!G$4+Perhitungan!G$3*Return!$B146</f>
        <v>-8.2761924498167961E-4</v>
      </c>
      <c r="I146">
        <f>Perhitungan!H$4+Perhitungan!H$3*Return!$B146</f>
        <v>-2.6717018129990794E-3</v>
      </c>
      <c r="J146">
        <f>Perhitungan!I$4+Perhitungan!I$3*Return!$B146</f>
        <v>-6.0646583313679961E-4</v>
      </c>
      <c r="K146">
        <f>Perhitungan!J$4+Perhitungan!J$3*Return!$B146</f>
        <v>-4.7042364153371437E-4</v>
      </c>
      <c r="L146">
        <f>Perhitungan!K$4+Perhitungan!K$3*Return!$B146</f>
        <v>-1.1758099602713606E-3</v>
      </c>
      <c r="M146">
        <f>Perhitungan!L$4+Perhitungan!L$3*Return!$B146</f>
        <v>3.2689250233707561E-3</v>
      </c>
      <c r="N146">
        <f>Perhitungan!M$4+Perhitungan!M$3*Return!$B146</f>
        <v>-4.8921321635378269E-3</v>
      </c>
      <c r="O146">
        <f>Perhitungan!N$4+Perhitungan!N$3*Return!$B146</f>
        <v>-1.3033106534284908E-3</v>
      </c>
      <c r="P146">
        <f>Perhitungan!O$4+Perhitungan!O$3*Return!$B146</f>
        <v>-3.5541302758831453E-3</v>
      </c>
      <c r="Q146">
        <f>Perhitungan!P$4+Perhitungan!P$3*Return!$B146</f>
        <v>-1.7634150757171816E-5</v>
      </c>
      <c r="R146">
        <f>Perhitungan!Q$4+Perhitungan!Q$3*Return!$B146</f>
        <v>-1.9548146006488506E-3</v>
      </c>
      <c r="S146">
        <f>Perhitungan!R$4+Perhitungan!R$3*Return!$B146</f>
        <v>-1.1300510215230088E-3</v>
      </c>
      <c r="T146">
        <f>Perhitungan!S$4+Perhitungan!S$3*Return!$B146</f>
        <v>3.0001229247486865E-5</v>
      </c>
      <c r="U146">
        <f>Perhitungan!T$4+Perhitungan!T$3*Return!$B146</f>
        <v>-1.8421170872131081E-3</v>
      </c>
      <c r="V146">
        <f>Perhitungan!U$4+Perhitungan!U$3*Return!$B146</f>
        <v>-1.7774701367637383E-3</v>
      </c>
      <c r="W146">
        <f>Perhitungan!V$4+Perhitungan!V$3*Return!$B146</f>
        <v>-1.3701899220741626E-3</v>
      </c>
      <c r="X146">
        <f>Perhitungan!W$4+Perhitungan!W$3*Return!$B146</f>
        <v>-6.5224425409170523E-3</v>
      </c>
      <c r="Y146">
        <f>Perhitungan!X$4+Perhitungan!X$3*Return!$B146</f>
        <v>-3.1129437305450047E-3</v>
      </c>
      <c r="Z146">
        <f>Perhitungan!Y$4+Perhitungan!Y$3*Return!$B146</f>
        <v>-2.5144747183825662E-3</v>
      </c>
      <c r="AA146">
        <f>Perhitungan!Z$4+Perhitungan!Z$3*Return!$B146</f>
        <v>1.7328296989701283E-4</v>
      </c>
      <c r="AB146">
        <f>Perhitungan!AA$4+Perhitungan!AA$3*Return!$B146</f>
        <v>-2.879355909521748E-3</v>
      </c>
      <c r="AC146">
        <f>Perhitungan!AB$4+Perhitungan!AB$3*Return!$B146</f>
        <v>-5.0459920548243499E-4</v>
      </c>
      <c r="AD146">
        <f>Perhitungan!AC$4+Perhitungan!AC$3*Return!$B146</f>
        <v>-2.2422569961527638E-3</v>
      </c>
      <c r="AE146">
        <f>Perhitungan!AD$4+Perhitungan!AD$3*Return!$B146</f>
        <v>-1.4857033484233901E-3</v>
      </c>
      <c r="AF146">
        <f>Perhitungan!AE$4+Perhitungan!AE$3*Return!$B146</f>
        <v>16.733423461570688</v>
      </c>
    </row>
    <row r="147" spans="1:32" x14ac:dyDescent="0.3">
      <c r="A147" s="4" t="s">
        <v>87</v>
      </c>
      <c r="C147">
        <f>Perhitungan!B$4+Perhitungan!B$3*Return!$B147</f>
        <v>6.2122473026408054E-3</v>
      </c>
      <c r="D147">
        <f>Perhitungan!C$4+Perhitungan!C$3*Return!$B147</f>
        <v>1.0171554939930891E-2</v>
      </c>
      <c r="E147">
        <f>Perhitungan!D$4+Perhitungan!D$3*Return!$B147</f>
        <v>9.0220441299284256E-3</v>
      </c>
      <c r="F147">
        <f>Perhitungan!E$4+Perhitungan!E$3*Return!$B147</f>
        <v>7.6320078362473003E-3</v>
      </c>
      <c r="G147">
        <f>Perhitungan!F$4+Perhitungan!F$3*Return!$B147</f>
        <v>9.8518563842920365E-3</v>
      </c>
      <c r="H147">
        <f>Perhitungan!G$4+Perhitungan!G$3*Return!$B147</f>
        <v>6.6020526615362066E-3</v>
      </c>
      <c r="I147">
        <f>Perhitungan!H$4+Perhitungan!H$3*Return!$B147</f>
        <v>2.0085983077417998E-3</v>
      </c>
      <c r="J147">
        <f>Perhitungan!I$4+Perhitungan!I$3*Return!$B147</f>
        <v>2.5658421198658391E-3</v>
      </c>
      <c r="K147">
        <f>Perhitungan!J$4+Perhitungan!J$3*Return!$B147</f>
        <v>9.9252301182627956E-3</v>
      </c>
      <c r="L147">
        <f>Perhitungan!K$4+Perhitungan!K$3*Return!$B147</f>
        <v>2.835920097459995E-3</v>
      </c>
      <c r="M147">
        <f>Perhitungan!L$4+Perhitungan!L$3*Return!$B147</f>
        <v>1.3983651659004434E-2</v>
      </c>
      <c r="N147">
        <f>Perhitungan!M$4+Perhitungan!M$3*Return!$B147</f>
        <v>1.0645220997198059E-2</v>
      </c>
      <c r="O147">
        <f>Perhitungan!N$4+Perhitungan!N$3*Return!$B147</f>
        <v>4.3640166011483126E-3</v>
      </c>
      <c r="P147">
        <f>Perhitungan!O$4+Perhitungan!O$3*Return!$B147</f>
        <v>6.1586556257022746E-3</v>
      </c>
      <c r="Q147">
        <f>Perhitungan!P$4+Perhitungan!P$3*Return!$B147</f>
        <v>1.172638124852551E-2</v>
      </c>
      <c r="R147">
        <f>Perhitungan!Q$4+Perhitungan!Q$3*Return!$B147</f>
        <v>4.5111413603203931E-3</v>
      </c>
      <c r="S147">
        <f>Perhitungan!R$4+Perhitungan!R$3*Return!$B147</f>
        <v>4.8776682108756511E-3</v>
      </c>
      <c r="T147">
        <f>Perhitungan!S$4+Perhitungan!S$3*Return!$B147</f>
        <v>6.3413761532250638E-3</v>
      </c>
      <c r="U147">
        <f>Perhitungan!T$4+Perhitungan!T$3*Return!$B147</f>
        <v>1.0257930153998852E-2</v>
      </c>
      <c r="V147">
        <f>Perhitungan!U$4+Perhitungan!U$3*Return!$B147</f>
        <v>8.3595338322423451E-3</v>
      </c>
      <c r="W147">
        <f>Perhitungan!V$4+Perhitungan!V$3*Return!$B147</f>
        <v>1.9586441977717684E-2</v>
      </c>
      <c r="X147">
        <f>Perhitungan!W$4+Perhitungan!W$3*Return!$B147</f>
        <v>5.2034673328537505E-3</v>
      </c>
      <c r="Y147">
        <f>Perhitungan!X$4+Perhitungan!X$3*Return!$B147</f>
        <v>5.6787216288171436E-3</v>
      </c>
      <c r="Z147">
        <f>Perhitungan!Y$4+Perhitungan!Y$3*Return!$B147</f>
        <v>6.0594159729981459E-3</v>
      </c>
      <c r="AA147">
        <f>Perhitungan!Z$4+Perhitungan!Z$3*Return!$B147</f>
        <v>1.3012333373081945E-2</v>
      </c>
      <c r="AB147">
        <f>Perhitungan!AA$4+Perhitungan!AA$3*Return!$B147</f>
        <v>8.7489667048642333E-3</v>
      </c>
      <c r="AC147">
        <f>Perhitungan!AB$4+Perhitungan!AB$3*Return!$B147</f>
        <v>9.0191095900386715E-3</v>
      </c>
      <c r="AD147">
        <f>Perhitungan!AC$4+Perhitungan!AC$3*Return!$B147</f>
        <v>8.3541942092403235E-3</v>
      </c>
      <c r="AE147">
        <f>Perhitungan!AD$4+Perhitungan!AD$3*Return!$B147</f>
        <v>6.9398884113263818E-3</v>
      </c>
      <c r="AF147">
        <f>Perhitungan!AE$4+Perhitungan!AE$3*Return!$B147</f>
        <v>16.422931511194896</v>
      </c>
    </row>
    <row r="148" spans="1:32" x14ac:dyDescent="0.3">
      <c r="A148" s="3" t="s">
        <v>88</v>
      </c>
      <c r="C148">
        <f>Perhitungan!B$4+Perhitungan!B$3*Return!$B148</f>
        <v>-2.3746130758987096E-2</v>
      </c>
      <c r="D148">
        <f>Perhitungan!C$4+Perhitungan!C$3*Return!$B148</f>
        <v>-2.412535235975849E-2</v>
      </c>
      <c r="E148">
        <f>Perhitungan!D$4+Perhitungan!D$3*Return!$B148</f>
        <v>-2.5110025907404725E-2</v>
      </c>
      <c r="F148">
        <f>Perhitungan!E$4+Perhitungan!E$3*Return!$B148</f>
        <v>-2.1908945756459783E-2</v>
      </c>
      <c r="G148">
        <f>Perhitungan!F$4+Perhitungan!F$3*Return!$B148</f>
        <v>-2.1566764536304798E-2</v>
      </c>
      <c r="H148">
        <f>Perhitungan!G$4+Perhitungan!G$3*Return!$B148</f>
        <v>-1.6862171690895749E-2</v>
      </c>
      <c r="I148">
        <f>Perhitungan!H$4+Perhitungan!H$3*Return!$B148</f>
        <v>-1.2772621300816696E-2</v>
      </c>
      <c r="J148">
        <f>Perhitungan!I$4+Perhitungan!I$3*Return!$B148</f>
        <v>-7.4528702083269107E-3</v>
      </c>
      <c r="K148">
        <f>Perhitungan!J$4+Perhitungan!J$3*Return!$B148</f>
        <v>-2.2906092069205169E-2</v>
      </c>
      <c r="L148">
        <f>Perhitungan!K$4+Perhitungan!K$3*Return!$B148</f>
        <v>-9.8338364275116254E-3</v>
      </c>
      <c r="M148">
        <f>Perhitungan!L$4+Perhitungan!L$3*Return!$B148</f>
        <v>-1.9855359379010347E-2</v>
      </c>
      <c r="N148">
        <f>Perhitungan!M$4+Perhitungan!M$3*Return!$B148</f>
        <v>-3.8424501729944674E-2</v>
      </c>
      <c r="O148">
        <f>Perhitungan!N$4+Perhitungan!N$3*Return!$B148</f>
        <v>-1.3534410119873172E-2</v>
      </c>
      <c r="P148">
        <f>Perhitungan!O$4+Perhitungan!O$3*Return!$B148</f>
        <v>-2.4516048499792706E-2</v>
      </c>
      <c r="Q148">
        <f>Perhitungan!P$4+Perhitungan!P$3*Return!$B148</f>
        <v>-2.5363306640039024E-2</v>
      </c>
      <c r="R148">
        <f>Perhitungan!Q$4+Perhitungan!Q$3*Return!$B148</f>
        <v>-1.5909496755344942E-2</v>
      </c>
      <c r="S148">
        <f>Perhitungan!R$4+Perhitungan!R$3*Return!$B148</f>
        <v>-1.4095776873792987E-2</v>
      </c>
      <c r="T148">
        <f>Perhitungan!S$4+Perhitungan!S$3*Return!$B148</f>
        <v>-1.359106757401485E-2</v>
      </c>
      <c r="U148">
        <f>Perhitungan!T$4+Perhitungan!T$3*Return!$B148</f>
        <v>-2.7956169568728827E-2</v>
      </c>
      <c r="V148">
        <f>Perhitungan!U$4+Perhitungan!U$3*Return!$B148</f>
        <v>-2.3654926346219282E-2</v>
      </c>
      <c r="W148">
        <f>Perhitungan!V$4+Perhitungan!V$3*Return!$B148</f>
        <v>-4.6598326172900578E-2</v>
      </c>
      <c r="X148">
        <f>Perhitungan!W$4+Perhitungan!W$3*Return!$B148</f>
        <v>-3.182904008825882E-2</v>
      </c>
      <c r="Y148">
        <f>Perhitungan!X$4+Perhitungan!X$3*Return!$B148</f>
        <v>-2.2086920114071189E-2</v>
      </c>
      <c r="Z148">
        <f>Perhitungan!Y$4+Perhitungan!Y$3*Return!$B148</f>
        <v>-2.101845466342854E-2</v>
      </c>
      <c r="AA148">
        <f>Perhitungan!Z$4+Perhitungan!Z$3*Return!$B148</f>
        <v>-2.7535669677796509E-2</v>
      </c>
      <c r="AB148">
        <f>Perhitungan!AA$4+Perhitungan!AA$3*Return!$B148</f>
        <v>-2.7975342806979202E-2</v>
      </c>
      <c r="AC148">
        <f>Perhitungan!AB$4+Perhitungan!AB$3*Return!$B148</f>
        <v>-2.1058455429931407E-2</v>
      </c>
      <c r="AD148">
        <f>Perhitungan!AC$4+Perhitungan!AC$3*Return!$B148</f>
        <v>-2.5111281999045169E-2</v>
      </c>
      <c r="AE148">
        <f>Perhitungan!AD$4+Perhitungan!AD$3*Return!$B148</f>
        <v>-1.9669627841919314E-2</v>
      </c>
      <c r="AF148">
        <f>Perhitungan!AE$4+Perhitungan!AE$3*Return!$B148</f>
        <v>17.403520274051356</v>
      </c>
    </row>
    <row r="149" spans="1:32" x14ac:dyDescent="0.3">
      <c r="A149" s="4" t="s">
        <v>89</v>
      </c>
      <c r="C149">
        <f>Perhitungan!B$4+Perhitungan!B$3*Return!$B149</f>
        <v>1.716909087668456E-2</v>
      </c>
      <c r="D149">
        <f>Perhitungan!C$4+Perhitungan!C$3*Return!$B149</f>
        <v>2.2715152847105319E-2</v>
      </c>
      <c r="E149">
        <f>Perhitungan!D$4+Perhitungan!D$3*Return!$B149</f>
        <v>2.1505355191964056E-2</v>
      </c>
      <c r="F149">
        <f>Perhitungan!E$4+Perhitungan!E$3*Return!$B149</f>
        <v>1.8436184446794731E-2</v>
      </c>
      <c r="G149">
        <f>Perhitungan!F$4+Perhitungan!F$3*Return!$B149</f>
        <v>2.1342762668704288E-2</v>
      </c>
      <c r="H149">
        <f>Perhitungan!G$4+Perhitungan!G$3*Return!$B149</f>
        <v>1.5183753422738727E-2</v>
      </c>
      <c r="I149">
        <f>Perhitungan!H$4+Perhitungan!H$3*Return!$B149</f>
        <v>7.4146156412370316E-3</v>
      </c>
      <c r="J149">
        <f>Perhitungan!I$4+Perhitungan!I$3*Return!$B149</f>
        <v>6.2300412820345914E-3</v>
      </c>
      <c r="K149">
        <f>Perhitungan!J$4+Perhitungan!J$3*Return!$B149</f>
        <v>2.1932811463191301E-2</v>
      </c>
      <c r="L149">
        <f>Perhitungan!K$4+Perhitungan!K$3*Return!$B149</f>
        <v>7.4697003401608545E-3</v>
      </c>
      <c r="M149">
        <f>Perhitungan!L$4+Perhitungan!L$3*Return!$B149</f>
        <v>2.6359780629710162E-2</v>
      </c>
      <c r="N149">
        <f>Perhitungan!M$4+Perhitungan!M$3*Return!$B149</f>
        <v>2.8591762530154045E-2</v>
      </c>
      <c r="O149">
        <f>Perhitungan!N$4+Perhitungan!N$3*Return!$B149</f>
        <v>1.0910107360811452E-2</v>
      </c>
      <c r="P149">
        <f>Perhitungan!O$4+Perhitungan!O$3*Return!$B149</f>
        <v>1.737748509943848E-2</v>
      </c>
      <c r="Q149">
        <f>Perhitungan!P$4+Perhitungan!P$3*Return!$B149</f>
        <v>2.529139827211481E-2</v>
      </c>
      <c r="R149">
        <f>Perhitungan!Q$4+Perhitungan!Q$3*Return!$B149</f>
        <v>1.197969446607363E-2</v>
      </c>
      <c r="S149">
        <f>Perhitungan!R$4+Perhitungan!R$3*Return!$B149</f>
        <v>1.1816931392139048E-2</v>
      </c>
      <c r="T149">
        <f>Perhitungan!S$4+Perhitungan!S$3*Return!$B149</f>
        <v>1.3631379220765296E-2</v>
      </c>
      <c r="U149">
        <f>Perhitungan!T$4+Perhitungan!T$3*Return!$B149</f>
        <v>2.423418454679371E-2</v>
      </c>
      <c r="V149">
        <f>Perhitungan!U$4+Perhitungan!U$3*Return!$B149</f>
        <v>2.0068359709306403E-2</v>
      </c>
      <c r="W149">
        <f>Perhitungan!V$4+Perhitungan!V$3*Return!$B149</f>
        <v>4.3792563888553612E-2</v>
      </c>
      <c r="X149">
        <f>Perhitungan!W$4+Perhitungan!W$3*Return!$B149</f>
        <v>1.8747571427309408E-2</v>
      </c>
      <c r="Y149">
        <f>Perhitungan!X$4+Perhitungan!X$3*Return!$B149</f>
        <v>1.5833603601530851E-2</v>
      </c>
      <c r="Z149">
        <f>Perhitungan!Y$4+Perhitungan!Y$3*Return!$B149</f>
        <v>1.5962755608782093E-2</v>
      </c>
      <c r="AA149">
        <f>Perhitungan!Z$4+Perhitungan!Z$3*Return!$B149</f>
        <v>2.7842179159605896E-2</v>
      </c>
      <c r="AB149">
        <f>Perhitungan!AA$4+Perhitungan!AA$3*Return!$B149</f>
        <v>2.2180351870586076E-2</v>
      </c>
      <c r="AC149">
        <f>Perhitungan!AB$4+Perhitungan!AB$3*Return!$B149</f>
        <v>2.0019544070637343E-2</v>
      </c>
      <c r="AD149">
        <f>Perhitungan!AC$4+Perhitungan!AC$3*Return!$B149</f>
        <v>2.0593708217334201E-2</v>
      </c>
      <c r="AE149">
        <f>Perhitungan!AD$4+Perhitungan!AD$3*Return!$B149</f>
        <v>1.6671934203926448E-2</v>
      </c>
      <c r="AF149">
        <f>Perhitungan!AE$4+Perhitungan!AE$3*Return!$B149</f>
        <v>16.06429535061967</v>
      </c>
    </row>
    <row r="150" spans="1:32" x14ac:dyDescent="0.3">
      <c r="A150" s="3" t="s">
        <v>90</v>
      </c>
      <c r="C150">
        <f>Perhitungan!B$4+Perhitungan!B$3*Return!$B150</f>
        <v>1.4194118669393966E-2</v>
      </c>
      <c r="D150">
        <f>Perhitungan!C$4+Perhitungan!C$3*Return!$B150</f>
        <v>1.9309349442037611E-2</v>
      </c>
      <c r="E150">
        <f>Perhitungan!D$4+Perhitungan!D$3*Return!$B150</f>
        <v>1.8115920706242614E-2</v>
      </c>
      <c r="F150">
        <f>Perhitungan!E$4+Perhitungan!E$3*Return!$B150</f>
        <v>1.550266395598651E-2</v>
      </c>
      <c r="G150">
        <f>Perhitungan!F$4+Perhitungan!F$3*Return!$B150</f>
        <v>1.8222783214613125E-2</v>
      </c>
      <c r="H150">
        <f>Perhitungan!G$4+Perhitungan!G$3*Return!$B150</f>
        <v>1.2853673497499841E-2</v>
      </c>
      <c r="I150">
        <f>Perhitungan!H$4+Perhitungan!H$3*Return!$B150</f>
        <v>5.9467885968335858E-3</v>
      </c>
      <c r="J150">
        <f>Perhitungan!I$4+Perhitungan!I$3*Return!$B150</f>
        <v>5.2351479447551195E-3</v>
      </c>
      <c r="K150">
        <f>Perhitungan!J$4+Perhitungan!J$3*Return!$B150</f>
        <v>1.867254580944339E-2</v>
      </c>
      <c r="L150">
        <f>Perhitungan!K$4+Perhitungan!K$3*Return!$B150</f>
        <v>6.2115489990771672E-3</v>
      </c>
      <c r="M150">
        <f>Perhitungan!L$4+Perhitungan!L$3*Return!$B150</f>
        <v>2.2999447932352399E-2</v>
      </c>
      <c r="N150">
        <f>Perhitungan!M$4+Perhitungan!M$3*Return!$B150</f>
        <v>2.3718966645396695E-2</v>
      </c>
      <c r="O150">
        <f>Perhitungan!N$4+Perhitungan!N$3*Return!$B150</f>
        <v>9.1327306971038802E-3</v>
      </c>
      <c r="P150">
        <f>Perhitungan!O$4+Perhitungan!O$3*Return!$B150</f>
        <v>1.4331379197026648E-2</v>
      </c>
      <c r="Q150">
        <f>Perhitungan!P$4+Perhitungan!P$3*Return!$B150</f>
        <v>2.1608261941483756E-2</v>
      </c>
      <c r="R150">
        <f>Perhitungan!Q$4+Perhitungan!Q$3*Return!$B150</f>
        <v>9.9518533484980465E-3</v>
      </c>
      <c r="S150">
        <f>Perhitungan!R$4+Perhitungan!R$3*Return!$B150</f>
        <v>9.9328016275927623E-3</v>
      </c>
      <c r="T150">
        <f>Perhitungan!S$4+Perhitungan!S$3*Return!$B150</f>
        <v>1.1652017521345566E-2</v>
      </c>
      <c r="U150">
        <f>Perhitungan!T$4+Perhitungan!T$3*Return!$B150</f>
        <v>2.0439390170146184E-2</v>
      </c>
      <c r="V150">
        <f>Perhitungan!U$4+Perhitungan!U$3*Return!$B150</f>
        <v>1.6889211323288619E-2</v>
      </c>
      <c r="W150">
        <f>Perhitungan!V$4+Perhitungan!V$3*Return!$B150</f>
        <v>3.7220183855528485E-2</v>
      </c>
      <c r="X150">
        <f>Perhitungan!W$4+Perhitungan!W$3*Return!$B150</f>
        <v>1.5070113318013282E-2</v>
      </c>
      <c r="Y150">
        <f>Perhitungan!X$4+Perhitungan!X$3*Return!$B150</f>
        <v>1.3076377815383206E-2</v>
      </c>
      <c r="Z150">
        <f>Perhitungan!Y$4+Perhitungan!Y$3*Return!$B150</f>
        <v>1.3273827910150792E-2</v>
      </c>
      <c r="AA150">
        <f>Perhitungan!Z$4+Perhitungan!Z$3*Return!$B150</f>
        <v>2.3815619981757571E-2</v>
      </c>
      <c r="AB150">
        <f>Perhitungan!AA$4+Perhitungan!AA$3*Return!$B150</f>
        <v>1.8533498896605844E-2</v>
      </c>
      <c r="AC150">
        <f>Perhitungan!AB$4+Perhitungan!AB$3*Return!$B150</f>
        <v>1.7032736179592105E-2</v>
      </c>
      <c r="AD150">
        <f>Perhitungan!AC$4+Perhitungan!AC$3*Return!$B150</f>
        <v>1.7270468841070582E-2</v>
      </c>
      <c r="AE150">
        <f>Perhitungan!AD$4+Perhitungan!AD$3*Return!$B150</f>
        <v>1.4029515741217731E-2</v>
      </c>
      <c r="AF150">
        <f>Perhitungan!AE$4+Perhitungan!AE$3*Return!$B150</f>
        <v>16.161671260299372</v>
      </c>
    </row>
    <row r="151" spans="1:32" x14ac:dyDescent="0.3">
      <c r="A151" s="4" t="s">
        <v>91</v>
      </c>
      <c r="C151">
        <f>Perhitungan!B$4+Perhitungan!B$3*Return!$B151</f>
        <v>-1.0557365053844045E-2</v>
      </c>
      <c r="D151">
        <f>Perhitungan!C$4+Perhitungan!C$3*Return!$B151</f>
        <v>-9.0266085674173373E-3</v>
      </c>
      <c r="E151">
        <f>Perhitungan!D$4+Perhitungan!D$3*Return!$B151</f>
        <v>-1.0083849462608936E-2</v>
      </c>
      <c r="F151">
        <f>Perhitungan!E$4+Perhitungan!E$3*Return!$B151</f>
        <v>-8.9039454577371138E-3</v>
      </c>
      <c r="G151">
        <f>Perhitungan!F$4+Perhitungan!F$3*Return!$B151</f>
        <v>-7.7351469084063883E-3</v>
      </c>
      <c r="H151">
        <f>Perhitungan!G$4+Perhitungan!G$3*Return!$B151</f>
        <v>-6.532368228220539E-3</v>
      </c>
      <c r="I151">
        <f>Perhitungan!H$4+Perhitungan!H$3*Return!$B151</f>
        <v>-6.265391775489345E-3</v>
      </c>
      <c r="J151">
        <f>Perhitungan!I$4+Perhitungan!I$3*Return!$B151</f>
        <v>-3.042269297558433E-3</v>
      </c>
      <c r="K151">
        <f>Perhitungan!J$4+Perhitungan!J$3*Return!$B151</f>
        <v>-8.4525520534593813E-3</v>
      </c>
      <c r="L151">
        <f>Perhitungan!K$4+Perhitungan!K$3*Return!$B151</f>
        <v>-4.2561496113122654E-3</v>
      </c>
      <c r="M151">
        <f>Perhitungan!L$4+Perhitungan!L$3*Return!$B151</f>
        <v>-4.9581981456469889E-3</v>
      </c>
      <c r="N151">
        <f>Perhitungan!M$4+Perhitungan!M$3*Return!$B151</f>
        <v>-1.6822228237924654E-2</v>
      </c>
      <c r="O151">
        <f>Perhitungan!N$4+Perhitungan!N$3*Return!$B151</f>
        <v>-5.654872848909278E-3</v>
      </c>
      <c r="P151">
        <f>Perhitungan!O$4+Perhitungan!O$3*Return!$B151</f>
        <v>-1.101193005407753E-2</v>
      </c>
      <c r="Q151">
        <f>Perhitungan!P$4+Perhitungan!P$3*Return!$B151</f>
        <v>-9.0350794365206925E-3</v>
      </c>
      <c r="R151">
        <f>Perhitungan!Q$4+Perhitungan!Q$3*Return!$B151</f>
        <v>-6.9195904559119469E-3</v>
      </c>
      <c r="S151">
        <f>Perhitungan!R$4+Perhitungan!R$3*Return!$B151</f>
        <v>-5.742977489049019E-3</v>
      </c>
      <c r="T151">
        <f>Perhitungan!S$4+Perhitungan!S$3*Return!$B151</f>
        <v>-4.8160821689728428E-3</v>
      </c>
      <c r="U151">
        <f>Perhitungan!T$4+Perhitungan!T$3*Return!$B151</f>
        <v>-1.113293545240762E-2</v>
      </c>
      <c r="V151">
        <f>Perhitungan!U$4+Perhitungan!U$3*Return!$B151</f>
        <v>-9.5609986441993859E-3</v>
      </c>
      <c r="W151">
        <f>Perhitungan!V$4+Perhitungan!V$3*Return!$B151</f>
        <v>-1.746138829889185E-2</v>
      </c>
      <c r="X151">
        <f>Perhitungan!W$4+Perhitungan!W$3*Return!$B151</f>
        <v>-1.5525985802532741E-2</v>
      </c>
      <c r="Y151">
        <f>Perhitungan!X$4+Perhitungan!X$3*Return!$B151</f>
        <v>-9.8634765469131549E-3</v>
      </c>
      <c r="Z151">
        <f>Perhitungan!Y$4+Perhitungan!Y$3*Return!$B151</f>
        <v>-9.0977929078635729E-3</v>
      </c>
      <c r="AA151">
        <f>Perhitungan!Z$4+Perhitungan!Z$3*Return!$B151</f>
        <v>-9.6849665806742237E-3</v>
      </c>
      <c r="AB151">
        <f>Perhitungan!AA$4+Perhitungan!AA$3*Return!$B151</f>
        <v>-1.1807968430485987E-2</v>
      </c>
      <c r="AC151">
        <f>Perhitungan!AB$4+Perhitungan!AB$3*Return!$B151</f>
        <v>-7.8172192984705506E-3</v>
      </c>
      <c r="AD151">
        <f>Perhitungan!AC$4+Perhitungan!AC$3*Return!$B151</f>
        <v>-1.0378564359453002E-2</v>
      </c>
      <c r="AE151">
        <f>Perhitungan!AD$4+Perhitungan!AD$3*Return!$B151</f>
        <v>-7.9551526901165404E-3</v>
      </c>
      <c r="AF151">
        <f>Perhitungan!AE$4+Perhitungan!AE$3*Return!$B151</f>
        <v>16.971829498943112</v>
      </c>
    </row>
    <row r="152" spans="1:32" x14ac:dyDescent="0.3">
      <c r="A152" s="3" t="s">
        <v>92</v>
      </c>
      <c r="C152">
        <f>Perhitungan!B$4+Perhitungan!B$3*Return!$B152</f>
        <v>1.1194217170891078E-2</v>
      </c>
      <c r="D152">
        <f>Perhitungan!C$4+Perhitungan!C$3*Return!$B152</f>
        <v>1.587500652164648E-2</v>
      </c>
      <c r="E152">
        <f>Perhitungan!D$4+Perhitungan!D$3*Return!$B152</f>
        <v>1.4698083871372346E-2</v>
      </c>
      <c r="F152">
        <f>Perhitungan!E$4+Perhitungan!E$3*Return!$B152</f>
        <v>1.2544561525752652E-2</v>
      </c>
      <c r="G152">
        <f>Perhitungan!F$4+Perhitungan!F$3*Return!$B152</f>
        <v>1.5076659356148438E-2</v>
      </c>
      <c r="H152">
        <f>Perhitungan!G$4+Perhitungan!G$3*Return!$B152</f>
        <v>1.0504068266827229E-2</v>
      </c>
      <c r="I152">
        <f>Perhitungan!H$4+Perhitungan!H$3*Return!$B152</f>
        <v>4.4666616432916494E-3</v>
      </c>
      <c r="J152">
        <f>Perhitungan!I$4+Perhitungan!I$3*Return!$B152</f>
        <v>4.2319177276656699E-3</v>
      </c>
      <c r="K152">
        <f>Perhitungan!J$4+Perhitungan!J$3*Return!$B152</f>
        <v>1.5384960198987137E-2</v>
      </c>
      <c r="L152">
        <f>Perhitungan!K$4+Perhitungan!K$3*Return!$B152</f>
        <v>4.9428547624685588E-3</v>
      </c>
      <c r="M152">
        <f>Perhitungan!L$4+Perhitungan!L$3*Return!$B152</f>
        <v>1.961095674928599E-2</v>
      </c>
      <c r="N152">
        <f>Perhitungan!M$4+Perhitungan!M$3*Return!$B152</f>
        <v>1.8805338329555964E-2</v>
      </c>
      <c r="O152">
        <f>Perhitungan!N$4+Perhitungan!N$3*Return!$B152</f>
        <v>7.3404601999900992E-3</v>
      </c>
      <c r="P152">
        <f>Perhitungan!O$4+Perhitungan!O$3*Return!$B152</f>
        <v>1.1259747926371511E-2</v>
      </c>
      <c r="Q152">
        <f>Perhitungan!P$4+Perhitungan!P$3*Return!$B152</f>
        <v>1.7894262136587007E-2</v>
      </c>
      <c r="R152">
        <f>Perhitungan!Q$4+Perhitungan!Q$3*Return!$B152</f>
        <v>7.9070195875530838E-3</v>
      </c>
      <c r="S152">
        <f>Perhitungan!R$4+Perhitungan!R$3*Return!$B152</f>
        <v>8.0328834736736257E-3</v>
      </c>
      <c r="T152">
        <f>Perhitungan!S$4+Perhitungan!S$3*Return!$B152</f>
        <v>9.6560694201778263E-3</v>
      </c>
      <c r="U152">
        <f>Perhitungan!T$4+Perhitungan!T$3*Return!$B152</f>
        <v>1.6612796661434712E-2</v>
      </c>
      <c r="V152">
        <f>Perhitungan!U$4+Perhitungan!U$3*Return!$B152</f>
        <v>1.3683422716657047E-2</v>
      </c>
      <c r="W152">
        <f>Perhitungan!V$4+Perhitungan!V$3*Return!$B152</f>
        <v>3.0592729433774755E-2</v>
      </c>
      <c r="X152">
        <f>Perhitungan!W$4+Perhitungan!W$3*Return!$B152</f>
        <v>1.1361839316083616E-2</v>
      </c>
      <c r="Y152">
        <f>Perhitungan!X$4+Perhitungan!X$3*Return!$B152</f>
        <v>1.0296047381604745E-2</v>
      </c>
      <c r="Z152">
        <f>Perhitungan!Y$4+Perhitungan!Y$3*Return!$B152</f>
        <v>1.0562367879458138E-2</v>
      </c>
      <c r="AA152">
        <f>Perhitungan!Z$4+Perhitungan!Z$3*Return!$B152</f>
        <v>1.9755319558837411E-2</v>
      </c>
      <c r="AB152">
        <f>Perhitungan!AA$4+Perhitungan!AA$3*Return!$B152</f>
        <v>1.4856086490986565E-2</v>
      </c>
      <c r="AC152">
        <f>Perhitungan!AB$4+Perhitungan!AB$3*Return!$B152</f>
        <v>1.4020899818187188E-2</v>
      </c>
      <c r="AD152">
        <f>Perhitungan!AC$4+Perhitungan!AC$3*Return!$B152</f>
        <v>1.3919381808961306E-2</v>
      </c>
      <c r="AE152">
        <f>Perhitungan!AD$4+Perhitungan!AD$3*Return!$B152</f>
        <v>1.1364954678588193E-2</v>
      </c>
      <c r="AF152">
        <f>Perhitungan!AE$4+Perhitungan!AE$3*Return!$B152</f>
        <v>16.259863148159816</v>
      </c>
    </row>
    <row r="153" spans="1:32" x14ac:dyDescent="0.3">
      <c r="A153" s="4" t="s">
        <v>93</v>
      </c>
      <c r="C153">
        <f>Perhitungan!B$4+Perhitungan!B$3*Return!$B153</f>
        <v>-1.9121624854502063E-3</v>
      </c>
      <c r="D153">
        <f>Perhitungan!C$4+Perhitungan!C$3*Return!$B153</f>
        <v>8.7057980724356975E-4</v>
      </c>
      <c r="E153">
        <f>Perhitungan!D$4+Perhitungan!D$3*Return!$B153</f>
        <v>-2.3422880075803357E-4</v>
      </c>
      <c r="F153">
        <f>Perhitungan!E$4+Perhitungan!E$3*Return!$B153</f>
        <v>-3.7920064855177077E-4</v>
      </c>
      <c r="G153">
        <f>Perhitungan!F$4+Perhitungan!F$3*Return!$B153</f>
        <v>1.3314434697302797E-3</v>
      </c>
      <c r="H153">
        <f>Perhitungan!G$4+Perhitungan!G$3*Return!$B153</f>
        <v>2.3879181988759407E-4</v>
      </c>
      <c r="I153">
        <f>Perhitungan!H$4+Perhitungan!H$3*Return!$B153</f>
        <v>-1.999919276910444E-3</v>
      </c>
      <c r="J153">
        <f>Perhitungan!I$4+Perhitungan!I$3*Return!$B153</f>
        <v>-1.511315539357231E-4</v>
      </c>
      <c r="K153">
        <f>Perhitungan!J$4+Perhitungan!J$3*Return!$B153</f>
        <v>1.0217068772138669E-3</v>
      </c>
      <c r="L153">
        <f>Perhitungan!K$4+Perhitungan!K$3*Return!$B153</f>
        <v>-5.999900079689932E-4</v>
      </c>
      <c r="M153">
        <f>Perhitungan!L$4+Perhitungan!L$3*Return!$B153</f>
        <v>4.8068533713594794E-3</v>
      </c>
      <c r="N153">
        <f>Perhitungan!M$4+Perhitungan!M$3*Return!$B153</f>
        <v>-2.6619925910414243E-3</v>
      </c>
      <c r="O153">
        <f>Perhitungan!N$4+Perhitungan!N$3*Return!$B153</f>
        <v>-4.8985609331340669E-4</v>
      </c>
      <c r="P153">
        <f>Perhitungan!O$4+Perhitungan!O$3*Return!$B153</f>
        <v>-2.160014561692551E-3</v>
      </c>
      <c r="Q153">
        <f>Perhitungan!P$4+Perhitungan!P$3*Return!$B153</f>
        <v>1.6680322050886644E-3</v>
      </c>
      <c r="R153">
        <f>Perhitungan!Q$4+Perhitungan!Q$3*Return!$B153</f>
        <v>-1.0267296100201411E-3</v>
      </c>
      <c r="S153">
        <f>Perhitungan!R$4+Perhitungan!R$3*Return!$B153</f>
        <v>-2.6773861464035554E-4</v>
      </c>
      <c r="T153">
        <f>Perhitungan!S$4+Perhitungan!S$3*Return!$B153</f>
        <v>9.3589857413072766E-4</v>
      </c>
      <c r="U153">
        <f>Perhitungan!T$4+Perhitungan!T$3*Return!$B153</f>
        <v>-1.0534803121356923E-4</v>
      </c>
      <c r="V153">
        <f>Perhitungan!U$4+Perhitungan!U$3*Return!$B153</f>
        <v>-3.2246467579738394E-4</v>
      </c>
      <c r="W153">
        <f>Perhitungan!V$4+Perhitungan!V$3*Return!$B153</f>
        <v>1.637800796967505E-3</v>
      </c>
      <c r="X153">
        <f>Perhitungan!W$4+Perhitungan!W$3*Return!$B153</f>
        <v>-4.8393749448797348E-3</v>
      </c>
      <c r="Y153">
        <f>Perhitungan!X$4+Perhitungan!X$3*Return!$B153</f>
        <v>-1.8510401988928531E-3</v>
      </c>
      <c r="Z153">
        <f>Perhitungan!Y$4+Perhitungan!Y$3*Return!$B153</f>
        <v>-1.2838292716775977E-3</v>
      </c>
      <c r="AA153">
        <f>Perhitungan!Z$4+Perhitungan!Z$3*Return!$B153</f>
        <v>2.0161241592043483E-3</v>
      </c>
      <c r="AB153">
        <f>Perhitungan!AA$4+Perhitungan!AA$3*Return!$B153</f>
        <v>-1.2102954102321275E-3</v>
      </c>
      <c r="AC153">
        <f>Perhitungan!AB$4+Perhitungan!AB$3*Return!$B153</f>
        <v>8.6237750168907971E-4</v>
      </c>
      <c r="AD153">
        <f>Perhitungan!AC$4+Perhitungan!AC$3*Return!$B153</f>
        <v>-7.2130520232386664E-4</v>
      </c>
      <c r="AE153">
        <f>Perhitungan!AD$4+Perhitungan!AD$3*Return!$B153</f>
        <v>-2.7634385129861604E-4</v>
      </c>
      <c r="AF153">
        <f>Perhitungan!AE$4+Perhitungan!AE$3*Return!$B153</f>
        <v>16.688857287505439</v>
      </c>
    </row>
    <row r="154" spans="1:32" x14ac:dyDescent="0.3">
      <c r="A154" s="3" t="s">
        <v>94</v>
      </c>
      <c r="C154">
        <f>Perhitungan!B$4+Perhitungan!B$3*Return!$B154</f>
        <v>-1.7690634513210884E-2</v>
      </c>
      <c r="D154">
        <f>Perhitungan!C$4+Perhitungan!C$3*Return!$B154</f>
        <v>-1.7192907853992127E-2</v>
      </c>
      <c r="E154">
        <f>Perhitungan!D$4+Perhitungan!D$3*Return!$B154</f>
        <v>-1.8210900008583934E-2</v>
      </c>
      <c r="F154">
        <f>Perhitungan!E$4+Perhitungan!E$3*Return!$B154</f>
        <v>-1.59378236480032E-2</v>
      </c>
      <c r="G154">
        <f>Perhitungan!F$4+Perhitungan!F$3*Return!$B154</f>
        <v>-1.5216108948717163E-2</v>
      </c>
      <c r="H154">
        <f>Perhitungan!G$4+Perhitungan!G$3*Return!$B154</f>
        <v>-1.211934074778155E-2</v>
      </c>
      <c r="I154">
        <f>Perhitungan!H$4+Perhitungan!H$3*Return!$B154</f>
        <v>-9.7848887986267587E-3</v>
      </c>
      <c r="J154">
        <f>Perhitungan!I$4+Perhitungan!I$3*Return!$B154</f>
        <v>-5.4277847792665902E-3</v>
      </c>
      <c r="K154">
        <f>Perhitungan!J$4+Perhitungan!J$3*Return!$B154</f>
        <v>-1.6269886736556449E-2</v>
      </c>
      <c r="L154">
        <f>Perhitungan!K$4+Perhitungan!K$3*Return!$B154</f>
        <v>-7.2728946130369296E-3</v>
      </c>
      <c r="M154">
        <f>Perhitungan!L$4+Perhitungan!L$3*Return!$B154</f>
        <v>-1.3015469586580657E-2</v>
      </c>
      <c r="N154">
        <f>Perhitungan!M$4+Perhitungan!M$3*Return!$B154</f>
        <v>-2.8506023461720757E-2</v>
      </c>
      <c r="O154">
        <f>Perhitungan!N$4+Perhitungan!N$3*Return!$B154</f>
        <v>-9.9165955775942852E-3</v>
      </c>
      <c r="P154">
        <f>Perhitungan!O$4+Perhitungan!O$3*Return!$B154</f>
        <v>-1.8315761044640087E-2</v>
      </c>
      <c r="Q154">
        <f>Perhitungan!P$4+Perhitungan!P$3*Return!$B154</f>
        <v>-1.7866356527980465E-2</v>
      </c>
      <c r="R154">
        <f>Perhitungan!Q$4+Perhitungan!Q$3*Return!$B154</f>
        <v>-1.1781866841890054E-2</v>
      </c>
      <c r="S154">
        <f>Perhitungan!R$4+Perhitungan!R$3*Return!$B154</f>
        <v>-1.0260668536375575E-2</v>
      </c>
      <c r="T154">
        <f>Perhitungan!S$4+Perhitungan!S$3*Return!$B154</f>
        <v>-9.5621165436502852E-3</v>
      </c>
      <c r="U154">
        <f>Perhitungan!T$4+Perhitungan!T$3*Return!$B154</f>
        <v>-2.023194174402259E-2</v>
      </c>
      <c r="V154">
        <f>Perhitungan!U$4+Perhitungan!U$3*Return!$B154</f>
        <v>-1.7183833584707743E-2</v>
      </c>
      <c r="W154">
        <f>Perhitungan!V$4+Perhitungan!V$3*Return!$B154</f>
        <v>-3.322037846694724E-2</v>
      </c>
      <c r="X154">
        <f>Perhitungan!W$4+Perhitungan!W$3*Return!$B154</f>
        <v>-2.4343647881814336E-2</v>
      </c>
      <c r="Y154">
        <f>Perhitungan!X$4+Perhitungan!X$3*Return!$B154</f>
        <v>-1.647464234022927E-2</v>
      </c>
      <c r="Z154">
        <f>Perhitungan!Y$4+Perhitungan!Y$3*Return!$B154</f>
        <v>-1.5545196276569605E-2</v>
      </c>
      <c r="AA154">
        <f>Perhitungan!Z$4+Perhitungan!Z$3*Return!$B154</f>
        <v>-1.9339689249776817E-2</v>
      </c>
      <c r="AB154">
        <f>Perhitungan!AA$4+Perhitungan!AA$3*Return!$B154</f>
        <v>-2.0552246739487776E-2</v>
      </c>
      <c r="AC154">
        <f>Perhitungan!AB$4+Perhitungan!AB$3*Return!$B154</f>
        <v>-1.4978867887313228E-2</v>
      </c>
      <c r="AD154">
        <f>Perhitungan!AC$4+Perhitungan!AC$3*Return!$B154</f>
        <v>-1.8346894917557952E-2</v>
      </c>
      <c r="AE154">
        <f>Perhitungan!AD$4+Perhitungan!AD$3*Return!$B154</f>
        <v>-1.4291038071739526E-2</v>
      </c>
      <c r="AF154">
        <f>Perhitungan!AE$4+Perhitungan!AE$3*Return!$B154</f>
        <v>17.205313563397244</v>
      </c>
    </row>
    <row r="155" spans="1:32" x14ac:dyDescent="0.3">
      <c r="A155" s="4" t="s">
        <v>95</v>
      </c>
      <c r="C155">
        <f>Perhitungan!B$4+Perhitungan!B$3*Return!$B155</f>
        <v>-4.2339294957026829E-3</v>
      </c>
      <c r="D155">
        <f>Perhitungan!C$4+Perhitungan!C$3*Return!$B155</f>
        <v>-1.7874221633003328E-3</v>
      </c>
      <c r="E155">
        <f>Perhitungan!D$4+Perhitungan!D$3*Return!$B155</f>
        <v>-2.8794559235778118E-3</v>
      </c>
      <c r="F155">
        <f>Perhitungan!E$4+Perhitungan!E$3*Return!$B155</f>
        <v>-2.6686173640313193E-3</v>
      </c>
      <c r="G155">
        <f>Perhitungan!F$4+Perhitungan!F$3*Return!$B155</f>
        <v>-1.1034920067835049E-3</v>
      </c>
      <c r="H155">
        <f>Perhitungan!G$4+Perhitungan!G$3*Return!$B155</f>
        <v>-1.5796798580707627E-3</v>
      </c>
      <c r="I155">
        <f>Perhitungan!H$4+Perhitungan!H$3*Return!$B155</f>
        <v>-3.1454601999821429E-3</v>
      </c>
      <c r="J155">
        <f>Perhitungan!I$4+Perhitungan!I$3*Return!$B155</f>
        <v>-9.2757932160047693E-4</v>
      </c>
      <c r="K155">
        <f>Perhitungan!J$4+Perhitungan!J$3*Return!$B155</f>
        <v>-1.5227126037415468E-3</v>
      </c>
      <c r="L155">
        <f>Perhitungan!K$4+Perhitungan!K$3*Return!$B155</f>
        <v>-1.5818930558275104E-3</v>
      </c>
      <c r="M155">
        <f>Perhitungan!L$4+Perhitungan!L$3*Return!$B155</f>
        <v>2.1843382496792582E-3</v>
      </c>
      <c r="N155">
        <f>Perhitungan!M$4+Perhitungan!M$3*Return!$B155</f>
        <v>-6.464884162666296E-3</v>
      </c>
      <c r="O155">
        <f>Perhitungan!N$4+Perhitungan!N$3*Return!$B155</f>
        <v>-1.8769798091168317E-3</v>
      </c>
      <c r="P155">
        <f>Perhitungan!O$4+Perhitungan!O$3*Return!$B155</f>
        <v>-4.5372966675970468E-3</v>
      </c>
      <c r="Q155">
        <f>Perhitungan!P$4+Perhitungan!P$3*Return!$B155</f>
        <v>-1.2064095815489226E-3</v>
      </c>
      <c r="R155">
        <f>Perhitungan!Q$4+Perhitungan!Q$3*Return!$B155</f>
        <v>-2.6093240951996829E-3</v>
      </c>
      <c r="S155">
        <f>Perhitungan!R$4+Perhitungan!R$3*Return!$B155</f>
        <v>-1.7381759920511316E-3</v>
      </c>
      <c r="T155">
        <f>Perhitungan!S$4+Perhitungan!S$3*Return!$B155</f>
        <v>-6.0886096473413581E-4</v>
      </c>
      <c r="U155">
        <f>Perhitungan!T$4+Perhitungan!T$3*Return!$B155</f>
        <v>-3.0669314614049934E-3</v>
      </c>
      <c r="V155">
        <f>Perhitungan!U$4+Perhitungan!U$3*Return!$B155</f>
        <v>-2.8035775498150648E-3</v>
      </c>
      <c r="W155">
        <f>Perhitungan!V$4+Perhitungan!V$3*Return!$B155</f>
        <v>-3.4915026305146549E-3</v>
      </c>
      <c r="X155">
        <f>Perhitungan!W$4+Perhitungan!W$3*Return!$B155</f>
        <v>-7.7093852592030436E-3</v>
      </c>
      <c r="Y155">
        <f>Perhitungan!X$4+Perhitungan!X$3*Return!$B155</f>
        <v>-4.0028706779833573E-3</v>
      </c>
      <c r="Z155">
        <f>Perhitungan!Y$4+Perhitungan!Y$3*Return!$B155</f>
        <v>-3.3823576573669646E-3</v>
      </c>
      <c r="AA155">
        <f>Perhitungan!Z$4+Perhitungan!Z$3*Return!$B155</f>
        <v>-1.1263362110294191E-3</v>
      </c>
      <c r="AB155">
        <f>Perhitungan!AA$4+Perhitungan!AA$3*Return!$B155</f>
        <v>-4.0564204615783197E-3</v>
      </c>
      <c r="AC155">
        <f>Perhitungan!AB$4+Perhitungan!AB$3*Return!$B155</f>
        <v>-1.4686264688341419E-3</v>
      </c>
      <c r="AD155">
        <f>Perhitungan!AC$4+Perhitungan!AC$3*Return!$B155</f>
        <v>-3.3148714655892001E-3</v>
      </c>
      <c r="AE155">
        <f>Perhitungan!AD$4+Perhitungan!AD$3*Return!$B155</f>
        <v>-2.3385748862522438E-3</v>
      </c>
      <c r="AF155">
        <f>Perhitungan!AE$4+Perhitungan!AE$3*Return!$B155</f>
        <v>16.76485267802828</v>
      </c>
    </row>
    <row r="156" spans="1:32" x14ac:dyDescent="0.3">
      <c r="A156" s="3" t="s">
        <v>96</v>
      </c>
      <c r="C156">
        <f>Perhitungan!B$4+Perhitungan!B$3*Return!$B156</f>
        <v>6.1720232636492851E-3</v>
      </c>
      <c r="D156">
        <f>Perhitungan!C$4+Perhitungan!C$3*Return!$B156</f>
        <v>1.0125505713444952E-2</v>
      </c>
      <c r="E156">
        <f>Perhitungan!D$4+Perhitungan!D$3*Return!$B156</f>
        <v>8.9762162245185014E-3</v>
      </c>
      <c r="F156">
        <f>Perhitungan!E$4+Perhitungan!E$3*Return!$B156</f>
        <v>7.5923442581084782E-3</v>
      </c>
      <c r="G156">
        <f>Perhitungan!F$4+Perhitungan!F$3*Return!$B156</f>
        <v>9.8096717296231439E-3</v>
      </c>
      <c r="H156">
        <f>Perhitungan!G$4+Perhitungan!G$3*Return!$B156</f>
        <v>6.5705480896492896E-3</v>
      </c>
      <c r="I156">
        <f>Perhitungan!H$4+Perhitungan!H$3*Return!$B156</f>
        <v>1.9887520946840101E-3</v>
      </c>
      <c r="J156">
        <f>Perhitungan!I$4+Perhitungan!I$3*Return!$B156</f>
        <v>2.552390354402934E-3</v>
      </c>
      <c r="K156">
        <f>Perhitungan!J$4+Perhitungan!J$3*Return!$B156</f>
        <v>9.8811486803059324E-3</v>
      </c>
      <c r="L156">
        <f>Perhitungan!K$4+Perhitungan!K$3*Return!$B156</f>
        <v>2.8189088701023198E-3</v>
      </c>
      <c r="M156">
        <f>Perhitungan!L$4+Perhitungan!L$3*Return!$B156</f>
        <v>1.3938217233394758E-2</v>
      </c>
      <c r="N156">
        <f>Perhitungan!M$4+Perhitungan!M$3*Return!$B156</f>
        <v>1.0579336841646666E-2</v>
      </c>
      <c r="O156">
        <f>Perhitungan!N$4+Perhitungan!N$3*Return!$B156</f>
        <v>4.3399850259798495E-3</v>
      </c>
      <c r="P156">
        <f>Perhitungan!O$4+Perhitungan!O$3*Return!$B156</f>
        <v>6.1174698014143545E-3</v>
      </c>
      <c r="Q156">
        <f>Perhitungan!P$4+Perhitungan!P$3*Return!$B156</f>
        <v>1.1676582255778174E-2</v>
      </c>
      <c r="R156">
        <f>Perhitungan!Q$4+Perhitungan!Q$3*Return!$B156</f>
        <v>4.4837233024366662E-3</v>
      </c>
      <c r="S156">
        <f>Perhitungan!R$4+Perhitungan!R$3*Return!$B156</f>
        <v>4.8521932471336481E-3</v>
      </c>
      <c r="T156">
        <f>Perhitungan!S$4+Perhitungan!S$3*Return!$B156</f>
        <v>6.3146135764249626E-3</v>
      </c>
      <c r="U156">
        <f>Perhitungan!T$4+Perhitungan!T$3*Return!$B156</f>
        <v>1.0206621453837888E-2</v>
      </c>
      <c r="V156">
        <f>Perhitungan!U$4+Perhitungan!U$3*Return!$B156</f>
        <v>8.3165491655870991E-3</v>
      </c>
      <c r="W156">
        <f>Perhitungan!V$4+Perhitungan!V$3*Return!$B156</f>
        <v>1.9497578064949821E-2</v>
      </c>
      <c r="X156">
        <f>Perhitungan!W$4+Perhitungan!W$3*Return!$B156</f>
        <v>5.1537451142678074E-3</v>
      </c>
      <c r="Y156">
        <f>Perhitungan!X$4+Perhitungan!X$3*Return!$B156</f>
        <v>5.6414416981816103E-3</v>
      </c>
      <c r="Z156">
        <f>Perhitungan!Y$4+Perhitungan!Y$3*Return!$B156</f>
        <v>6.0230594879425656E-3</v>
      </c>
      <c r="AA156">
        <f>Perhitungan!Z$4+Perhitungan!Z$3*Return!$B156</f>
        <v>1.295789102468806E-2</v>
      </c>
      <c r="AB156">
        <f>Perhitungan!AA$4+Perhitungan!AA$3*Return!$B156</f>
        <v>8.6996582925495791E-3</v>
      </c>
      <c r="AC156">
        <f>Perhitungan!AB$4+Perhitungan!AB$3*Return!$B156</f>
        <v>8.9787255229959069E-3</v>
      </c>
      <c r="AD156">
        <f>Perhitungan!AC$4+Perhitungan!AC$3*Return!$B156</f>
        <v>8.3092613154400405E-3</v>
      </c>
      <c r="AE156">
        <f>Perhitungan!AD$4+Perhitungan!AD$3*Return!$B156</f>
        <v>6.9041607688914595E-3</v>
      </c>
      <c r="AF156">
        <f>Perhitungan!AE$4+Perhitungan!AE$3*Return!$B156</f>
        <v>16.424248112532613</v>
      </c>
    </row>
    <row r="157" spans="1:32" x14ac:dyDescent="0.3">
      <c r="A157" s="4" t="s">
        <v>97</v>
      </c>
      <c r="C157">
        <f>Perhitungan!B$4+Perhitungan!B$3*Return!$B157</f>
        <v>2.3741563137675984E-4</v>
      </c>
      <c r="D157">
        <f>Perhitungan!C$4+Perhitungan!C$3*Return!$B157</f>
        <v>3.3314567363816106E-3</v>
      </c>
      <c r="E157">
        <f>Perhitungan!D$4+Perhitungan!D$3*Return!$B157</f>
        <v>2.2148206999634979E-3</v>
      </c>
      <c r="F157">
        <f>Perhitungan!E$4+Perhitungan!E$3*Return!$B157</f>
        <v>1.7404263640473736E-3</v>
      </c>
      <c r="G157">
        <f>Perhitungan!F$4+Perhitungan!F$3*Return!$B157</f>
        <v>3.5857971551289279E-3</v>
      </c>
      <c r="H157">
        <f>Perhitungan!G$4+Perhitungan!G$3*Return!$B157</f>
        <v>1.9224004282224264E-3</v>
      </c>
      <c r="I157">
        <f>Perhitungan!H$4+Perhitungan!H$3*Return!$B157</f>
        <v>-9.3933495070929222E-4</v>
      </c>
      <c r="J157">
        <f>Perhitungan!I$4+Perhitungan!I$3*Return!$B157</f>
        <v>5.6773262272850054E-4</v>
      </c>
      <c r="K157">
        <f>Perhitungan!J$4+Perhitungan!J$3*Return!$B157</f>
        <v>3.37742491960918E-3</v>
      </c>
      <c r="L157">
        <f>Perhitungan!K$4+Perhitungan!K$3*Return!$B157</f>
        <v>3.0909229667312814E-4</v>
      </c>
      <c r="M157">
        <f>Perhitungan!L$4+Perhitungan!L$3*Return!$B157</f>
        <v>7.2348752580166549E-3</v>
      </c>
      <c r="N157">
        <f>Perhitungan!M$4+Perhitungan!M$3*Return!$B157</f>
        <v>8.5886564621193238E-4</v>
      </c>
      <c r="O157">
        <f>Perhitungan!N$4+Perhitungan!N$3*Return!$B157</f>
        <v>7.9439455356718029E-4</v>
      </c>
      <c r="P157">
        <f>Perhitungan!O$4+Perhitungan!O$3*Return!$B157</f>
        <v>4.0961492240152884E-5</v>
      </c>
      <c r="Q157">
        <f>Perhitungan!P$4+Perhitungan!P$3*Return!$B157</f>
        <v>4.3292971534510992E-3</v>
      </c>
      <c r="R157">
        <f>Perhitungan!Q$4+Perhitungan!Q$3*Return!$B157</f>
        <v>4.3849513394891263E-4</v>
      </c>
      <c r="S157">
        <f>Perhitungan!R$4+Perhitungan!R$3*Return!$B157</f>
        <v>1.093646914006173E-3</v>
      </c>
      <c r="T157">
        <f>Perhitungan!S$4+Perhitungan!S$3*Return!$B157</f>
        <v>2.3660943198022684E-3</v>
      </c>
      <c r="U157">
        <f>Perhitungan!T$4+Perhitungan!T$3*Return!$B157</f>
        <v>2.6365958867528376E-3</v>
      </c>
      <c r="V157">
        <f>Perhitungan!U$4+Perhitungan!U$3*Return!$B157</f>
        <v>1.9746417590063826E-3</v>
      </c>
      <c r="W157">
        <f>Perhitungan!V$4+Perhitungan!V$3*Return!$B157</f>
        <v>6.3867003866305587E-3</v>
      </c>
      <c r="X157">
        <f>Perhitungan!W$4+Perhitungan!W$3*Return!$B157</f>
        <v>-2.1822128181484247E-3</v>
      </c>
      <c r="Y157">
        <f>Perhitungan!X$4+Perhitungan!X$3*Return!$B157</f>
        <v>1.4120436679732713E-4</v>
      </c>
      <c r="Z157">
        <f>Perhitungan!Y$4+Perhitungan!Y$3*Return!$B157</f>
        <v>6.5906623657046898E-4</v>
      </c>
      <c r="AA157">
        <f>Perhitungan!Z$4+Perhitungan!Z$3*Return!$B157</f>
        <v>4.9255306651206816E-3</v>
      </c>
      <c r="AB157">
        <f>Perhitungan!AA$4+Perhitungan!AA$3*Return!$B157</f>
        <v>1.4247528530565779E-3</v>
      </c>
      <c r="AC157">
        <f>Perhitungan!AB$4+Perhitungan!AB$3*Return!$B157</f>
        <v>3.0205075393488915E-3</v>
      </c>
      <c r="AD157">
        <f>Perhitungan!AC$4+Perhitungan!AC$3*Return!$B157</f>
        <v>1.6799147561979803E-3</v>
      </c>
      <c r="AE157">
        <f>Perhitungan!AD$4+Perhitungan!AD$3*Return!$B157</f>
        <v>1.632946221737477E-3</v>
      </c>
      <c r="AF157">
        <f>Perhitungan!AE$4+Perhitungan!AE$3*Return!$B157</f>
        <v>16.618497932873268</v>
      </c>
    </row>
    <row r="158" spans="1:32" x14ac:dyDescent="0.3">
      <c r="A158" s="3" t="s">
        <v>98</v>
      </c>
      <c r="C158">
        <f>Perhitungan!B$4+Perhitungan!B$3*Return!$B158</f>
        <v>-3.7571956385346762E-3</v>
      </c>
      <c r="D158">
        <f>Perhitungan!C$4+Perhitungan!C$3*Return!$B158</f>
        <v>-1.2416483943639895E-3</v>
      </c>
      <c r="E158">
        <f>Perhitungan!D$4+Perhitungan!D$3*Return!$B158</f>
        <v>-2.3363052440399153E-3</v>
      </c>
      <c r="F158">
        <f>Perhitungan!E$4+Perhitungan!E$3*Return!$B158</f>
        <v>-2.1985260686447124E-3</v>
      </c>
      <c r="G158">
        <f>Perhitungan!F$4+Perhitungan!F$3*Return!$B158</f>
        <v>-6.0352100342800233E-4</v>
      </c>
      <c r="H158">
        <f>Perhitungan!G$4+Perhitungan!G$3*Return!$B158</f>
        <v>-1.2062888100647902E-3</v>
      </c>
      <c r="I158">
        <f>Perhitungan!H$4+Perhitungan!H$3*Return!$B158</f>
        <v>-2.9102435996995919E-3</v>
      </c>
      <c r="J158">
        <f>Perhitungan!I$4+Perhitungan!I$3*Return!$B158</f>
        <v>-7.6814948323437199E-4</v>
      </c>
      <c r="K158">
        <f>Perhitungan!J$4+Perhitungan!J$3*Return!$B158</f>
        <v>-1.0002609933720005E-3</v>
      </c>
      <c r="L158">
        <f>Perhitungan!K$4+Perhitungan!K$3*Return!$B158</f>
        <v>-1.3802766036583025E-3</v>
      </c>
      <c r="M158">
        <f>Perhitungan!L$4+Perhitungan!L$3*Return!$B158</f>
        <v>2.7228254208377816E-3</v>
      </c>
      <c r="N158">
        <f>Perhitungan!M$4+Perhitungan!M$3*Return!$B158</f>
        <v>-5.6840275309169791E-3</v>
      </c>
      <c r="O158">
        <f>Perhitungan!N$4+Perhitungan!N$3*Return!$B158</f>
        <v>-1.5921584482808558E-3</v>
      </c>
      <c r="P158">
        <f>Perhitungan!O$4+Perhitungan!O$3*Return!$B158</f>
        <v>-4.0491637658374114E-3</v>
      </c>
      <c r="Q158">
        <f>Perhitungan!P$4+Perhitungan!P$3*Return!$B158</f>
        <v>-6.1619371833032156E-4</v>
      </c>
      <c r="R158">
        <f>Perhitungan!Q$4+Perhitungan!Q$3*Return!$B158</f>
        <v>-2.2843662635478258E-3</v>
      </c>
      <c r="S158">
        <f>Perhitungan!R$4+Perhitungan!R$3*Return!$B158</f>
        <v>-1.4362476419791672E-3</v>
      </c>
      <c r="T158">
        <f>Perhitungan!S$4+Perhitungan!S$3*Return!$B158</f>
        <v>-2.9167187120832322E-4</v>
      </c>
      <c r="U158">
        <f>Perhitungan!T$4+Perhitungan!T$3*Return!$B158</f>
        <v>-2.4588226004532295E-3</v>
      </c>
      <c r="V158">
        <f>Perhitungan!U$4+Perhitungan!U$3*Return!$B158</f>
        <v>-2.2941248332950621E-3</v>
      </c>
      <c r="W158">
        <f>Perhitungan!V$4+Perhitungan!V$3*Return!$B158</f>
        <v>-2.4382907463029232E-3</v>
      </c>
      <c r="X158">
        <f>Perhitungan!W$4+Perhitungan!W$3*Return!$B158</f>
        <v>-7.1200793205720477E-3</v>
      </c>
      <c r="Y158">
        <f>Perhitungan!X$4+Perhitungan!X$3*Return!$B158</f>
        <v>-3.5610302867044139E-3</v>
      </c>
      <c r="Z158">
        <f>Perhitungan!Y$4+Perhitungan!Y$3*Return!$B158</f>
        <v>-2.95146190974522E-3</v>
      </c>
      <c r="AA158">
        <f>Perhitungan!Z$4+Perhitungan!Z$3*Return!$B158</f>
        <v>-4.8108746441369483E-4</v>
      </c>
      <c r="AB158">
        <f>Perhitungan!AA$4+Perhitungan!AA$3*Return!$B158</f>
        <v>-3.4720189399272666E-3</v>
      </c>
      <c r="AC158">
        <f>Perhitungan!AB$4+Perhitungan!AB$3*Return!$B158</f>
        <v>-9.8999596498326996E-4</v>
      </c>
      <c r="AD158">
        <f>Perhitungan!AC$4+Perhitungan!AC$3*Return!$B158</f>
        <v>-2.7823284313194334E-3</v>
      </c>
      <c r="AE158">
        <f>Perhitungan!AD$4+Perhitungan!AD$3*Return!$B158</f>
        <v>-1.9151321586556855E-3</v>
      </c>
      <c r="AF158">
        <f>Perhitungan!AE$4+Perhitungan!AE$3*Return!$B158</f>
        <v>16.749248366531493</v>
      </c>
    </row>
    <row r="159" spans="1:32" x14ac:dyDescent="0.3">
      <c r="A159" s="2">
        <v>45727</v>
      </c>
      <c r="C159">
        <f>Perhitungan!B$4+Perhitungan!B$3*Return!$B159</f>
        <v>1.0061097002909136E-2</v>
      </c>
      <c r="D159">
        <f>Perhitungan!C$4+Perhitungan!C$3*Return!$B159</f>
        <v>1.4577789520087172E-2</v>
      </c>
      <c r="E159">
        <f>Perhitungan!D$4+Perhitungan!D$3*Return!$B159</f>
        <v>1.3407101533986998E-2</v>
      </c>
      <c r="F159">
        <f>Perhitungan!E$4+Perhitungan!E$3*Return!$B159</f>
        <v>1.1427229665247514E-2</v>
      </c>
      <c r="G159">
        <f>Perhitungan!F$4+Perhitungan!F$3*Return!$B159</f>
        <v>1.3888308206360821E-2</v>
      </c>
      <c r="H159">
        <f>Perhitungan!G$4+Perhitungan!G$3*Return!$B159</f>
        <v>9.6165774358783866E-3</v>
      </c>
      <c r="I159">
        <f>Perhitungan!H$4+Perhitungan!H$3*Return!$B159</f>
        <v>3.90758938606286E-3</v>
      </c>
      <c r="J159">
        <f>Perhitungan!I$4+Perhitungan!I$3*Return!$B159</f>
        <v>3.8529784882672183E-3</v>
      </c>
      <c r="K159">
        <f>Perhitungan!J$4+Perhitungan!J$3*Return!$B159</f>
        <v>1.4143176240069054E-2</v>
      </c>
      <c r="L159">
        <f>Perhitungan!K$4+Perhitungan!K$3*Return!$B159</f>
        <v>4.4636446859973476E-3</v>
      </c>
      <c r="M159">
        <f>Perhitungan!L$4+Perhitungan!L$3*Return!$B159</f>
        <v>1.8331058825811607E-2</v>
      </c>
      <c r="N159">
        <f>Perhitungan!M$4+Perhitungan!M$3*Return!$B159</f>
        <v>1.6949366943353823E-2</v>
      </c>
      <c r="O159">
        <f>Perhitungan!N$4+Perhitungan!N$3*Return!$B159</f>
        <v>6.6634853567253596E-3</v>
      </c>
      <c r="P159">
        <f>Perhitungan!O$4+Perhitungan!O$3*Return!$B159</f>
        <v>1.0099534051642524E-2</v>
      </c>
      <c r="Q159">
        <f>Perhitungan!P$4+Perhitungan!P$3*Return!$B159</f>
        <v>1.6491413381416301E-2</v>
      </c>
      <c r="R159">
        <f>Perhitungan!Q$4+Perhitungan!Q$3*Return!$B159</f>
        <v>7.1346467693610763E-3</v>
      </c>
      <c r="S159">
        <f>Perhitungan!R$4+Perhitungan!R$3*Return!$B159</f>
        <v>7.3152480517122134E-3</v>
      </c>
      <c r="T159">
        <f>Perhitungan!S$4+Perhitungan!S$3*Return!$B159</f>
        <v>8.9021616506036894E-3</v>
      </c>
      <c r="U159">
        <f>Perhitungan!T$4+Perhitungan!T$3*Return!$B159</f>
        <v>1.5167419111020592E-2</v>
      </c>
      <c r="V159">
        <f>Perhitungan!U$4+Perhitungan!U$3*Return!$B159</f>
        <v>1.2472535050420739E-2</v>
      </c>
      <c r="W159">
        <f>Perhitungan!V$4+Perhitungan!V$3*Return!$B159</f>
        <v>2.8089413151084139E-2</v>
      </c>
      <c r="X159">
        <f>Perhitungan!W$4+Perhitungan!W$3*Return!$B159</f>
        <v>9.961153306197422E-3</v>
      </c>
      <c r="Y159">
        <f>Perhitungan!X$4+Perhitungan!X$3*Return!$B159</f>
        <v>9.245863403983947E-3</v>
      </c>
      <c r="Z159">
        <f>Perhitungan!Y$4+Perhitungan!Y$3*Return!$B159</f>
        <v>9.5381975702036239E-3</v>
      </c>
      <c r="AA159">
        <f>Perhitungan!Z$4+Perhitungan!Z$3*Return!$B159</f>
        <v>1.822166643736909E-2</v>
      </c>
      <c r="AB159">
        <f>Perhitungan!AA$4+Perhitungan!AA$3*Return!$B159</f>
        <v>1.3467057496243325E-2</v>
      </c>
      <c r="AC159">
        <f>Perhitungan!AB$4+Perhitungan!AB$3*Return!$B159</f>
        <v>1.2883271624237348E-2</v>
      </c>
      <c r="AD159">
        <f>Perhitungan!AC$4+Perhitungan!AC$3*Return!$B159</f>
        <v>1.2653612148643868E-2</v>
      </c>
      <c r="AE159">
        <f>Perhitungan!AD$4+Perhitungan!AD$3*Return!$B159</f>
        <v>1.0358499006496392E-2</v>
      </c>
      <c r="AF159">
        <f>Perhitungan!AE$4+Perhitungan!AE$3*Return!$B159</f>
        <v>16.296952102087943</v>
      </c>
    </row>
    <row r="160" spans="1:32" x14ac:dyDescent="0.3">
      <c r="A160" s="1">
        <v>45758</v>
      </c>
      <c r="C160">
        <f>Perhitungan!B$4+Perhitungan!B$3*Return!$B160</f>
        <v>-5.0823123242610211E-3</v>
      </c>
      <c r="D160">
        <f>Perhitungan!C$4+Perhitungan!C$3*Return!$B160</f>
        <v>-2.7586665733233921E-3</v>
      </c>
      <c r="E160">
        <f>Perhitungan!D$4+Perhitungan!D$3*Return!$B160</f>
        <v>-3.8460323538256676E-3</v>
      </c>
      <c r="F160">
        <f>Perhitungan!E$4+Perhitungan!E$3*Return!$B160</f>
        <v>-3.5051792672069803E-3</v>
      </c>
      <c r="G160">
        <f>Perhitungan!F$4+Perhitungan!F$3*Return!$B160</f>
        <v>-1.9932270395408053E-3</v>
      </c>
      <c r="H160">
        <f>Perhitungan!G$4+Perhitungan!G$3*Return!$B160</f>
        <v>-2.2441565859194247E-3</v>
      </c>
      <c r="I160">
        <f>Perhitungan!H$4+Perhitungan!H$3*Return!$B160</f>
        <v>-3.5640453742280345E-3</v>
      </c>
      <c r="J160">
        <f>Perhitungan!I$4+Perhitungan!I$3*Return!$B160</f>
        <v>-1.2112964002093242E-3</v>
      </c>
      <c r="K160">
        <f>Perhitungan!J$4+Perhitungan!J$3*Return!$B160</f>
        <v>-2.4524535238079201E-3</v>
      </c>
      <c r="L160">
        <f>Perhitungan!K$4+Perhitungan!K$3*Return!$B160</f>
        <v>-1.9406843046624548E-3</v>
      </c>
      <c r="M160">
        <f>Perhitungan!L$4+Perhitungan!L$3*Return!$B160</f>
        <v>1.2260608742822609E-3</v>
      </c>
      <c r="N160">
        <f>Perhitungan!M$4+Perhitungan!M$3*Return!$B160</f>
        <v>-7.8544757513093477E-3</v>
      </c>
      <c r="O160">
        <f>Perhitungan!N$4+Perhitungan!N$3*Return!$B160</f>
        <v>-2.3838402892498878E-3</v>
      </c>
      <c r="P160">
        <f>Perhitungan!O$4+Perhitungan!O$3*Return!$B160</f>
        <v>-5.4059649312007477E-3</v>
      </c>
      <c r="Q160">
        <f>Perhitungan!P$4+Perhitungan!P$3*Return!$B160</f>
        <v>-2.2567419545671315E-3</v>
      </c>
      <c r="R160">
        <f>Perhitungan!Q$4+Perhitungan!Q$3*Return!$B160</f>
        <v>-3.187610365901514E-3</v>
      </c>
      <c r="S160">
        <f>Perhitungan!R$4+Perhitungan!R$3*Return!$B160</f>
        <v>-2.2754796129385692E-3</v>
      </c>
      <c r="T160">
        <f>Perhitungan!S$4+Perhitungan!S$3*Return!$B160</f>
        <v>-1.1733221967343834E-3</v>
      </c>
      <c r="U160">
        <f>Perhitungan!T$4+Perhitungan!T$3*Return!$B160</f>
        <v>-4.1491057348882216E-3</v>
      </c>
      <c r="V160">
        <f>Perhitungan!U$4+Perhitungan!U$3*Return!$B160</f>
        <v>-3.7101859858625417E-3</v>
      </c>
      <c r="W160">
        <f>Perhitungan!V$4+Perhitungan!V$3*Return!$B160</f>
        <v>-5.3657703460629428E-3</v>
      </c>
      <c r="X160">
        <f>Perhitungan!W$4+Perhitungan!W$3*Return!$B160</f>
        <v>-8.7580983547485072E-3</v>
      </c>
      <c r="Y160">
        <f>Perhitungan!X$4+Perhitungan!X$3*Return!$B160</f>
        <v>-4.7891580273889834E-3</v>
      </c>
      <c r="Z160">
        <f>Perhitungan!Y$4+Perhitungan!Y$3*Return!$B160</f>
        <v>-4.1491682114834618E-3</v>
      </c>
      <c r="AA160">
        <f>Perhitungan!Z$4+Perhitungan!Z$3*Return!$B160</f>
        <v>-2.2746036322473179E-3</v>
      </c>
      <c r="AB160">
        <f>Perhitungan!AA$4+Perhitungan!AA$3*Return!$B160</f>
        <v>-5.0964057877671233E-3</v>
      </c>
      <c r="AC160">
        <f>Perhitungan!AB$4+Perhitungan!AB$3*Return!$B160</f>
        <v>-2.3203845191297036E-3</v>
      </c>
      <c r="AD160">
        <f>Perhitungan!AC$4+Perhitungan!AC$3*Return!$B160</f>
        <v>-4.2625708138727507E-3</v>
      </c>
      <c r="AE160">
        <f>Perhitungan!AD$4+Perhitungan!AD$3*Return!$B160</f>
        <v>-3.0921222451599285E-3</v>
      </c>
      <c r="AF160">
        <f>Perhitungan!AE$4+Perhitungan!AE$3*Return!$B160</f>
        <v>16.792621693646328</v>
      </c>
    </row>
    <row r="161" spans="1:32" x14ac:dyDescent="0.3">
      <c r="A161" s="2">
        <v>45788</v>
      </c>
      <c r="C161">
        <f>Perhitungan!B$4+Perhitungan!B$3*Return!$B161</f>
        <v>6.3463371144837979E-3</v>
      </c>
      <c r="D161">
        <f>Perhitungan!C$4+Perhitungan!C$3*Return!$B161</f>
        <v>1.0325063445536619E-2</v>
      </c>
      <c r="E161">
        <f>Perhitungan!D$4+Perhitungan!D$3*Return!$B161</f>
        <v>9.1748148453424209E-3</v>
      </c>
      <c r="F161">
        <f>Perhitungan!E$4+Perhitungan!E$3*Return!$B161</f>
        <v>7.7642293103458038E-3</v>
      </c>
      <c r="G161">
        <f>Perhitungan!F$4+Perhitungan!F$3*Return!$B161</f>
        <v>9.9924820536437843E-3</v>
      </c>
      <c r="H161">
        <f>Perhitungan!G$4+Perhitungan!G$3*Return!$B161</f>
        <v>6.7070754842666978E-3</v>
      </c>
      <c r="I161">
        <f>Perhitungan!H$4+Perhitungan!H$3*Return!$B161</f>
        <v>2.0747571282241487E-3</v>
      </c>
      <c r="J161">
        <f>Perhitungan!I$4+Perhitungan!I$3*Return!$B161</f>
        <v>2.6106845758970994E-3</v>
      </c>
      <c r="K161">
        <f>Perhitungan!J$4+Perhitungan!J$3*Return!$B161</f>
        <v>1.0072178855127593E-2</v>
      </c>
      <c r="L161">
        <f>Perhitungan!K$4+Perhitungan!K$3*Return!$B161</f>
        <v>2.8926282832314396E-3</v>
      </c>
      <c r="M161">
        <f>Perhitungan!L$4+Perhitungan!L$3*Return!$B161</f>
        <v>1.4135110680374225E-2</v>
      </c>
      <c r="N161">
        <f>Perhitungan!M$4+Perhitungan!M$3*Return!$B161</f>
        <v>1.0864850707262303E-2</v>
      </c>
      <c r="O161">
        <f>Perhitungan!N$4+Perhitungan!N$3*Return!$B161</f>
        <v>4.4441276360771831E-3</v>
      </c>
      <c r="P161">
        <f>Perhitungan!O$4+Perhitungan!O$3*Return!$B161</f>
        <v>6.2959516200336704E-3</v>
      </c>
      <c r="Q161">
        <f>Perhitungan!P$4+Perhitungan!P$3*Return!$B161</f>
        <v>1.1892389877566181E-2</v>
      </c>
      <c r="R161">
        <f>Perhitungan!Q$4+Perhitungan!Q$3*Return!$B161</f>
        <v>4.6025414860885704E-3</v>
      </c>
      <c r="S161">
        <f>Perhitungan!R$4+Perhitungan!R$3*Return!$B161</f>
        <v>4.9625908884713124E-3</v>
      </c>
      <c r="T161">
        <f>Perhitungan!S$4+Perhitungan!S$3*Return!$B161</f>
        <v>6.430591184274425E-3</v>
      </c>
      <c r="U161">
        <f>Perhitungan!T$4+Perhitungan!T$3*Return!$B161</f>
        <v>1.0428971504469461E-2</v>
      </c>
      <c r="V161">
        <f>Perhitungan!U$4+Perhitungan!U$3*Return!$B161</f>
        <v>8.5028264007770658E-3</v>
      </c>
      <c r="W161">
        <f>Perhitungan!V$4+Perhitungan!V$3*Return!$B161</f>
        <v>1.9882676409699689E-2</v>
      </c>
      <c r="X161">
        <f>Perhitungan!W$4+Perhitungan!W$3*Return!$B161</f>
        <v>5.3692200295436801E-3</v>
      </c>
      <c r="Y161">
        <f>Perhitungan!X$4+Perhitungan!X$3*Return!$B161</f>
        <v>5.8029970374973133E-3</v>
      </c>
      <c r="Z161">
        <f>Perhitungan!Y$4+Perhitungan!Y$3*Return!$B161</f>
        <v>6.1806130074730497E-3</v>
      </c>
      <c r="AA161">
        <f>Perhitungan!Z$4+Perhitungan!Z$3*Return!$B161</f>
        <v>1.3193820971927138E-2</v>
      </c>
      <c r="AB161">
        <f>Perhitungan!AA$4+Perhitungan!AA$3*Return!$B161</f>
        <v>8.9133399477139275E-3</v>
      </c>
      <c r="AC161">
        <f>Perhitungan!AB$4+Perhitungan!AB$3*Return!$B161</f>
        <v>9.1537328672376787E-3</v>
      </c>
      <c r="AD161">
        <f>Perhitungan!AC$4+Perhitungan!AC$3*Return!$B161</f>
        <v>8.5039813371941171E-3</v>
      </c>
      <c r="AE161">
        <f>Perhitungan!AD$4+Perhitungan!AD$3*Return!$B161</f>
        <v>7.0589891523708684E-3</v>
      </c>
      <c r="AF161">
        <f>Perhitungan!AE$4+Perhitungan!AE$3*Return!$B161</f>
        <v>16.418542523165026</v>
      </c>
    </row>
    <row r="162" spans="1:32" x14ac:dyDescent="0.3">
      <c r="A162" s="1">
        <v>45819</v>
      </c>
      <c r="C162">
        <f>Perhitungan!B$4+Perhitungan!B$3*Return!$B162</f>
        <v>2.7430716339192358E-4</v>
      </c>
      <c r="D162">
        <f>Perhitungan!C$4+Perhitungan!C$3*Return!$B162</f>
        <v>3.3736908470222066E-3</v>
      </c>
      <c r="E162">
        <f>Perhitungan!D$4+Perhitungan!D$3*Return!$B162</f>
        <v>2.2568518256785089E-3</v>
      </c>
      <c r="F162">
        <f>Perhitungan!E$4+Perhitungan!E$3*Return!$B162</f>
        <v>1.7768038686299631E-3</v>
      </c>
      <c r="G162">
        <f>Perhitungan!F$4+Perhitungan!F$3*Return!$B162</f>
        <v>3.6244868684765638E-3</v>
      </c>
      <c r="H162">
        <f>Perhitungan!G$4+Perhitungan!G$3*Return!$B162</f>
        <v>1.9512948891350975E-3</v>
      </c>
      <c r="I162">
        <f>Perhitungan!H$4+Perhitungan!H$3*Return!$B162</f>
        <v>-9.2113296943745736E-4</v>
      </c>
      <c r="J162">
        <f>Perhitungan!I$4+Perhitungan!I$3*Return!$B162</f>
        <v>5.8006992770028227E-4</v>
      </c>
      <c r="K162">
        <f>Perhitungan!J$4+Perhitungan!J$3*Return!$B162</f>
        <v>3.4178542703266175E-3</v>
      </c>
      <c r="L162">
        <f>Perhitungan!K$4+Perhitungan!K$3*Return!$B162</f>
        <v>3.2469416695808851E-4</v>
      </c>
      <c r="M162">
        <f>Perhitungan!L$4+Perhitungan!L$3*Return!$B162</f>
        <v>7.2765455031982319E-3</v>
      </c>
      <c r="N162">
        <f>Perhitungan!M$4+Perhitungan!M$3*Return!$B162</f>
        <v>9.1929138899545957E-4</v>
      </c>
      <c r="O162">
        <f>Perhitungan!N$4+Perhitungan!N$3*Return!$B162</f>
        <v>8.1643514538564613E-4</v>
      </c>
      <c r="P162">
        <f>Perhitungan!O$4+Perhitungan!O$3*Return!$B162</f>
        <v>7.8735126946726701E-5</v>
      </c>
      <c r="Q162">
        <f>Perhitungan!P$4+Perhitungan!P$3*Return!$B162</f>
        <v>4.3749703673133002E-3</v>
      </c>
      <c r="R162">
        <f>Perhitungan!Q$4+Perhitungan!Q$3*Return!$B162</f>
        <v>4.6364164299103811E-4</v>
      </c>
      <c r="S162">
        <f>Perhitungan!R$4+Perhitungan!R$3*Return!$B162</f>
        <v>1.1170113116160537E-3</v>
      </c>
      <c r="T162">
        <f>Perhitungan!S$4+Perhitungan!S$3*Return!$B162</f>
        <v>2.3906396534779184E-3</v>
      </c>
      <c r="U162">
        <f>Perhitungan!T$4+Perhitungan!T$3*Return!$B162</f>
        <v>2.6836537308207505E-3</v>
      </c>
      <c r="V162">
        <f>Perhitungan!U$4+Perhitungan!U$3*Return!$B162</f>
        <v>2.014065204434313E-3</v>
      </c>
      <c r="W162">
        <f>Perhitungan!V$4+Perhitungan!V$3*Return!$B162</f>
        <v>6.4682020449687346E-3</v>
      </c>
      <c r="X162">
        <f>Perhitungan!W$4+Perhitungan!W$3*Return!$B162</f>
        <v>-2.1366100178126604E-3</v>
      </c>
      <c r="Y162">
        <f>Perhitungan!X$4+Perhitungan!X$3*Return!$B162</f>
        <v>1.7539570583351236E-4</v>
      </c>
      <c r="Z162">
        <f>Perhitungan!Y$4+Perhitungan!Y$3*Return!$B162</f>
        <v>6.9241063623827655E-4</v>
      </c>
      <c r="AA162">
        <f>Perhitungan!Z$4+Perhitungan!Z$3*Return!$B162</f>
        <v>4.9754625389232376E-3</v>
      </c>
      <c r="AB162">
        <f>Perhitungan!AA$4+Perhitungan!AA$3*Return!$B162</f>
        <v>1.4699761304083736E-3</v>
      </c>
      <c r="AC162">
        <f>Perhitungan!AB$4+Perhitungan!AB$3*Return!$B162</f>
        <v>3.0575458413086907E-3</v>
      </c>
      <c r="AD162">
        <f>Perhitungan!AC$4+Perhitungan!AC$3*Return!$B162</f>
        <v>1.7211250207991202E-3</v>
      </c>
      <c r="AE162">
        <f>Perhitungan!AD$4+Perhitungan!AD$3*Return!$B162</f>
        <v>1.6657138775413138E-3</v>
      </c>
      <c r="AF162">
        <f>Perhitungan!AE$4+Perhitungan!AE$3*Return!$B162</f>
        <v>16.61729041016746</v>
      </c>
    </row>
    <row r="163" spans="1:32" x14ac:dyDescent="0.3">
      <c r="A163" s="2">
        <v>45849</v>
      </c>
      <c r="C163">
        <f>Perhitungan!B$4+Perhitungan!B$3*Return!$B163</f>
        <v>4.2883134457961103E-3</v>
      </c>
      <c r="D163">
        <f>Perhitungan!C$4+Perhitungan!C$3*Return!$B163</f>
        <v>7.9689997480844703E-3</v>
      </c>
      <c r="E163">
        <f>Perhitungan!D$4+Perhitungan!D$3*Return!$B163</f>
        <v>6.8300748245830826E-3</v>
      </c>
      <c r="F163">
        <f>Perhitungan!E$4+Perhitungan!E$3*Return!$B163</f>
        <v>5.7348810737913626E-3</v>
      </c>
      <c r="G163">
        <f>Perhitungan!F$4+Perhitungan!F$3*Return!$B163</f>
        <v>7.8341453987320689E-3</v>
      </c>
      <c r="H163">
        <f>Perhitungan!G$4+Perhitungan!G$3*Return!$B163</f>
        <v>5.0951748337920632E-3</v>
      </c>
      <c r="I163">
        <f>Perhitungan!H$4+Perhitungan!H$3*Return!$B163</f>
        <v>1.0593450206692516E-3</v>
      </c>
      <c r="J163">
        <f>Perhitungan!I$4+Perhitungan!I$3*Return!$B163</f>
        <v>1.9224381341578763E-3</v>
      </c>
      <c r="K163">
        <f>Perhitungan!J$4+Perhitungan!J$3*Return!$B163</f>
        <v>7.8167951358512743E-3</v>
      </c>
      <c r="L163">
        <f>Perhitungan!K$4+Perhitungan!K$3*Return!$B163</f>
        <v>2.022265450128017E-3</v>
      </c>
      <c r="M163">
        <f>Perhitungan!L$4+Perhitungan!L$3*Return!$B163</f>
        <v>1.1810502669287719E-2</v>
      </c>
      <c r="N163">
        <f>Perhitungan!M$4+Perhitungan!M$3*Return!$B163</f>
        <v>7.4939522367022306E-3</v>
      </c>
      <c r="O163">
        <f>Perhitungan!N$4+Perhitungan!N$3*Return!$B163</f>
        <v>3.2145755639202828E-3</v>
      </c>
      <c r="P163">
        <f>Perhitungan!O$4+Perhitungan!O$3*Return!$B163</f>
        <v>4.1887191460193481E-3</v>
      </c>
      <c r="Q163">
        <f>Perhitungan!P$4+Perhitungan!P$3*Return!$B163</f>
        <v>9.3444730516992341E-3</v>
      </c>
      <c r="R163">
        <f>Perhitungan!Q$4+Perhitungan!Q$3*Return!$B163</f>
        <v>3.1997233333403642E-3</v>
      </c>
      <c r="S163">
        <f>Perhitungan!R$4+Perhitungan!R$3*Return!$B163</f>
        <v>3.6591892496887239E-3</v>
      </c>
      <c r="T163">
        <f>Perhitungan!S$4+Perhitungan!S$3*Return!$B163</f>
        <v>5.0613100809697243E-3</v>
      </c>
      <c r="U163">
        <f>Perhitungan!T$4+Perhitungan!T$3*Return!$B163</f>
        <v>7.8038119732965067E-3</v>
      </c>
      <c r="V163">
        <f>Perhitungan!U$4+Perhitungan!U$3*Return!$B163</f>
        <v>6.3035579139451951E-3</v>
      </c>
      <c r="W163">
        <f>Perhitungan!V$4+Perhitungan!V$3*Return!$B163</f>
        <v>1.5336041105198895E-2</v>
      </c>
      <c r="X163">
        <f>Perhitungan!W$4+Perhitungan!W$3*Return!$B163</f>
        <v>2.8252312786599875E-3</v>
      </c>
      <c r="Y163">
        <f>Perhitungan!X$4+Perhitungan!X$3*Return!$B163</f>
        <v>3.8956057973701416E-3</v>
      </c>
      <c r="Z163">
        <f>Perhitungan!Y$4+Perhitungan!Y$3*Return!$B163</f>
        <v>4.3204689585264501E-3</v>
      </c>
      <c r="AA163">
        <f>Perhitungan!Z$4+Perhitungan!Z$3*Return!$B163</f>
        <v>1.0408331389511676E-2</v>
      </c>
      <c r="AB163">
        <f>Perhitungan!AA$4+Perhitungan!AA$3*Return!$B163</f>
        <v>6.3905231905413487E-3</v>
      </c>
      <c r="AC163">
        <f>Perhitungan!AB$4+Perhitungan!AB$3*Return!$B163</f>
        <v>7.0875215196054709E-3</v>
      </c>
      <c r="AD163">
        <f>Perhitungan!AC$4+Perhitungan!AC$3*Return!$B163</f>
        <v>6.2050337112953789E-3</v>
      </c>
      <c r="AE163">
        <f>Perhitungan!AD$4+Perhitungan!AD$3*Return!$B163</f>
        <v>5.2310192219275232E-3</v>
      </c>
      <c r="AF163">
        <f>Perhitungan!AE$4+Perhitungan!AE$3*Return!$B163</f>
        <v>16.485905144701359</v>
      </c>
    </row>
    <row r="164" spans="1:32" x14ac:dyDescent="0.3">
      <c r="A164" s="1">
        <v>45941</v>
      </c>
      <c r="C164">
        <f>Perhitungan!B$4+Perhitungan!B$3*Return!$B164</f>
        <v>-1.9819266083025981E-3</v>
      </c>
      <c r="D164">
        <f>Perhitungan!C$4+Perhitungan!C$3*Return!$B164</f>
        <v>7.9071254442344724E-4</v>
      </c>
      <c r="E164">
        <f>Perhitungan!D$4+Perhitungan!D$3*Return!$B164</f>
        <v>-3.1371220678196986E-4</v>
      </c>
      <c r="F164">
        <f>Perhitungan!E$4+Perhitungan!E$3*Return!$B164</f>
        <v>-4.4799271437652655E-4</v>
      </c>
      <c r="G164">
        <f>Perhitungan!F$4+Perhitungan!F$3*Return!$B164</f>
        <v>1.2582788769993827E-3</v>
      </c>
      <c r="H164">
        <f>Perhitungan!G$4+Perhitungan!G$3*Return!$B164</f>
        <v>1.8415064315260095E-4</v>
      </c>
      <c r="I164">
        <f>Perhitungan!H$4+Perhitungan!H$3*Return!$B164</f>
        <v>-2.0343403266267659E-3</v>
      </c>
      <c r="J164">
        <f>Perhitungan!I$4+Perhitungan!I$3*Return!$B164</f>
        <v>-1.7446214533987047E-4</v>
      </c>
      <c r="K164">
        <f>Perhitungan!J$4+Perhitungan!J$3*Return!$B164</f>
        <v>9.4525252478593318E-4</v>
      </c>
      <c r="L164">
        <f>Perhitungan!K$4+Perhitungan!K$3*Return!$B164</f>
        <v>-6.2949409022937928E-4</v>
      </c>
      <c r="M164">
        <f>Perhitungan!L$4+Perhitungan!L$3*Return!$B164</f>
        <v>4.7280524122954347E-3</v>
      </c>
      <c r="N164">
        <f>Perhitungan!M$4+Perhitungan!M$3*Return!$B164</f>
        <v>-2.7762613327479029E-3</v>
      </c>
      <c r="O164">
        <f>Perhitungan!N$4+Perhitungan!N$3*Return!$B164</f>
        <v>-5.3153618821244366E-4</v>
      </c>
      <c r="P164">
        <f>Perhitungan!O$4+Perhitungan!O$3*Return!$B164</f>
        <v>-2.2314467941942436E-3</v>
      </c>
      <c r="Q164">
        <f>Perhitungan!P$4+Perhitungan!P$3*Return!$B164</f>
        <v>1.5816613896495965E-3</v>
      </c>
      <c r="R164">
        <f>Perhitungan!Q$4+Perhitungan!Q$3*Return!$B164</f>
        <v>-1.0742831826232669E-3</v>
      </c>
      <c r="S164">
        <f>Perhitungan!R$4+Perhitungan!R$3*Return!$B164</f>
        <v>-3.1192210652022299E-4</v>
      </c>
      <c r="T164">
        <f>Perhitungan!S$4+Perhitungan!S$3*Return!$B164</f>
        <v>8.8948186057984753E-4</v>
      </c>
      <c r="U164">
        <f>Perhitungan!T$4+Perhitungan!T$3*Return!$B164</f>
        <v>-1.9433726628716733E-4</v>
      </c>
      <c r="V164">
        <f>Perhitungan!U$4+Perhitungan!U$3*Return!$B164</f>
        <v>-3.9701680035995922E-4</v>
      </c>
      <c r="W164">
        <f>Perhitungan!V$4+Perhitungan!V$3*Return!$B164</f>
        <v>1.4836762216410824E-3</v>
      </c>
      <c r="X164">
        <f>Perhitungan!W$4+Perhitungan!W$3*Return!$B164</f>
        <v>-4.9256126040728978E-3</v>
      </c>
      <c r="Y164">
        <f>Perhitungan!X$4+Perhitungan!X$3*Return!$B164</f>
        <v>-1.9156980931767703E-3</v>
      </c>
      <c r="Z164">
        <f>Perhitungan!Y$4+Perhitungan!Y$3*Return!$B164</f>
        <v>-1.346885552287143E-3</v>
      </c>
      <c r="AA164">
        <f>Perhitungan!Z$4+Perhitungan!Z$3*Return!$B164</f>
        <v>1.9216999597219371E-3</v>
      </c>
      <c r="AB164">
        <f>Perhitungan!AA$4+Perhitungan!AA$3*Return!$B164</f>
        <v>-1.2958153684616116E-3</v>
      </c>
      <c r="AC164">
        <f>Perhitungan!AB$4+Perhitungan!AB$3*Return!$B164</f>
        <v>7.9233582797638821E-4</v>
      </c>
      <c r="AD164">
        <f>Perhitungan!AC$4+Perhitungan!AC$3*Return!$B164</f>
        <v>-7.9923631023317654E-4</v>
      </c>
      <c r="AE164">
        <f>Perhitungan!AD$4+Perhitungan!AD$3*Return!$B164</f>
        <v>-3.3830947430782372E-4</v>
      </c>
      <c r="AF164">
        <f>Perhitungan!AE$4+Perhitungan!AE$3*Return!$B164</f>
        <v>16.691140786124048</v>
      </c>
    </row>
    <row r="165" spans="1:32" x14ac:dyDescent="0.3">
      <c r="A165" s="2">
        <v>45972</v>
      </c>
      <c r="C165">
        <f>Perhitungan!B$4+Perhitungan!B$3*Return!$B165</f>
        <v>-4.1706706217694098E-3</v>
      </c>
      <c r="D165">
        <f>Perhitungan!C$4+Perhitungan!C$3*Return!$B165</f>
        <v>-1.7150022301948382E-3</v>
      </c>
      <c r="E165">
        <f>Perhitungan!D$4+Perhitungan!D$3*Return!$B165</f>
        <v>-2.8073840540282771E-3</v>
      </c>
      <c r="F165">
        <f>Perhitungan!E$4+Perhitungan!E$3*Return!$B165</f>
        <v>-2.6062399063683729E-3</v>
      </c>
      <c r="G165">
        <f>Perhitungan!F$4+Perhitungan!F$3*Return!$B165</f>
        <v>-1.0371497443324206E-3</v>
      </c>
      <c r="H165">
        <f>Perhitungan!G$4+Perhitungan!G$3*Return!$B165</f>
        <v>-1.5301337709228166E-3</v>
      </c>
      <c r="I165">
        <f>Perhitungan!H$4+Perhitungan!H$3*Return!$B165</f>
        <v>-3.1142487870720603E-3</v>
      </c>
      <c r="J165">
        <f>Perhitungan!I$4+Perhitungan!I$3*Return!$B165</f>
        <v>-9.0642422238785831E-4</v>
      </c>
      <c r="K165">
        <f>Perhitungan!J$4+Perhitungan!J$3*Return!$B165</f>
        <v>-1.4533873396352147E-3</v>
      </c>
      <c r="L165">
        <f>Perhitungan!K$4+Perhitungan!K$3*Return!$B165</f>
        <v>-1.5551401211683072E-3</v>
      </c>
      <c r="M165">
        <f>Perhitungan!L$4+Perhitungan!L$3*Return!$B165</f>
        <v>2.2557913079481978E-3</v>
      </c>
      <c r="N165">
        <f>Perhitungan!M$4+Perhitungan!M$3*Return!$B165</f>
        <v>-6.361270562572476E-3</v>
      </c>
      <c r="O165">
        <f>Perhitungan!N$4+Perhitungan!N$3*Return!$B165</f>
        <v>-1.8391862303983883E-3</v>
      </c>
      <c r="P165">
        <f>Perhitungan!O$4+Perhitungan!O$3*Return!$B165</f>
        <v>-4.4725252291292024E-3</v>
      </c>
      <c r="Q165">
        <f>Perhitungan!P$4+Perhitungan!P$3*Return!$B165</f>
        <v>-1.1280925282845357E-3</v>
      </c>
      <c r="R165">
        <f>Perhitungan!Q$4+Perhitungan!Q$3*Return!$B165</f>
        <v>-2.5662047190592755E-3</v>
      </c>
      <c r="S165">
        <f>Perhitungan!R$4+Perhitungan!R$3*Return!$B165</f>
        <v>-1.6981124489507042E-3</v>
      </c>
      <c r="T165">
        <f>Perhitungan!S$4+Perhitungan!S$3*Return!$B165</f>
        <v>-5.6677243970351828E-4</v>
      </c>
      <c r="U165">
        <f>Perhitungan!T$4+Perhitungan!T$3*Return!$B165</f>
        <v>-2.9862401465460676E-3</v>
      </c>
      <c r="V165">
        <f>Perhitungan!U$4+Perhitungan!U$3*Return!$B165</f>
        <v>-2.7359771377932583E-3</v>
      </c>
      <c r="W165">
        <f>Perhitungan!V$4+Perhitungan!V$3*Return!$B165</f>
        <v>-3.3517496072992398E-3</v>
      </c>
      <c r="X165">
        <f>Perhitungan!W$4+Perhitungan!W$3*Return!$B165</f>
        <v>-7.631188945852364E-3</v>
      </c>
      <c r="Y165">
        <f>Perhitungan!X$4+Perhitungan!X$3*Return!$B165</f>
        <v>-3.944241895507997E-3</v>
      </c>
      <c r="Z165">
        <f>Perhitungan!Y$4+Perhitungan!Y$3*Return!$B165</f>
        <v>-3.3251811439573425E-3</v>
      </c>
      <c r="AA165">
        <f>Perhitungan!Z$4+Perhitungan!Z$3*Return!$B165</f>
        <v>-1.0407167222852374E-3</v>
      </c>
      <c r="AB165">
        <f>Perhitungan!AA$4+Perhitungan!AA$3*Return!$B165</f>
        <v>-3.978874926205302E-3</v>
      </c>
      <c r="AC165">
        <f>Perhitungan!AB$4+Perhitungan!AB$3*Return!$B165</f>
        <v>-1.4051159246416599E-3</v>
      </c>
      <c r="AD165">
        <f>Perhitungan!AC$4+Perhitungan!AC$3*Return!$B165</f>
        <v>-3.2442071480409673E-3</v>
      </c>
      <c r="AE165">
        <f>Perhitungan!AD$4+Perhitungan!AD$3*Return!$B165</f>
        <v>-2.2823873306166641E-3</v>
      </c>
      <c r="AF165">
        <f>Perhitungan!AE$4+Perhitungan!AE$3*Return!$B165</f>
        <v>16.762782107291699</v>
      </c>
    </row>
    <row r="166" spans="1:32" x14ac:dyDescent="0.3">
      <c r="A166" s="1">
        <v>46002</v>
      </c>
      <c r="C166">
        <f>Perhitungan!B$4+Perhitungan!B$3*Return!$B166</f>
        <v>6.2575775387205225E-4</v>
      </c>
      <c r="D166">
        <f>Perhitungan!C$4+Perhitungan!C$3*Return!$B166</f>
        <v>3.7760380067156404E-3</v>
      </c>
      <c r="E166">
        <f>Perhitungan!D$4+Perhitungan!D$3*Return!$B166</f>
        <v>2.6572652307117585E-3</v>
      </c>
      <c r="F166">
        <f>Perhitungan!E$4+Perhitungan!E$3*Return!$B166</f>
        <v>2.1233575292502276E-3</v>
      </c>
      <c r="G166">
        <f>Perhitungan!F$4+Perhitungan!F$3*Return!$B166</f>
        <v>3.993067999667985E-3</v>
      </c>
      <c r="H166">
        <f>Perhitungan!G$4+Perhitungan!G$3*Return!$B166</f>
        <v>2.2265606424030603E-3</v>
      </c>
      <c r="I166">
        <f>Perhitungan!H$4+Perhitungan!H$3*Return!$B166</f>
        <v>-7.4773011202114849E-4</v>
      </c>
      <c r="J166">
        <f>Perhitungan!I$4+Perhitungan!I$3*Return!$B166</f>
        <v>6.9760240413644335E-4</v>
      </c>
      <c r="K166">
        <f>Perhitungan!J$4+Perhitungan!J$3*Return!$B166</f>
        <v>3.8030082177563729E-3</v>
      </c>
      <c r="L166">
        <f>Perhitungan!K$4+Perhitungan!K$3*Return!$B166</f>
        <v>4.7332682666953284E-4</v>
      </c>
      <c r="M166">
        <f>Perhitungan!L$4+Perhitungan!L$3*Return!$B166</f>
        <v>7.6735209464651906E-3</v>
      </c>
      <c r="N166">
        <f>Perhitungan!M$4+Perhitungan!M$3*Return!$B166</f>
        <v>1.4949428141718931E-3</v>
      </c>
      <c r="O166">
        <f>Perhitungan!N$4+Perhitungan!N$3*Return!$B166</f>
        <v>1.0264068810660024E-3</v>
      </c>
      <c r="P166">
        <f>Perhitungan!O$4+Perhitungan!O$3*Return!$B166</f>
        <v>4.3858915026973185E-4</v>
      </c>
      <c r="Q166">
        <f>Perhitungan!P$4+Perhitungan!P$3*Return!$B166</f>
        <v>4.8100804618032211E-3</v>
      </c>
      <c r="R166">
        <f>Perhitungan!Q$4+Perhitungan!Q$3*Return!$B166</f>
        <v>7.0320218625436132E-4</v>
      </c>
      <c r="S166">
        <f>Perhitungan!R$4+Perhitungan!R$3*Return!$B166</f>
        <v>1.3395944055583145E-3</v>
      </c>
      <c r="T166">
        <f>Perhitungan!S$4+Perhitungan!S$3*Return!$B166</f>
        <v>2.6244730440319643E-3</v>
      </c>
      <c r="U166">
        <f>Perhitungan!T$4+Perhitungan!T$3*Return!$B166</f>
        <v>3.1319546329787815E-3</v>
      </c>
      <c r="V166">
        <f>Perhitungan!U$4+Perhitungan!U$3*Return!$B166</f>
        <v>2.38963630212449E-3</v>
      </c>
      <c r="W166">
        <f>Perhitungan!V$4+Perhitungan!V$3*Return!$B166</f>
        <v>7.2446351282109333E-3</v>
      </c>
      <c r="X166">
        <f>Perhitungan!W$4+Perhitungan!W$3*Return!$B166</f>
        <v>-1.7021707242922909E-3</v>
      </c>
      <c r="Y166">
        <f>Perhitungan!X$4+Perhitungan!X$3*Return!$B166</f>
        <v>5.0112265825810439E-4</v>
      </c>
      <c r="Z166">
        <f>Perhitungan!Y$4+Perhitungan!Y$3*Return!$B166</f>
        <v>1.0100691424678216E-3</v>
      </c>
      <c r="AA166">
        <f>Perhitungan!Z$4+Perhitungan!Z$3*Return!$B166</f>
        <v>5.4511431510613877E-3</v>
      </c>
      <c r="AB166">
        <f>Perhitungan!AA$4+Perhitungan!AA$3*Return!$B166</f>
        <v>1.9007998631338778E-3</v>
      </c>
      <c r="AC166">
        <f>Perhitungan!AB$4+Perhitungan!AB$3*Return!$B166</f>
        <v>3.4103946492357292E-3</v>
      </c>
      <c r="AD166">
        <f>Perhitungan!AC$4+Perhitungan!AC$3*Return!$B166</f>
        <v>2.1137184165399016E-3</v>
      </c>
      <c r="AE166">
        <f>Perhitungan!AD$4+Perhitungan!AD$3*Return!$B166</f>
        <v>1.9778779800289636E-3</v>
      </c>
      <c r="AF166">
        <f>Perhitungan!AE$4+Perhitungan!AE$3*Return!$B166</f>
        <v>16.605786833471313</v>
      </c>
    </row>
    <row r="167" spans="1:32" x14ac:dyDescent="0.3">
      <c r="A167" s="4" t="s">
        <v>99</v>
      </c>
      <c r="C167">
        <f>Perhitungan!B$4+Perhitungan!B$3*Return!$B167</f>
        <v>-3.3358955247657996E-3</v>
      </c>
      <c r="D167">
        <f>Perhitungan!C$4+Perhitungan!C$3*Return!$B167</f>
        <v>-7.5933620384566929E-4</v>
      </c>
      <c r="E167">
        <f>Perhitungan!D$4+Perhitungan!D$3*Return!$B167</f>
        <v>-1.8563111348690287E-3</v>
      </c>
      <c r="F167">
        <f>Perhitungan!E$4+Perhitungan!E$3*Return!$B167</f>
        <v>-1.7830961316886288E-3</v>
      </c>
      <c r="G167">
        <f>Perhitungan!F$4+Perhitungan!F$3*Return!$B167</f>
        <v>-1.616857164482041E-4</v>
      </c>
      <c r="H167">
        <f>Perhitungan!G$4+Perhitungan!G$3*Return!$B167</f>
        <v>-8.7631499209499101E-4</v>
      </c>
      <c r="I167">
        <f>Perhitungan!H$4+Perhitungan!H$3*Return!$B167</f>
        <v>-2.7023775566875803E-3</v>
      </c>
      <c r="J167">
        <f>Perhitungan!I$4+Perhitungan!I$3*Return!$B167</f>
        <v>-6.2725785569023741E-4</v>
      </c>
      <c r="K167">
        <f>Perhitungan!J$4+Perhitungan!J$3*Return!$B167</f>
        <v>-5.3855910335949119E-4</v>
      </c>
      <c r="L167">
        <f>Perhitungan!K$4+Perhitungan!K$3*Return!$B167</f>
        <v>-1.2021037448201476E-3</v>
      </c>
      <c r="M167">
        <f>Perhitungan!L$4+Perhitungan!L$3*Return!$B167</f>
        <v>3.1986982858778997E-3</v>
      </c>
      <c r="N167">
        <f>Perhitungan!M$4+Perhitungan!M$3*Return!$B167</f>
        <v>-4.9939674841071851E-3</v>
      </c>
      <c r="O167">
        <f>Perhitungan!N$4+Perhitungan!N$3*Return!$B167</f>
        <v>-1.3404555957987109E-3</v>
      </c>
      <c r="P167">
        <f>Perhitungan!O$4+Perhitungan!O$3*Return!$B167</f>
        <v>-3.6177900675913649E-3</v>
      </c>
      <c r="Q167">
        <f>Perhitungan!P$4+Perhitungan!P$3*Return!$B167</f>
        <v>-9.4607079195183422E-5</v>
      </c>
      <c r="R167">
        <f>Perhitungan!Q$4+Perhitungan!Q$3*Return!$B167</f>
        <v>-1.9971939358715734E-3</v>
      </c>
      <c r="S167">
        <f>Perhitungan!R$4+Perhitungan!R$3*Return!$B167</f>
        <v>-1.169426969768047E-3</v>
      </c>
      <c r="T167">
        <f>Perhitungan!S$4+Perhitungan!S$3*Return!$B167</f>
        <v>-1.1364946958179441E-5</v>
      </c>
      <c r="U167">
        <f>Perhitungan!T$4+Perhitungan!T$3*Return!$B167</f>
        <v>-1.9214235287263962E-3</v>
      </c>
      <c r="V167">
        <f>Perhitungan!U$4+Perhitungan!U$3*Return!$B167</f>
        <v>-1.8439103494638854E-3</v>
      </c>
      <c r="W167">
        <f>Perhitungan!V$4+Perhitungan!V$3*Return!$B167</f>
        <v>-1.5075444190397365E-3</v>
      </c>
      <c r="X167">
        <f>Perhitungan!W$4+Perhitungan!W$3*Return!$B167</f>
        <v>-6.5992968016530748E-3</v>
      </c>
      <c r="Y167">
        <f>Perhitungan!X$4+Perhitungan!X$3*Return!$B167</f>
        <v>-3.1705662902530287E-3</v>
      </c>
      <c r="Z167">
        <f>Perhitungan!Y$4+Perhitungan!Y$3*Return!$B167</f>
        <v>-2.5706699337484529E-3</v>
      </c>
      <c r="AA167">
        <f>Perhitungan!Z$4+Perhitungan!Z$3*Return!$B167</f>
        <v>8.9132934811335558E-5</v>
      </c>
      <c r="AB167">
        <f>Perhitungan!AA$4+Perhitungan!AA$3*Return!$B167</f>
        <v>-2.9555705613269487E-3</v>
      </c>
      <c r="AC167">
        <f>Perhitungan!AB$4+Perhitungan!AB$3*Return!$B167</f>
        <v>-5.6701974314852838E-4</v>
      </c>
      <c r="AD167">
        <f>Perhitungan!AC$4+Perhitungan!AC$3*Return!$B167</f>
        <v>-2.3117085297721272E-3</v>
      </c>
      <c r="AE167">
        <f>Perhitungan!AD$4+Perhitungan!AD$3*Return!$B167</f>
        <v>-1.5409265791091001E-3</v>
      </c>
      <c r="AF167">
        <f>Perhitungan!AE$4+Perhitungan!AE$3*Return!$B167</f>
        <v>16.73545849591493</v>
      </c>
    </row>
    <row r="168" spans="1:32" x14ac:dyDescent="0.3">
      <c r="A168" s="3" t="s">
        <v>100</v>
      </c>
      <c r="C168">
        <f>Perhitungan!B$4+Perhitungan!B$3*Return!$B168</f>
        <v>-1.7991934666130352E-3</v>
      </c>
      <c r="D168">
        <f>Perhitungan!C$4+Perhitungan!C$3*Return!$B168</f>
        <v>9.9990883696690906E-4</v>
      </c>
      <c r="E168">
        <f>Perhitungan!D$4+Perhitungan!D$3*Return!$B168</f>
        <v>-1.0552135020556525E-4</v>
      </c>
      <c r="F168">
        <f>Perhitungan!E$4+Perhitungan!E$3*Return!$B168</f>
        <v>-2.67805681306966E-4</v>
      </c>
      <c r="G168">
        <f>Perhitungan!F$4+Perhitungan!F$3*Return!$B168</f>
        <v>1.4499188682086436E-3</v>
      </c>
      <c r="H168">
        <f>Perhitungan!G$4+Perhitungan!G$3*Return!$B168</f>
        <v>3.2727225756070929E-4</v>
      </c>
      <c r="I168">
        <f>Perhitungan!H$4+Perhitungan!H$3*Return!$B168</f>
        <v>-1.9441812835864869E-3</v>
      </c>
      <c r="J168">
        <f>Perhitungan!I$4+Perhitungan!I$3*Return!$B168</f>
        <v>-1.133523357350732E-4</v>
      </c>
      <c r="K168">
        <f>Perhitungan!J$4+Perhitungan!J$3*Return!$B168</f>
        <v>1.1455093823767167E-3</v>
      </c>
      <c r="L168">
        <f>Perhitungan!K$4+Perhitungan!K$3*Return!$B168</f>
        <v>-5.5221405826345318E-4</v>
      </c>
      <c r="M168">
        <f>Perhitungan!L$4+Perhitungan!L$3*Return!$B168</f>
        <v>4.9344557357972624E-3</v>
      </c>
      <c r="N168">
        <f>Perhitungan!M$4+Perhitungan!M$3*Return!$B168</f>
        <v>-2.4769572590319943E-3</v>
      </c>
      <c r="O168">
        <f>Perhitungan!N$4+Perhitungan!N$3*Return!$B168</f>
        <v>-4.2236353075733726E-4</v>
      </c>
      <c r="P168">
        <f>Perhitungan!O$4+Perhitungan!O$3*Return!$B168</f>
        <v>-2.0443443735051543E-3</v>
      </c>
      <c r="Q168">
        <f>Perhitungan!P$4+Perhitungan!P$3*Return!$B168</f>
        <v>1.8078924352095591E-3</v>
      </c>
      <c r="R168">
        <f>Perhitungan!Q$4+Perhitungan!Q$3*Return!$B168</f>
        <v>-9.4972612714766774E-4</v>
      </c>
      <c r="S168">
        <f>Perhitungan!R$4+Perhitungan!R$3*Return!$B168</f>
        <v>-1.9619230226100348E-4</v>
      </c>
      <c r="T168">
        <f>Perhitungan!S$4+Perhitungan!S$3*Return!$B168</f>
        <v>1.011061141552145E-3</v>
      </c>
      <c r="U168">
        <f>Perhitungan!T$4+Perhitungan!T$3*Return!$B168</f>
        <v>3.8752204872034455E-5</v>
      </c>
      <c r="V168">
        <f>Perhitungan!U$4+Perhitungan!U$3*Return!$B168</f>
        <v>-2.017424475271274E-4</v>
      </c>
      <c r="W168">
        <f>Perhitungan!V$4+Perhitungan!V$3*Return!$B168</f>
        <v>1.8873746659052782E-3</v>
      </c>
      <c r="X168">
        <f>Perhitungan!W$4+Perhitungan!W$3*Return!$B168</f>
        <v>-4.6997303346195483E-3</v>
      </c>
      <c r="Y168">
        <f>Perhitungan!X$4+Perhitungan!X$3*Return!$B168</f>
        <v>-1.7463396941250042E-3</v>
      </c>
      <c r="Z168">
        <f>Perhitungan!Y$4+Perhitungan!Y$3*Return!$B168</f>
        <v>-1.1817222593518864E-3</v>
      </c>
      <c r="AA168">
        <f>Perhitungan!Z$4+Perhitungan!Z$3*Return!$B168</f>
        <v>2.169025231186329E-3</v>
      </c>
      <c r="AB168">
        <f>Perhitungan!AA$4+Perhitungan!AA$3*Return!$B168</f>
        <v>-1.0718129728821764E-3</v>
      </c>
      <c r="AC168">
        <f>Perhitungan!AB$4+Perhitungan!AB$3*Return!$B168</f>
        <v>9.7579595853368906E-4</v>
      </c>
      <c r="AD168">
        <f>Perhitungan!AC$4+Perhitungan!AC$3*Return!$B168</f>
        <v>-5.9511138754552188E-4</v>
      </c>
      <c r="AE168">
        <f>Perhitungan!AD$4+Perhitungan!AD$3*Return!$B168</f>
        <v>-1.7600294042963916E-4</v>
      </c>
      <c r="AF168">
        <f>Perhitungan!AE$4+Perhitungan!AE$3*Return!$B168</f>
        <v>16.685159619020354</v>
      </c>
    </row>
    <row r="169" spans="1:32" x14ac:dyDescent="0.3">
      <c r="A169" s="4" t="s">
        <v>101</v>
      </c>
      <c r="C169">
        <f>Perhitungan!B$4+Perhitungan!B$3*Return!$B169</f>
        <v>3.1266042992513757E-3</v>
      </c>
      <c r="D169">
        <f>Perhitungan!C$4+Perhitungan!C$3*Return!$B169</f>
        <v>6.6390535531908679E-3</v>
      </c>
      <c r="E169">
        <f>Perhitungan!D$4+Perhitungan!D$3*Return!$B169</f>
        <v>5.5065205964033217E-3</v>
      </c>
      <c r="F169">
        <f>Perhitungan!E$4+Perhitungan!E$3*Return!$B169</f>
        <v>4.5893585786914879E-3</v>
      </c>
      <c r="G169">
        <f>Perhitungan!F$4+Perhitungan!F$3*Return!$B169</f>
        <v>6.6158117753230931E-3</v>
      </c>
      <c r="H169">
        <f>Perhitungan!G$4+Perhitungan!G$3*Return!$B169</f>
        <v>4.1852923297818739E-3</v>
      </c>
      <c r="I169">
        <f>Perhitungan!H$4+Perhitungan!H$3*Return!$B169</f>
        <v>4.8616719438556453E-4</v>
      </c>
      <c r="J169">
        <f>Perhitungan!I$4+Perhitungan!I$3*Return!$B169</f>
        <v>1.533938138453183E-3</v>
      </c>
      <c r="K169">
        <f>Perhitungan!J$4+Perhitungan!J$3*Return!$B169</f>
        <v>6.5436805767159567E-3</v>
      </c>
      <c r="L169">
        <f>Perhitungan!K$4+Perhitungan!K$3*Return!$B169</f>
        <v>1.5309647525643328E-3</v>
      </c>
      <c r="M169">
        <f>Perhitungan!L$4+Perhitungan!L$3*Return!$B169</f>
        <v>1.0498312518271451E-2</v>
      </c>
      <c r="N169">
        <f>Perhitungan!M$4+Perhitungan!M$3*Return!$B169</f>
        <v>5.5911541081363142E-3</v>
      </c>
      <c r="O169">
        <f>Perhitungan!N$4+Perhitungan!N$3*Return!$B169</f>
        <v>2.5205204322373128E-3</v>
      </c>
      <c r="P169">
        <f>Perhitungan!O$4+Perhitungan!O$3*Return!$B169</f>
        <v>2.9992327099767997E-3</v>
      </c>
      <c r="Q169">
        <f>Perhitungan!P$4+Perhitungan!P$3*Return!$B169</f>
        <v>7.9062299807960285E-3</v>
      </c>
      <c r="R169">
        <f>Perhitungan!Q$4+Perhitungan!Q$3*Return!$B169</f>
        <v>2.4078633057898818E-3</v>
      </c>
      <c r="S169">
        <f>Perhitungan!R$4+Perhitungan!R$3*Return!$B169</f>
        <v>2.9234476601079536E-3</v>
      </c>
      <c r="T169">
        <f>Perhitungan!S$4+Perhitungan!S$3*Return!$B169</f>
        <v>4.2883809810268358E-3</v>
      </c>
      <c r="U169">
        <f>Perhitungan!T$4+Perhitungan!T$3*Return!$B169</f>
        <v>6.3219670922571407E-3</v>
      </c>
      <c r="V169">
        <f>Perhitungan!U$4+Perhitungan!U$3*Return!$B169</f>
        <v>5.0621191706826663E-3</v>
      </c>
      <c r="W169">
        <f>Perhitungan!V$4+Perhitungan!V$3*Return!$B169</f>
        <v>1.2769565364611424E-2</v>
      </c>
      <c r="X169">
        <f>Perhitungan!W$4+Perhitungan!W$3*Return!$B169</f>
        <v>1.3892055197856929E-3</v>
      </c>
      <c r="Y169">
        <f>Perhitungan!X$4+Perhitungan!X$3*Return!$B169</f>
        <v>2.8189253473790209E-3</v>
      </c>
      <c r="Z169">
        <f>Perhitungan!Y$4+Perhitungan!Y$3*Return!$B169</f>
        <v>3.2704585099440193E-3</v>
      </c>
      <c r="AA169">
        <f>Perhitungan!Z$4+Perhitungan!Z$3*Return!$B169</f>
        <v>8.8359837169698294E-3</v>
      </c>
      <c r="AB169">
        <f>Perhitungan!AA$4+Perhitungan!AA$3*Return!$B169</f>
        <v>4.966448556971881E-3</v>
      </c>
      <c r="AC169">
        <f>Perhitungan!AB$4+Perhitungan!AB$3*Return!$B169</f>
        <v>5.9211906081784683E-3</v>
      </c>
      <c r="AD169">
        <f>Perhitungan!AC$4+Perhitungan!AC$3*Return!$B169</f>
        <v>4.9073282839633119E-3</v>
      </c>
      <c r="AE169">
        <f>Perhitungan!AD$4+Perhitungan!AD$3*Return!$B169</f>
        <v>4.1991703563802754E-3</v>
      </c>
      <c r="AF169">
        <f>Perhitungan!AE$4+Perhitungan!AE$3*Return!$B169</f>
        <v>16.523929864613297</v>
      </c>
    </row>
    <row r="170" spans="1:32" x14ac:dyDescent="0.3">
      <c r="A170" s="3" t="s">
        <v>102</v>
      </c>
      <c r="C170">
        <f>Perhitungan!B$4+Perhitungan!B$3*Return!$B170</f>
        <v>-7.2470669359033912E-3</v>
      </c>
      <c r="D170">
        <f>Perhitungan!C$4+Perhitungan!C$3*Return!$B170</f>
        <v>-5.2369178354359155E-3</v>
      </c>
      <c r="E170">
        <f>Perhitungan!D$4+Perhitungan!D$3*Return!$B170</f>
        <v>-6.3123726832728074E-3</v>
      </c>
      <c r="F170">
        <f>Perhitungan!E$4+Perhitungan!E$3*Return!$B170</f>
        <v>-5.6397713132308172E-3</v>
      </c>
      <c r="G170">
        <f>Perhitungan!F$4+Perhitungan!F$3*Return!$B170</f>
        <v>-4.2634969583392624E-3</v>
      </c>
      <c r="H170">
        <f>Perhitungan!G$4+Perhitungan!G$3*Return!$B170</f>
        <v>-3.9396518417389647E-3</v>
      </c>
      <c r="I170">
        <f>Perhitungan!H$4+Perhitungan!H$3*Return!$B170</f>
        <v>-4.6321176592997622E-3</v>
      </c>
      <c r="J170">
        <f>Perhitungan!I$4+Perhitungan!I$3*Return!$B170</f>
        <v>-1.9352359162458286E-3</v>
      </c>
      <c r="K170">
        <f>Perhitungan!J$4+Perhitungan!J$3*Return!$B170</f>
        <v>-4.824803454282621E-3</v>
      </c>
      <c r="L170">
        <f>Perhitungan!K$4+Perhitungan!K$3*Return!$B170</f>
        <v>-2.8561849305440683E-3</v>
      </c>
      <c r="M170">
        <f>Perhitungan!L$4+Perhitungan!L$3*Return!$B170</f>
        <v>-1.2191033815152075E-3</v>
      </c>
      <c r="N170">
        <f>Perhitungan!M$4+Perhitungan!M$3*Return!$B170</f>
        <v>-1.14001920229673E-2</v>
      </c>
      <c r="O170">
        <f>Perhitungan!N$4+Perhitungan!N$3*Return!$B170</f>
        <v>-3.6771580284736148E-3</v>
      </c>
      <c r="P170">
        <f>Perhitungan!O$4+Perhitungan!O$3*Return!$B170</f>
        <v>-7.6224803607020152E-3</v>
      </c>
      <c r="Q170">
        <f>Perhitungan!P$4+Perhitungan!P$3*Return!$B170</f>
        <v>-4.9367960194427445E-3</v>
      </c>
      <c r="R170">
        <f>Perhitungan!Q$4+Perhitungan!Q$3*Return!$B170</f>
        <v>-4.663179919187418E-3</v>
      </c>
      <c r="S170">
        <f>Perhitungan!R$4+Perhitungan!R$3*Return!$B170</f>
        <v>-3.6464768231776563E-3</v>
      </c>
      <c r="T170">
        <f>Perhitungan!S$4+Perhitungan!S$3*Return!$B170</f>
        <v>-2.6136154392818406E-3</v>
      </c>
      <c r="U170">
        <f>Perhitungan!T$4+Perhitungan!T$3*Return!$B170</f>
        <v>-6.9104083806577257E-3</v>
      </c>
      <c r="V170">
        <f>Perhitungan!U$4+Perhitungan!U$3*Return!$B170</f>
        <v>-6.0235104978905458E-3</v>
      </c>
      <c r="W170">
        <f>Perhitungan!V$4+Perhitungan!V$3*Return!$B170</f>
        <v>-1.0148198212478175E-2</v>
      </c>
      <c r="X170">
        <f>Perhitungan!W$4+Perhitungan!W$3*Return!$B170</f>
        <v>-1.1434020631168888E-2</v>
      </c>
      <c r="Y170">
        <f>Perhitungan!X$4+Perhitungan!X$3*Return!$B170</f>
        <v>-6.7954682783806335E-3</v>
      </c>
      <c r="Z170">
        <f>Perhitungan!Y$4+Perhitungan!Y$3*Return!$B170</f>
        <v>-6.1057809898214035E-3</v>
      </c>
      <c r="AA170">
        <f>Perhitungan!Z$4+Perhitungan!Z$3*Return!$B170</f>
        <v>-5.2045511887108733E-3</v>
      </c>
      <c r="AB170">
        <f>Perhitungan!AA$4+Perhitungan!AA$3*Return!$B170</f>
        <v>-7.7500580719997957E-3</v>
      </c>
      <c r="AC170">
        <f>Perhitungan!AB$4+Perhitungan!AB$3*Return!$B170</f>
        <v>-4.4937514300490275E-3</v>
      </c>
      <c r="AD170">
        <f>Perhitungan!AC$4+Perhitungan!AC$3*Return!$B170</f>
        <v>-6.6807439140208003E-3</v>
      </c>
      <c r="AE170">
        <f>Perhitungan!AD$4+Perhitungan!AD$3*Return!$B170</f>
        <v>-5.0148923265137969E-3</v>
      </c>
      <c r="AF170">
        <f>Perhitungan!AE$4+Perhitungan!AE$3*Return!$B170</f>
        <v>16.863477800814461</v>
      </c>
    </row>
    <row r="171" spans="1:32" x14ac:dyDescent="0.3">
      <c r="A171" s="4" t="s">
        <v>103</v>
      </c>
      <c r="C171">
        <f>Perhitungan!B$4+Perhitungan!B$3*Return!$B171</f>
        <v>2.9475751615491304E-3</v>
      </c>
      <c r="D171">
        <f>Perhitungan!C$4+Perhitungan!C$3*Return!$B171</f>
        <v>6.4340976731667148E-3</v>
      </c>
      <c r="E171">
        <f>Perhitungan!D$4+Perhitungan!D$3*Return!$B171</f>
        <v>5.3025497721415375E-3</v>
      </c>
      <c r="F171">
        <f>Perhitungan!E$4+Perhitungan!E$3*Return!$B171</f>
        <v>4.4128239399428568E-3</v>
      </c>
      <c r="G171">
        <f>Perhitungan!F$4+Perhitungan!F$3*Return!$B171</f>
        <v>6.4280563300971472E-3</v>
      </c>
      <c r="H171">
        <f>Perhitungan!G$4+Perhitungan!G$3*Return!$B171</f>
        <v>4.0450717930082735E-3</v>
      </c>
      <c r="I171">
        <f>Perhitungan!H$4+Perhitungan!H$3*Return!$B171</f>
        <v>3.9783567672916579E-4</v>
      </c>
      <c r="J171">
        <f>Perhitungan!I$4+Perhitungan!I$3*Return!$B171</f>
        <v>1.4740670257609848E-3</v>
      </c>
      <c r="K171">
        <f>Perhitungan!J$4+Perhitungan!J$3*Return!$B171</f>
        <v>6.3474829291411874E-3</v>
      </c>
      <c r="L171">
        <f>Perhitungan!K$4+Perhitungan!K$3*Return!$B171</f>
        <v>1.4552511882019034E-3</v>
      </c>
      <c r="M171">
        <f>Perhitungan!L$4+Perhitungan!L$3*Return!$B171</f>
        <v>1.0296092993757468E-2</v>
      </c>
      <c r="N171">
        <f>Perhitungan!M$4+Perhitungan!M$3*Return!$B171</f>
        <v>5.297916933244635E-3</v>
      </c>
      <c r="O171">
        <f>Perhitungan!N$4+Perhitungan!N$3*Return!$B171</f>
        <v>2.413560706463788E-3</v>
      </c>
      <c r="P171">
        <f>Perhitungan!O$4+Perhitungan!O$3*Return!$B171</f>
        <v>2.815922858636989E-3</v>
      </c>
      <c r="Q171">
        <f>Perhitungan!P$4+Perhitungan!P$3*Return!$B171</f>
        <v>7.6845846424978218E-3</v>
      </c>
      <c r="R171">
        <f>Perhitungan!Q$4+Perhitungan!Q$3*Return!$B171</f>
        <v>2.2858310240135927E-3</v>
      </c>
      <c r="S171">
        <f>Perhitungan!R$4+Perhitungan!R$3*Return!$B171</f>
        <v>2.810063701011052E-3</v>
      </c>
      <c r="T171">
        <f>Perhitungan!S$4+Perhitungan!S$3*Return!$B171</f>
        <v>4.1692661142124342E-3</v>
      </c>
      <c r="U171">
        <f>Perhitungan!T$4+Perhitungan!T$3*Return!$B171</f>
        <v>6.0936023487668921E-3</v>
      </c>
      <c r="V171">
        <f>Perhitungan!U$4+Perhitungan!U$3*Return!$B171</f>
        <v>4.8708030324070076E-3</v>
      </c>
      <c r="W171">
        <f>Perhitungan!V$4+Perhitungan!V$3*Return!$B171</f>
        <v>1.2374049894893624E-2</v>
      </c>
      <c r="X171">
        <f>Perhitungan!W$4+Perhitungan!W$3*Return!$B171</f>
        <v>1.1679018878962997E-3</v>
      </c>
      <c r="Y171">
        <f>Perhitungan!X$4+Perhitungan!X$3*Return!$B171</f>
        <v>2.6529998460467015E-3</v>
      </c>
      <c r="Z171">
        <f>Perhitungan!Y$4+Perhitungan!Y$3*Return!$B171</f>
        <v>3.1086430798536436E-3</v>
      </c>
      <c r="AA171">
        <f>Perhitungan!Z$4+Perhitungan!Z$3*Return!$B171</f>
        <v>8.5936717330962822E-3</v>
      </c>
      <c r="AB171">
        <f>Perhitungan!AA$4+Perhitungan!AA$3*Return!$B171</f>
        <v>4.7469866938800037E-3</v>
      </c>
      <c r="AC171">
        <f>Perhitungan!AB$4+Perhitungan!AB$3*Return!$B171</f>
        <v>5.7414492176855857E-3</v>
      </c>
      <c r="AD171">
        <f>Perhitungan!AC$4+Perhitungan!AC$3*Return!$B171</f>
        <v>4.707340977039033E-3</v>
      </c>
      <c r="AE171">
        <f>Perhitungan!AD$4+Perhitungan!AD$3*Return!$B171</f>
        <v>4.0401537787907752E-3</v>
      </c>
      <c r="AF171">
        <f>Perhitungan!AE$4+Perhitungan!AE$3*Return!$B171</f>
        <v>16.529789793354883</v>
      </c>
    </row>
    <row r="172" spans="1:32" x14ac:dyDescent="0.3">
      <c r="A172" s="3" t="s">
        <v>104</v>
      </c>
      <c r="C172">
        <f>Perhitungan!B$4+Perhitungan!B$3*Return!$B172</f>
        <v>-2.7604953253618984E-4</v>
      </c>
      <c r="D172">
        <f>Perhitungan!C$4+Perhitungan!C$3*Return!$B172</f>
        <v>2.7436322856681621E-3</v>
      </c>
      <c r="E172">
        <f>Perhitungan!D$4+Perhitungan!D$3*Return!$B172</f>
        <v>1.6298214419811314E-3</v>
      </c>
      <c r="F172">
        <f>Perhitungan!E$4+Perhitungan!E$3*Return!$B172</f>
        <v>1.2341155568527614E-3</v>
      </c>
      <c r="G172">
        <f>Perhitungan!F$4+Perhitungan!F$3*Return!$B172</f>
        <v>3.0473044734581475E-3</v>
      </c>
      <c r="H172">
        <f>Perhitungan!G$4+Perhitungan!G$3*Return!$B172</f>
        <v>1.5202404121351929E-3</v>
      </c>
      <c r="I172">
        <f>Perhitungan!H$4+Perhitungan!H$3*Return!$B172</f>
        <v>-1.1926744784210065E-3</v>
      </c>
      <c r="J172">
        <f>Perhitungan!I$4+Perhitungan!I$3*Return!$B172</f>
        <v>3.9601906209414867E-4</v>
      </c>
      <c r="K172">
        <f>Perhitungan!J$4+Perhitungan!J$3*Return!$B172</f>
        <v>2.8147195490517774E-3</v>
      </c>
      <c r="L172">
        <f>Perhitungan!K$4+Perhitungan!K$3*Return!$B172</f>
        <v>9.1941735402782242E-5</v>
      </c>
      <c r="M172">
        <f>Perhitungan!L$4+Perhitungan!L$3*Return!$B172</f>
        <v>6.6548988215906369E-3</v>
      </c>
      <c r="N172">
        <f>Perhitungan!M$4+Perhitungan!M$3*Return!$B172</f>
        <v>1.7845709437483859E-5</v>
      </c>
      <c r="O172">
        <f>Perhitungan!N$4+Perhitungan!N$3*Return!$B172</f>
        <v>4.876283263973429E-4</v>
      </c>
      <c r="P172">
        <f>Perhitungan!O$4+Perhitungan!O$3*Return!$B172</f>
        <v>-4.847809878560027E-4</v>
      </c>
      <c r="Q172">
        <f>Perhitungan!P$4+Perhitungan!P$3*Return!$B172</f>
        <v>3.6936064417575076E-3</v>
      </c>
      <c r="R172">
        <f>Perhitungan!Q$4+Perhitungan!Q$3*Return!$B172</f>
        <v>8.8500008188176736E-5</v>
      </c>
      <c r="S172">
        <f>Perhitungan!R$4+Perhitungan!R$3*Return!$B172</f>
        <v>7.6845564128934316E-4</v>
      </c>
      <c r="T172">
        <f>Perhitungan!S$4+Perhitungan!S$3*Return!$B172</f>
        <v>2.0244664965423081E-3</v>
      </c>
      <c r="U172">
        <f>Perhitungan!T$4+Perhitungan!T$3*Return!$B172</f>
        <v>1.9816335607700285E-3</v>
      </c>
      <c r="V172">
        <f>Perhitungan!U$4+Perhitungan!U$3*Return!$B172</f>
        <v>1.425936818795572E-3</v>
      </c>
      <c r="W172">
        <f>Perhitungan!V$4+Perhitungan!V$3*Return!$B172</f>
        <v>5.2523408175948263E-3</v>
      </c>
      <c r="X172">
        <f>Perhitungan!W$4+Perhitungan!W$3*Return!$B172</f>
        <v>-2.8169234975441251E-3</v>
      </c>
      <c r="Y172">
        <f>Perhitungan!X$4+Perhitungan!X$3*Return!$B172</f>
        <v>-3.34678865577026E-4</v>
      </c>
      <c r="Z172">
        <f>Perhitungan!Y$4+Perhitungan!Y$3*Return!$B172</f>
        <v>1.9497090884126921E-4</v>
      </c>
      <c r="AA172">
        <f>Perhitungan!Z$4+Perhitungan!Z$3*Return!$B172</f>
        <v>4.2305669060669401E-3</v>
      </c>
      <c r="AB172">
        <f>Perhitungan!AA$4+Perhitungan!AA$3*Return!$B172</f>
        <v>7.9532446530146536E-4</v>
      </c>
      <c r="AC172">
        <f>Perhitungan!AB$4+Perhitungan!AB$3*Return!$B172</f>
        <v>2.5049995962515828E-3</v>
      </c>
      <c r="AD172">
        <f>Perhitungan!AC$4+Perhitungan!AC$3*Return!$B172</f>
        <v>1.1063404394788296E-3</v>
      </c>
      <c r="AE172">
        <f>Perhitungan!AD$4+Perhitungan!AD$3*Return!$B172</f>
        <v>1.176878153015246E-3</v>
      </c>
      <c r="AF172">
        <f>Perhitungan!AE$4+Perhitungan!AE$3*Return!$B172</f>
        <v>16.635304522629749</v>
      </c>
    </row>
    <row r="173" spans="1:32" x14ac:dyDescent="0.3">
      <c r="A173" s="4" t="s">
        <v>105</v>
      </c>
      <c r="C173">
        <f>Perhitungan!B$4+Perhitungan!B$3*Return!$B173</f>
        <v>-2.2073761062337137E-3</v>
      </c>
      <c r="D173">
        <f>Perhitungan!C$4+Perhitungan!C$3*Return!$B173</f>
        <v>5.3261377434320797E-4</v>
      </c>
      <c r="E173">
        <f>Perhitungan!D$4+Perhitungan!D$3*Return!$B173</f>
        <v>-5.705705065683199E-4</v>
      </c>
      <c r="F173">
        <f>Perhitungan!E$4+Perhitungan!E$3*Return!$B173</f>
        <v>-6.7030091618177148E-4</v>
      </c>
      <c r="G173">
        <f>Perhitungan!F$4+Perhitungan!F$3*Return!$B173</f>
        <v>1.0218404323791368E-3</v>
      </c>
      <c r="H173">
        <f>Perhitungan!G$4+Perhitungan!G$3*Return!$B173</f>
        <v>7.5724055485259286E-6</v>
      </c>
      <c r="I173">
        <f>Perhitungan!H$4+Perhitungan!H$3*Return!$B173</f>
        <v>-2.1455752717464216E-3</v>
      </c>
      <c r="J173">
        <f>Perhitungan!I$4+Perhitungan!I$3*Return!$B173</f>
        <v>-2.4985720376596062E-4</v>
      </c>
      <c r="K173">
        <f>Perhitungan!J$4+Perhitungan!J$3*Return!$B173</f>
        <v>6.9818290411578332E-4</v>
      </c>
      <c r="L173">
        <f>Perhitungan!K$4+Perhitungan!K$3*Return!$B173</f>
        <v>-7.2483938033782234E-4</v>
      </c>
      <c r="M173">
        <f>Perhitungan!L$4+Perhitungan!L$3*Return!$B173</f>
        <v>4.4733995057424768E-3</v>
      </c>
      <c r="N173">
        <f>Perhitungan!M$4+Perhitungan!M$3*Return!$B173</f>
        <v>-3.1455318029214221E-3</v>
      </c>
      <c r="O173">
        <f>Perhitungan!N$4+Perhitungan!N$3*Return!$B173</f>
        <v>-6.6622943861840002E-4</v>
      </c>
      <c r="P173">
        <f>Perhitungan!O$4+Perhitungan!O$3*Return!$B173</f>
        <v>-2.4622869494941124E-3</v>
      </c>
      <c r="Q173">
        <f>Perhitungan!P$4+Perhitungan!P$3*Return!$B173</f>
        <v>1.302545761437103E-3</v>
      </c>
      <c r="R173">
        <f>Perhitungan!Q$4+Perhitungan!Q$3*Return!$B173</f>
        <v>-1.2279571432475419E-3</v>
      </c>
      <c r="S173">
        <f>Perhitungan!R$4+Perhitungan!R$3*Return!$B173</f>
        <v>-4.5470532594427549E-4</v>
      </c>
      <c r="T173">
        <f>Perhitungan!S$4+Perhitungan!S$3*Return!$B173</f>
        <v>7.3948176973373221E-4</v>
      </c>
      <c r="U173">
        <f>Perhitungan!T$4+Perhitungan!T$3*Return!$B173</f>
        <v>-4.8191457032731777E-4</v>
      </c>
      <c r="V173">
        <f>Perhitungan!U$4+Perhitungan!U$3*Return!$B173</f>
        <v>-6.3793918804471057E-4</v>
      </c>
      <c r="W173">
        <f>Perhitungan!V$4+Perhitungan!V$3*Return!$B173</f>
        <v>9.8560777749670102E-4</v>
      </c>
      <c r="X173">
        <f>Perhitungan!W$4+Perhitungan!W$3*Return!$B173</f>
        <v>-5.2042979250220278E-3</v>
      </c>
      <c r="Y173">
        <f>Perhitungan!X$4+Perhitungan!X$3*Return!$B173</f>
        <v>-2.1246463205404935E-3</v>
      </c>
      <c r="Z173">
        <f>Perhitungan!Y$4+Perhitungan!Y$3*Return!$B173</f>
        <v>-1.5506580104445245E-3</v>
      </c>
      <c r="AA173">
        <f>Perhitungan!Z$4+Perhitungan!Z$3*Return!$B173</f>
        <v>1.616559043510629E-3</v>
      </c>
      <c r="AB173">
        <f>Perhitungan!AA$4+Perhitungan!AA$3*Return!$B173</f>
        <v>-1.5721813694607356E-3</v>
      </c>
      <c r="AC173">
        <f>Perhitungan!AB$4+Perhitungan!AB$3*Return!$B173</f>
        <v>5.6598939764583155E-4</v>
      </c>
      <c r="AD173">
        <f>Perhitungan!AC$4+Perhitungan!AC$3*Return!$B173</f>
        <v>-1.0510782088053612E-3</v>
      </c>
      <c r="AE173">
        <f>Perhitungan!AD$4+Perhitungan!AD$3*Return!$B173</f>
        <v>-5.3855736713911268E-4</v>
      </c>
      <c r="AF173">
        <f>Perhitungan!AE$4+Perhitungan!AE$3*Return!$B173</f>
        <v>16.698520132355949</v>
      </c>
    </row>
    <row r="174" spans="1:32" x14ac:dyDescent="0.3">
      <c r="A174" s="3" t="s">
        <v>106</v>
      </c>
      <c r="C174">
        <f>Perhitungan!B$4+Perhitungan!B$3*Return!$B174</f>
        <v>1.4276055090734718E-2</v>
      </c>
      <c r="D174">
        <f>Perhitungan!C$4+Perhitungan!C$3*Return!$B174</f>
        <v>1.9403151778112387E-2</v>
      </c>
      <c r="E174">
        <f>Perhitungan!D$4+Perhitungan!D$3*Return!$B174</f>
        <v>1.8209272210988899E-2</v>
      </c>
      <c r="F174">
        <f>Perhitungan!E$4+Perhitungan!E$3*Return!$B174</f>
        <v>1.558345871781909E-2</v>
      </c>
      <c r="G174">
        <f>Perhitungan!F$4+Perhitungan!F$3*Return!$B174</f>
        <v>1.8308713412716629E-2</v>
      </c>
      <c r="H174">
        <f>Perhitungan!G$4+Perhitungan!G$3*Return!$B174</f>
        <v>1.2917848352661219E-2</v>
      </c>
      <c r="I174">
        <f>Perhitungan!H$4+Perhitungan!H$3*Return!$B174</f>
        <v>5.9872153594335373E-3</v>
      </c>
      <c r="J174">
        <f>Perhitungan!I$4+Perhitungan!I$3*Return!$B174</f>
        <v>5.2625492090333757E-3</v>
      </c>
      <c r="K174">
        <f>Perhitungan!J$4+Perhitungan!J$3*Return!$B174</f>
        <v>1.8762339757646879E-2</v>
      </c>
      <c r="L174">
        <f>Perhitungan!K$4+Perhitungan!K$3*Return!$B174</f>
        <v>6.2462008920060597E-3</v>
      </c>
      <c r="M174">
        <f>Perhitungan!L$4+Perhitungan!L$3*Return!$B174</f>
        <v>2.3091997918218171E-2</v>
      </c>
      <c r="N174">
        <f>Perhitungan!M$4+Perhitungan!M$3*Return!$B174</f>
        <v>2.3853172758563908E-2</v>
      </c>
      <c r="O174">
        <f>Perhitungan!N$4+Perhitungan!N$3*Return!$B174</f>
        <v>9.1816830479332003E-3</v>
      </c>
      <c r="P174">
        <f>Perhitungan!O$4+Perhitungan!O$3*Return!$B174</f>
        <v>1.4415274776305312E-2</v>
      </c>
      <c r="Q174">
        <f>Perhitungan!P$4+Perhitungan!P$3*Return!$B174</f>
        <v>2.1709702556459071E-2</v>
      </c>
      <c r="R174">
        <f>Perhitungan!Q$4+Perhitungan!Q$3*Return!$B174</f>
        <v>1.0007703969157488E-2</v>
      </c>
      <c r="S174">
        <f>Perhitungan!R$4+Perhitungan!R$3*Return!$B174</f>
        <v>9.9846941628810547E-3</v>
      </c>
      <c r="T174">
        <f>Perhitungan!S$4+Perhitungan!S$3*Return!$B174</f>
        <v>1.170653292615908E-2</v>
      </c>
      <c r="U174">
        <f>Perhitungan!T$4+Perhitungan!T$3*Return!$B174</f>
        <v>2.054390606114662E-2</v>
      </c>
      <c r="V174">
        <f>Perhitungan!U$4+Perhitungan!U$3*Return!$B174</f>
        <v>1.6976771146880638E-2</v>
      </c>
      <c r="W174">
        <f>Perhitungan!V$4+Perhitungan!V$3*Return!$B174</f>
        <v>3.7401199764946991E-2</v>
      </c>
      <c r="X174">
        <f>Perhitungan!W$4+Perhitungan!W$3*Return!$B174</f>
        <v>1.5171397543918934E-2</v>
      </c>
      <c r="Y174">
        <f>Perhitungan!X$4+Perhitungan!X$3*Return!$B174</f>
        <v>1.3152317084056619E-2</v>
      </c>
      <c r="Z174">
        <f>Perhitungan!Y$4+Perhitungan!Y$3*Return!$B174</f>
        <v>1.3347886118940085E-2</v>
      </c>
      <c r="AA174">
        <f>Perhitungan!Z$4+Perhitungan!Z$3*Return!$B174</f>
        <v>2.3926519118408707E-2</v>
      </c>
      <c r="AB174">
        <f>Perhitungan!AA$4+Perhitungan!AA$3*Return!$B174</f>
        <v>1.8633940198582225E-2</v>
      </c>
      <c r="AC174">
        <f>Perhitungan!AB$4+Perhitungan!AB$3*Return!$B174</f>
        <v>1.7114998578287736E-2</v>
      </c>
      <c r="AD174">
        <f>Perhitungan!AC$4+Perhitungan!AC$3*Return!$B174</f>
        <v>1.7361997205968385E-2</v>
      </c>
      <c r="AE174">
        <f>Perhitungan!AD$4+Perhitungan!AD$3*Return!$B174</f>
        <v>1.4102292996745864E-2</v>
      </c>
      <c r="AF174">
        <f>Perhitungan!AE$4+Perhitungan!AE$3*Return!$B174</f>
        <v>16.158989341609711</v>
      </c>
    </row>
    <row r="175" spans="1:32" x14ac:dyDescent="0.3">
      <c r="A175" s="4" t="s">
        <v>107</v>
      </c>
      <c r="C175">
        <f>Perhitungan!B$4+Perhitungan!B$3*Return!$B175</f>
        <v>-6.4872035935006657E-3</v>
      </c>
      <c r="D175">
        <f>Perhitungan!C$4+Perhitungan!C$3*Return!$B175</f>
        <v>-4.3670121762841426E-3</v>
      </c>
      <c r="E175">
        <f>Perhitungan!D$4+Perhitungan!D$3*Return!$B175</f>
        <v>-5.4466479511681822E-3</v>
      </c>
      <c r="F175">
        <f>Perhitungan!E$4+Perhitungan!E$3*Return!$B175</f>
        <v>-4.8904955116990407E-3</v>
      </c>
      <c r="G175">
        <f>Perhitungan!F$4+Perhitungan!F$3*Return!$B175</f>
        <v>-3.4665960627935301E-3</v>
      </c>
      <c r="H175">
        <f>Perhitungan!G$4+Perhitungan!G$3*Return!$B175</f>
        <v>-3.3445060061850912E-3</v>
      </c>
      <c r="I175">
        <f>Perhitungan!H$4+Perhitungan!H$3*Return!$B175</f>
        <v>-4.2572072781889084E-3</v>
      </c>
      <c r="J175">
        <f>Perhitungan!I$4+Perhitungan!I$3*Return!$B175</f>
        <v>-1.6811216173805358E-3</v>
      </c>
      <c r="K175">
        <f>Perhitungan!J$4+Perhitungan!J$3*Return!$B175</f>
        <v>-3.9920708490143843E-3</v>
      </c>
      <c r="L175">
        <f>Perhitungan!K$4+Perhitungan!K$3*Return!$B175</f>
        <v>-2.5348296315125507E-3</v>
      </c>
      <c r="M175">
        <f>Perhitungan!L$4+Perhitungan!L$3*Return!$B175</f>
        <v>-3.6081178849058093E-4</v>
      </c>
      <c r="N175">
        <f>Perhitungan!M$4+Perhitungan!M$3*Return!$B175</f>
        <v>-1.0155589146085267E-2</v>
      </c>
      <c r="O175">
        <f>Perhitungan!N$4+Perhitungan!N$3*Return!$B175</f>
        <v>-3.2231829059216491E-3</v>
      </c>
      <c r="P175">
        <f>Perhitungan!O$4+Perhitungan!O$3*Return!$B175</f>
        <v>-6.8444481469398149E-3</v>
      </c>
      <c r="Q175">
        <f>Perhitungan!P$4+Perhitungan!P$3*Return!$B175</f>
        <v>-3.9960543628115809E-3</v>
      </c>
      <c r="R175">
        <f>Perhitungan!Q$4+Perhitungan!Q$3*Return!$B175</f>
        <v>-4.1452315075395686E-3</v>
      </c>
      <c r="S175">
        <f>Perhitungan!R$4+Perhitungan!R$3*Return!$B175</f>
        <v>-3.1652349692537565E-3</v>
      </c>
      <c r="T175">
        <f>Perhitungan!S$4+Perhitungan!S$3*Return!$B175</f>
        <v>-2.1080495744784187E-3</v>
      </c>
      <c r="U175">
        <f>Perhitungan!T$4+Perhitungan!T$3*Return!$B175</f>
        <v>-5.9411471782491922E-3</v>
      </c>
      <c r="V175">
        <f>Perhitungan!U$4+Perhitungan!U$3*Return!$B175</f>
        <v>-5.2114967544768642E-3</v>
      </c>
      <c r="W175">
        <f>Perhitungan!V$4+Perhitungan!V$3*Return!$B175</f>
        <v>-8.4694898712047249E-3</v>
      </c>
      <c r="X175">
        <f>Perhitungan!W$4+Perhitungan!W$3*Return!$B175</f>
        <v>-1.0494729298084241E-2</v>
      </c>
      <c r="Y175">
        <f>Perhitungan!X$4+Perhitungan!X$3*Return!$B175</f>
        <v>-6.0912214297926849E-3</v>
      </c>
      <c r="Z175">
        <f>Perhitungan!Y$4+Perhitungan!Y$3*Return!$B175</f>
        <v>-5.4189787455671372E-3</v>
      </c>
      <c r="AA175">
        <f>Perhitungan!Z$4+Perhitungan!Z$3*Return!$B175</f>
        <v>-4.1760929369785964E-3</v>
      </c>
      <c r="AB175">
        <f>Perhitungan!AA$4+Perhitungan!AA$3*Return!$B175</f>
        <v>-6.8185838608226497E-3</v>
      </c>
      <c r="AC175">
        <f>Perhitungan!AB$4+Perhitungan!AB$3*Return!$B175</f>
        <v>-3.7308650334492294E-3</v>
      </c>
      <c r="AD175">
        <f>Perhitungan!AC$4+Perhitungan!AC$3*Return!$B175</f>
        <v>-5.8319266464632608E-3</v>
      </c>
      <c r="AE175">
        <f>Perhitungan!AD$4+Perhitungan!AD$3*Return!$B175</f>
        <v>-4.3399694078458751E-3</v>
      </c>
      <c r="AF175">
        <f>Perhitungan!AE$4+Perhitungan!AE$3*Return!$B175</f>
        <v>16.83860617881497</v>
      </c>
    </row>
    <row r="176" spans="1:32" x14ac:dyDescent="0.3">
      <c r="A176" s="3" t="s">
        <v>108</v>
      </c>
      <c r="C176">
        <f>Perhitungan!B$4+Perhitungan!B$3*Return!$B176</f>
        <v>6.4498856385289457E-3</v>
      </c>
      <c r="D176">
        <f>Perhitungan!C$4+Perhitungan!C$3*Return!$B176</f>
        <v>1.0443607717956521E-2</v>
      </c>
      <c r="E176">
        <f>Perhitungan!D$4+Perhitungan!D$3*Return!$B176</f>
        <v>9.2927893721242421E-3</v>
      </c>
      <c r="F176">
        <f>Perhitungan!E$4+Perhitungan!E$3*Return!$B176</f>
        <v>7.8663350430766762E-3</v>
      </c>
      <c r="G176">
        <f>Perhitungan!F$4+Perhitungan!F$3*Return!$B176</f>
        <v>1.0101077779926738E-2</v>
      </c>
      <c r="H176">
        <f>Perhitungan!G$4+Perhitungan!G$3*Return!$B176</f>
        <v>6.7881775317326981E-3</v>
      </c>
      <c r="I176">
        <f>Perhitungan!H$4+Perhitungan!H$3*Return!$B176</f>
        <v>2.1258471261841462E-3</v>
      </c>
      <c r="J176">
        <f>Perhitungan!I$4+Perhitungan!I$3*Return!$B176</f>
        <v>2.6453133823125599E-3</v>
      </c>
      <c r="K176">
        <f>Perhitungan!J$4+Perhitungan!J$3*Return!$B176</f>
        <v>1.0185657460276694E-2</v>
      </c>
      <c r="L176">
        <f>Perhitungan!K$4+Perhitungan!K$3*Return!$B176</f>
        <v>2.9364201929761324E-3</v>
      </c>
      <c r="M176">
        <f>Perhitungan!L$4+Perhitungan!L$3*Return!$B176</f>
        <v>1.4252072274253767E-2</v>
      </c>
      <c r="N176">
        <f>Perhitungan!M$4+Perhitungan!M$3*Return!$B176</f>
        <v>1.1034455929322317E-2</v>
      </c>
      <c r="O176">
        <f>Perhitungan!N$4+Perhitungan!N$3*Return!$B176</f>
        <v>4.505991988876237E-3</v>
      </c>
      <c r="P176">
        <f>Perhitungan!O$4+Perhitungan!O$3*Return!$B176</f>
        <v>6.4019760627182032E-3</v>
      </c>
      <c r="Q176">
        <f>Perhitungan!P$4+Perhitungan!P$3*Return!$B176</f>
        <v>1.20205871528077E-2</v>
      </c>
      <c r="R176">
        <f>Perhitungan!Q$4+Perhitungan!Q$3*Return!$B176</f>
        <v>4.6731236428591214E-3</v>
      </c>
      <c r="S176">
        <f>Perhitungan!R$4+Perhitungan!R$3*Return!$B176</f>
        <v>5.0281709485976494E-3</v>
      </c>
      <c r="T176">
        <f>Perhitungan!S$4+Perhitungan!S$3*Return!$B176</f>
        <v>6.4994859396688203E-3</v>
      </c>
      <c r="U176">
        <f>Perhitungan!T$4+Perhitungan!T$3*Return!$B176</f>
        <v>1.0561055211266355E-2</v>
      </c>
      <c r="V176">
        <f>Perhitungan!U$4+Perhitungan!U$3*Return!$B176</f>
        <v>8.6134815935502672E-3</v>
      </c>
      <c r="W176">
        <f>Perhitungan!V$4+Perhitungan!V$3*Return!$B176</f>
        <v>2.0111438295345459E-2</v>
      </c>
      <c r="X176">
        <f>Perhitungan!W$4+Perhitungan!W$3*Return!$B176</f>
        <v>5.497219665480539E-3</v>
      </c>
      <c r="Y176">
        <f>Perhitungan!X$4+Perhitungan!X$3*Return!$B176</f>
        <v>5.8989665594696983E-3</v>
      </c>
      <c r="Z176">
        <f>Perhitungan!Y$4+Perhitungan!Y$3*Return!$B176</f>
        <v>6.2742053085288532E-3</v>
      </c>
      <c r="AA176">
        <f>Perhitungan!Z$4+Perhitungan!Z$3*Return!$B176</f>
        <v>1.3333971612267528E-2</v>
      </c>
      <c r="AB176">
        <f>Perhitungan!AA$4+Perhitungan!AA$3*Return!$B176</f>
        <v>9.0402743244250398E-3</v>
      </c>
      <c r="AC176">
        <f>Perhitungan!AB$4+Perhitungan!AB$3*Return!$B176</f>
        <v>9.2576933506217582E-3</v>
      </c>
      <c r="AD176">
        <f>Perhitungan!AC$4+Perhitungan!AC$3*Return!$B176</f>
        <v>8.6196518404739481E-3</v>
      </c>
      <c r="AE176">
        <f>Perhitungan!AD$4+Perhitungan!AD$3*Return!$B176</f>
        <v>7.1509626273003465E-3</v>
      </c>
      <c r="AF176">
        <f>Perhitungan!AE$4+Perhitungan!AE$3*Return!$B176</f>
        <v>16.415153203526955</v>
      </c>
    </row>
    <row r="177" spans="1:32" x14ac:dyDescent="0.3">
      <c r="A177" s="4" t="s">
        <v>109</v>
      </c>
      <c r="C177">
        <f>Perhitungan!B$4+Perhitungan!B$3*Return!$B177</f>
        <v>-7.2571112518077865E-3</v>
      </c>
      <c r="D177">
        <f>Perhitungan!C$4+Perhitungan!C$3*Return!$B177</f>
        <v>-5.2484167547283142E-3</v>
      </c>
      <c r="E177">
        <f>Perhitungan!D$4+Perhitungan!D$3*Return!$B177</f>
        <v>-6.3238163366381751E-3</v>
      </c>
      <c r="F177">
        <f>Perhitungan!E$4+Perhitungan!E$3*Return!$B177</f>
        <v>-5.6496756768579749E-3</v>
      </c>
      <c r="G177">
        <f>Perhitungan!F$4+Perhitungan!F$3*Return!$B177</f>
        <v>-4.2740308581771559E-3</v>
      </c>
      <c r="H177">
        <f>Perhitungan!G$4+Perhitungan!G$3*Return!$B177</f>
        <v>-3.9475188257713642E-3</v>
      </c>
      <c r="I177">
        <f>Perhitungan!H$4+Perhitungan!H$3*Return!$B177</f>
        <v>-4.6370734429171268E-3</v>
      </c>
      <c r="J177">
        <f>Perhitungan!I$4+Perhitungan!I$3*Return!$B177</f>
        <v>-1.9385949469441063E-3</v>
      </c>
      <c r="K177">
        <f>Perhitungan!J$4+Perhitungan!J$3*Return!$B177</f>
        <v>-4.8358109985138717E-3</v>
      </c>
      <c r="L177">
        <f>Perhitungan!K$4+Perhitungan!K$3*Return!$B177</f>
        <v>-2.8604327919171638E-3</v>
      </c>
      <c r="M177">
        <f>Perhitungan!L$4+Perhitungan!L$3*Return!$B177</f>
        <v>-1.2304487793220889E-3</v>
      </c>
      <c r="N177">
        <f>Perhitungan!M$4+Perhitungan!M$3*Return!$B177</f>
        <v>-1.1416643908159435E-2</v>
      </c>
      <c r="O177">
        <f>Perhitungan!N$4+Perhitungan!N$3*Return!$B177</f>
        <v>-3.6831589358594478E-3</v>
      </c>
      <c r="P177">
        <f>Perhitungan!O$4+Perhitungan!O$3*Return!$B177</f>
        <v>-7.6327648433224199E-3</v>
      </c>
      <c r="Q177">
        <f>Perhitungan!P$4+Perhitungan!P$3*Return!$B177</f>
        <v>-4.9492312901767543E-3</v>
      </c>
      <c r="R177">
        <f>Perhitungan!Q$4+Perhitungan!Q$3*Return!$B177</f>
        <v>-4.6700264627413165E-3</v>
      </c>
      <c r="S177">
        <f>Perhitungan!R$4+Perhitungan!R$3*Return!$B177</f>
        <v>-3.6528381580881461E-3</v>
      </c>
      <c r="T177">
        <f>Perhitungan!S$4+Perhitungan!S$3*Return!$B177</f>
        <v>-2.6202983031248404E-3</v>
      </c>
      <c r="U177">
        <f>Perhitungan!T$4+Perhitungan!T$3*Return!$B177</f>
        <v>-6.9232206393463492E-3</v>
      </c>
      <c r="V177">
        <f>Perhitungan!U$4+Perhitungan!U$3*Return!$B177</f>
        <v>-6.0342441681473149E-3</v>
      </c>
      <c r="W177">
        <f>Perhitungan!V$4+Perhitungan!V$3*Return!$B177</f>
        <v>-1.017038835635033E-2</v>
      </c>
      <c r="X177">
        <f>Perhitungan!W$4+Perhitungan!W$3*Return!$B177</f>
        <v>-1.1446436730682165E-2</v>
      </c>
      <c r="Y177">
        <f>Perhitungan!X$4+Perhitungan!X$3*Return!$B177</f>
        <v>-6.8047774231006896E-3</v>
      </c>
      <c r="Z177">
        <f>Perhitungan!Y$4+Perhitungan!Y$3*Return!$B177</f>
        <v>-6.1148595416085239E-3</v>
      </c>
      <c r="AA177">
        <f>Perhitungan!Z$4+Perhitungan!Z$3*Return!$B177</f>
        <v>-5.2181459484504557E-3</v>
      </c>
      <c r="AB177">
        <f>Perhitungan!AA$4+Perhitungan!AA$3*Return!$B177</f>
        <v>-7.7623708402460917E-3</v>
      </c>
      <c r="AC177">
        <f>Perhitungan!AB$4+Perhitungan!AB$3*Return!$B177</f>
        <v>-4.5038357064432332E-3</v>
      </c>
      <c r="AD177">
        <f>Perhitungan!AC$4+Perhitungan!AC$3*Return!$B177</f>
        <v>-6.6919640746795498E-3</v>
      </c>
      <c r="AE177">
        <f>Perhitungan!AD$4+Perhitungan!AD$3*Return!$B177</f>
        <v>-5.0238138504614862E-3</v>
      </c>
      <c r="AF177">
        <f>Perhitungan!AE$4+Perhitungan!AE$3*Return!$B177</f>
        <v>16.863806568389467</v>
      </c>
    </row>
    <row r="178" spans="1:32" x14ac:dyDescent="0.3">
      <c r="A178" s="3" t="s">
        <v>110</v>
      </c>
      <c r="C178">
        <f>Perhitungan!B$4+Perhitungan!B$3*Return!$B178</f>
        <v>-5.374263549019381E-3</v>
      </c>
      <c r="D178">
        <f>Perhitungan!C$4+Perhitungan!C$3*Return!$B178</f>
        <v>-3.0928977546967728E-3</v>
      </c>
      <c r="E178">
        <f>Perhitungan!D$4+Perhitungan!D$3*Return!$B178</f>
        <v>-4.1786571584942834E-3</v>
      </c>
      <c r="F178">
        <f>Perhitungan!E$4+Perhitungan!E$3*Return!$B178</f>
        <v>-3.7930625953424041E-3</v>
      </c>
      <c r="G178">
        <f>Perhitungan!F$4+Perhitungan!F$3*Return!$B178</f>
        <v>-2.2994086638970222E-3</v>
      </c>
      <c r="H178">
        <f>Perhitungan!G$4+Perhitungan!G$3*Return!$B178</f>
        <v>-2.4728208021064747E-3</v>
      </c>
      <c r="I178">
        <f>Perhitungan!H$4+Perhitungan!H$3*Return!$B178</f>
        <v>-3.7080917294500587E-3</v>
      </c>
      <c r="J178">
        <f>Perhitungan!I$4+Perhitungan!I$3*Return!$B178</f>
        <v>-1.308931036126547E-3</v>
      </c>
      <c r="K178">
        <f>Perhitungan!J$4+Perhitungan!J$3*Return!$B178</f>
        <v>-2.7724022441074575E-3</v>
      </c>
      <c r="L178">
        <f>Perhitungan!K$4+Perhitungan!K$3*Return!$B178</f>
        <v>-2.0641539707186916E-3</v>
      </c>
      <c r="M178">
        <f>Perhitungan!L$4+Perhitungan!L$3*Return!$B178</f>
        <v>8.9629199637982198E-4</v>
      </c>
      <c r="N178">
        <f>Perhitungan!M$4+Perhitungan!M$3*Return!$B178</f>
        <v>-8.3326713872437196E-3</v>
      </c>
      <c r="O178">
        <f>Perhitungan!N$4+Perhitungan!N$3*Return!$B178</f>
        <v>-2.5582645385099972E-3</v>
      </c>
      <c r="P178">
        <f>Perhitungan!O$4+Perhitungan!O$3*Return!$B178</f>
        <v>-5.7048969167747344E-3</v>
      </c>
      <c r="Q178">
        <f>Perhitungan!P$4+Perhitungan!P$3*Return!$B178</f>
        <v>-2.618189419536579E-3</v>
      </c>
      <c r="R178">
        <f>Perhitungan!Q$4+Perhitungan!Q$3*Return!$B178</f>
        <v>-3.3866141402697915E-3</v>
      </c>
      <c r="S178">
        <f>Perhitungan!R$4+Perhitungan!R$3*Return!$B178</f>
        <v>-2.4603801612579565E-3</v>
      </c>
      <c r="T178">
        <f>Perhitungan!S$4+Perhitungan!S$3*Return!$B178</f>
        <v>-1.3675684054785221E-3</v>
      </c>
      <c r="U178">
        <f>Perhitungan!T$4+Perhitungan!T$3*Return!$B178</f>
        <v>-4.5215108495488994E-3</v>
      </c>
      <c r="V178">
        <f>Perhitungan!U$4+Perhitungan!U$3*Return!$B178</f>
        <v>-4.0221741996387499E-3</v>
      </c>
      <c r="W178">
        <f>Perhitungan!V$4+Perhitungan!V$3*Return!$B178</f>
        <v>-6.0107560019009194E-3</v>
      </c>
      <c r="X178">
        <f>Perhitungan!W$4+Perhitungan!W$3*Return!$B178</f>
        <v>-9.1189885830254176E-3</v>
      </c>
      <c r="Y178">
        <f>Perhitungan!X$4+Perhitungan!X$3*Return!$B178</f>
        <v>-5.0597405367745936E-3</v>
      </c>
      <c r="Z178">
        <f>Perhitungan!Y$4+Perhitungan!Y$3*Return!$B178</f>
        <v>-4.4130482346239281E-3</v>
      </c>
      <c r="AA178">
        <f>Perhitungan!Z$4+Perhitungan!Z$3*Return!$B178</f>
        <v>-2.669753166973713E-3</v>
      </c>
      <c r="AB178">
        <f>Perhitungan!AA$4+Perhitungan!AA$3*Return!$B178</f>
        <v>-5.4542925571486956E-3</v>
      </c>
      <c r="AC178">
        <f>Perhitungan!AB$4+Perhitungan!AB$3*Return!$B178</f>
        <v>-2.6134972479718846E-3</v>
      </c>
      <c r="AD178">
        <f>Perhitungan!AC$4+Perhitungan!AC$3*Return!$B178</f>
        <v>-4.588699509693068E-3</v>
      </c>
      <c r="AE178">
        <f>Perhitungan!AD$4+Perhitungan!AD$3*Return!$B178</f>
        <v>-3.3514380480509092E-3</v>
      </c>
      <c r="AF178">
        <f>Perhitungan!AE$4+Perhitungan!AE$3*Return!$B178</f>
        <v>16.802177754715832</v>
      </c>
    </row>
    <row r="179" spans="1:32" x14ac:dyDescent="0.3">
      <c r="A179" s="2">
        <v>45669</v>
      </c>
      <c r="C179">
        <f>Perhitungan!B$4+Perhitungan!B$3*Return!$B179</f>
        <v>2.4070931458067039E-3</v>
      </c>
      <c r="D179">
        <f>Perhitungan!C$4+Perhitungan!C$3*Return!$B179</f>
        <v>5.8153438289854729E-3</v>
      </c>
      <c r="E179">
        <f>Perhitungan!D$4+Perhitungan!D$3*Return!$B179</f>
        <v>4.686769773061138E-3</v>
      </c>
      <c r="F179">
        <f>Perhitungan!E$4+Perhitungan!E$3*Return!$B179</f>
        <v>3.8798727196900406E-3</v>
      </c>
      <c r="G179">
        <f>Perhitungan!F$4+Perhitungan!F$3*Return!$B179</f>
        <v>5.8612299307480558E-3</v>
      </c>
      <c r="H179">
        <f>Perhitungan!G$4+Perhitungan!G$3*Return!$B179</f>
        <v>3.6217514366876941E-3</v>
      </c>
      <c r="I179">
        <f>Perhitungan!H$4+Perhitungan!H$3*Return!$B179</f>
        <v>1.3116625448170985E-4</v>
      </c>
      <c r="J179">
        <f>Perhitungan!I$4+Perhitungan!I$3*Return!$B179</f>
        <v>1.2933184610975053E-3</v>
      </c>
      <c r="K179">
        <f>Perhitungan!J$4+Perhitungan!J$3*Return!$B179</f>
        <v>5.755169848677728E-3</v>
      </c>
      <c r="L179">
        <f>Perhitungan!K$4+Perhitungan!K$3*Return!$B179</f>
        <v>1.2266748770446124E-3</v>
      </c>
      <c r="M179">
        <f>Perhitungan!L$4+Perhitungan!L$3*Return!$B179</f>
        <v>9.6856001006197599E-3</v>
      </c>
      <c r="N179">
        <f>Perhitungan!M$4+Perhitungan!M$3*Return!$B179</f>
        <v>4.4126452874655945E-3</v>
      </c>
      <c r="O179">
        <f>Perhitungan!N$4+Perhitungan!N$3*Return!$B179</f>
        <v>2.0906534471690527E-3</v>
      </c>
      <c r="P179">
        <f>Perhitungan!O$4+Perhitungan!O$3*Return!$B179</f>
        <v>2.2625175346256271E-3</v>
      </c>
      <c r="Q179">
        <f>Perhitungan!P$4+Perhitungan!P$3*Return!$B179</f>
        <v>7.0154459717716834E-3</v>
      </c>
      <c r="R179">
        <f>Perhitungan!Q$4+Perhitungan!Q$3*Return!$B179</f>
        <v>1.9174203033531802E-3</v>
      </c>
      <c r="S179">
        <f>Perhitungan!R$4+Perhitungan!R$3*Return!$B179</f>
        <v>2.4677619307401583E-3</v>
      </c>
      <c r="T179">
        <f>Perhitungan!S$4+Perhitungan!S$3*Return!$B179</f>
        <v>3.8096629560504828E-3</v>
      </c>
      <c r="U179">
        <f>Perhitungan!T$4+Perhitungan!T$3*Return!$B179</f>
        <v>5.4041780546534336E-3</v>
      </c>
      <c r="V179">
        <f>Perhitungan!U$4+Perhitungan!U$3*Return!$B179</f>
        <v>4.2932270389882121E-3</v>
      </c>
      <c r="W179">
        <f>Perhitungan!V$4+Perhitungan!V$3*Return!$B179</f>
        <v>1.1180004048088943E-2</v>
      </c>
      <c r="X179">
        <f>Perhitungan!W$4+Perhitungan!W$3*Return!$B179</f>
        <v>4.9979481555128581E-4</v>
      </c>
      <c r="Y179">
        <f>Perhitungan!X$4+Perhitungan!X$3*Return!$B179</f>
        <v>2.1520771997436362E-3</v>
      </c>
      <c r="Z179">
        <f>Perhitungan!Y$4+Perhitungan!Y$3*Return!$B179</f>
        <v>2.6201285790524841E-3</v>
      </c>
      <c r="AA179">
        <f>Perhitungan!Z$4+Perhitungan!Z$3*Return!$B179</f>
        <v>7.8621412617808431E-3</v>
      </c>
      <c r="AB179">
        <f>Perhitungan!AA$4+Perhitungan!AA$3*Return!$B179</f>
        <v>4.0844398500262235E-3</v>
      </c>
      <c r="AC179">
        <f>Perhitungan!AB$4+Perhitungan!AB$3*Return!$B179</f>
        <v>5.1988169384221345E-3</v>
      </c>
      <c r="AD179">
        <f>Perhitungan!AC$4+Perhitungan!AC$3*Return!$B179</f>
        <v>4.1035870621366219E-3</v>
      </c>
      <c r="AE179">
        <f>Perhitungan!AD$4+Perhitungan!AD$3*Return!$B179</f>
        <v>3.5600889050215836E-3</v>
      </c>
      <c r="AF179">
        <f>Perhitungan!AE$4+Perhitungan!AE$3*Return!$B179</f>
        <v>16.547480690708298</v>
      </c>
    </row>
    <row r="180" spans="1:32" x14ac:dyDescent="0.3">
      <c r="A180" s="1">
        <v>45700</v>
      </c>
      <c r="C180">
        <f>Perhitungan!B$4+Perhitungan!B$3*Return!$B180</f>
        <v>5.2186574060141353E-3</v>
      </c>
      <c r="D180">
        <f>Perhitungan!C$4+Perhitungan!C$3*Return!$B180</f>
        <v>9.0340747830141045E-3</v>
      </c>
      <c r="E180">
        <f>Perhitungan!D$4+Perhitungan!D$3*Return!$B180</f>
        <v>7.890030912447674E-3</v>
      </c>
      <c r="F180">
        <f>Perhitungan!E$4+Perhitungan!E$3*Return!$B180</f>
        <v>6.6522621048178002E-3</v>
      </c>
      <c r="G180">
        <f>Perhitungan!F$4+Perhitungan!F$3*Return!$B180</f>
        <v>8.8098365443517405E-3</v>
      </c>
      <c r="H180">
        <f>Perhitungan!G$4+Perhitungan!G$3*Return!$B180</f>
        <v>5.823845770602438E-3</v>
      </c>
      <c r="I180">
        <f>Perhitungan!H$4+Perhitungan!H$3*Return!$B180</f>
        <v>1.5183691493850971E-3</v>
      </c>
      <c r="J180">
        <f>Perhitungan!I$4+Perhitungan!I$3*Return!$B180</f>
        <v>2.2335647406958505E-3</v>
      </c>
      <c r="K180">
        <f>Perhitungan!J$4+Perhitungan!J$3*Return!$B180</f>
        <v>8.836357084106598E-3</v>
      </c>
      <c r="L180">
        <f>Perhitungan!K$4+Perhitungan!K$3*Return!$B180</f>
        <v>2.4157190421813836E-3</v>
      </c>
      <c r="M180">
        <f>Perhitungan!L$4+Perhitungan!L$3*Return!$B180</f>
        <v>1.2861357941699535E-2</v>
      </c>
      <c r="N180">
        <f>Perhitungan!M$4+Perhitungan!M$3*Return!$B180</f>
        <v>9.0177904122823449E-3</v>
      </c>
      <c r="O180">
        <f>Perhitungan!N$4+Perhitungan!N$3*Return!$B180</f>
        <v>3.7704031578925856E-3</v>
      </c>
      <c r="P180">
        <f>Perhitungan!O$4+Perhitungan!O$3*Return!$B180</f>
        <v>5.1413082900618971E-3</v>
      </c>
      <c r="Q180">
        <f>Perhitungan!P$4+Perhitungan!P$3*Return!$B180</f>
        <v>1.0496276632070454E-2</v>
      </c>
      <c r="R180">
        <f>Perhitungan!Q$4+Perhitungan!Q$3*Return!$B180</f>
        <v>3.8338770680861399E-3</v>
      </c>
      <c r="S180">
        <f>Perhitungan!R$4+Perhitungan!R$3*Return!$B180</f>
        <v>4.2484010555728065E-3</v>
      </c>
      <c r="T180">
        <f>Perhitungan!S$4+Perhitungan!S$3*Return!$B180</f>
        <v>5.6803031584946847E-3</v>
      </c>
      <c r="U180">
        <f>Perhitungan!T$4+Perhitungan!T$3*Return!$B180</f>
        <v>8.9905336575971002E-3</v>
      </c>
      <c r="V180">
        <f>Perhitungan!U$4+Perhitungan!U$3*Return!$B180</f>
        <v>7.2977525798046793E-3</v>
      </c>
      <c r="W180">
        <f>Perhitungan!V$4+Perhitungan!V$3*Return!$B180</f>
        <v>1.7391379320795611E-2</v>
      </c>
      <c r="X180">
        <f>Perhitungan!W$4+Perhitungan!W$3*Return!$B180</f>
        <v>3.975259145325114E-3</v>
      </c>
      <c r="Y180">
        <f>Perhitungan!X$4+Perhitungan!X$3*Return!$B180</f>
        <v>4.7578553171517199E-3</v>
      </c>
      <c r="Z180">
        <f>Perhitungan!Y$4+Perhitungan!Y$3*Return!$B180</f>
        <v>5.1613600558462792E-3</v>
      </c>
      <c r="AA180">
        <f>Perhitungan!Z$4+Perhitungan!Z$3*Return!$B180</f>
        <v>1.1667531392251643E-2</v>
      </c>
      <c r="AB180">
        <f>Perhitungan!AA$4+Perhitungan!AA$3*Return!$B180</f>
        <v>7.530980109712238E-3</v>
      </c>
      <c r="AC180">
        <f>Perhitungan!AB$4+Perhitungan!AB$3*Return!$B180</f>
        <v>8.0215667772235849E-3</v>
      </c>
      <c r="AD180">
        <f>Perhitungan!AC$4+Perhitungan!AC$3*Return!$B180</f>
        <v>7.2442890275261611E-3</v>
      </c>
      <c r="AE180">
        <f>Perhitungan!AD$4+Perhitungan!AD$3*Return!$B180</f>
        <v>6.0573657844685434E-3</v>
      </c>
      <c r="AF180">
        <f>Perhitungan!AE$4+Perhitungan!AE$3*Return!$B180</f>
        <v>16.455453401582805</v>
      </c>
    </row>
    <row r="181" spans="1:32" x14ac:dyDescent="0.3">
      <c r="A181" s="2">
        <v>45728</v>
      </c>
      <c r="C181">
        <f>Perhitungan!B$4+Perhitungan!B$3*Return!$B181</f>
        <v>-2.162478144446099E-3</v>
      </c>
      <c r="D181">
        <f>Perhitungan!C$4+Perhitungan!C$3*Return!$B181</f>
        <v>5.8401379440461238E-4</v>
      </c>
      <c r="E181">
        <f>Perhitungan!D$4+Perhitungan!D$3*Return!$B181</f>
        <v>-5.1941752448377866E-4</v>
      </c>
      <c r="F181">
        <f>Perhitungan!E$4+Perhitungan!E$3*Return!$B181</f>
        <v>-6.2602853925780577E-4</v>
      </c>
      <c r="G181">
        <f>Perhitungan!F$4+Perhitungan!F$3*Return!$B181</f>
        <v>1.0689268279981074E-3</v>
      </c>
      <c r="H181">
        <f>Perhitungan!G$4+Perhitungan!G$3*Return!$B181</f>
        <v>4.2737722114874726E-5</v>
      </c>
      <c r="I181">
        <f>Perhitungan!H$4+Perhitungan!H$3*Return!$B181</f>
        <v>-2.123422983268247E-3</v>
      </c>
      <c r="J181">
        <f>Perhitungan!I$4+Perhitungan!I$3*Return!$B181</f>
        <v>-2.3484238012140389E-4</v>
      </c>
      <c r="K181">
        <f>Perhitungan!J$4+Perhitungan!J$3*Return!$B181</f>
        <v>7.4738648402847025E-4</v>
      </c>
      <c r="L181">
        <f>Perhitungan!K$4+Perhitungan!K$3*Return!$B181</f>
        <v>-7.0585149510764159E-4</v>
      </c>
      <c r="M181">
        <f>Perhitungan!L$4+Perhitungan!L$3*Return!$B181</f>
        <v>4.5241132867552564E-3</v>
      </c>
      <c r="N181">
        <f>Perhitungan!M$4+Perhitungan!M$3*Return!$B181</f>
        <v>-3.0719920895430812E-3</v>
      </c>
      <c r="O181">
        <f>Perhitungan!N$4+Perhitungan!N$3*Return!$B181</f>
        <v>-6.394054604535696E-4</v>
      </c>
      <c r="P181">
        <f>Perhitungan!O$4+Perhitungan!O$3*Return!$B181</f>
        <v>-2.4163154456016212E-3</v>
      </c>
      <c r="Q181">
        <f>Perhitungan!P$4+Perhitungan!P$3*Return!$B181</f>
        <v>1.3581312602952088E-3</v>
      </c>
      <c r="R181">
        <f>Perhitungan!Q$4+Perhitungan!Q$3*Return!$B181</f>
        <v>-1.1973531823819107E-3</v>
      </c>
      <c r="S181">
        <f>Perhitungan!R$4+Perhitungan!R$3*Return!$B181</f>
        <v>-4.262702414200579E-4</v>
      </c>
      <c r="T181">
        <f>Perhitungan!S$4+Perhitungan!S$3*Return!$B181</f>
        <v>7.6935408441506877E-4</v>
      </c>
      <c r="U181">
        <f>Perhitungan!T$4+Perhitungan!T$3*Return!$B181</f>
        <v>-4.2464394020276129E-4</v>
      </c>
      <c r="V181">
        <f>Perhitungan!U$4+Perhitungan!U$3*Return!$B181</f>
        <v>-5.8995982124498568E-4</v>
      </c>
      <c r="W181">
        <f>Perhitungan!V$4+Perhitungan!V$3*Return!$B181</f>
        <v>1.0847974327322328E-3</v>
      </c>
      <c r="X181">
        <f>Perhitungan!W$4+Perhitungan!W$3*Return!$B181</f>
        <v>-5.148798121271894E-3</v>
      </c>
      <c r="Y181">
        <f>Perhitungan!X$4+Perhitungan!X$3*Return!$B181</f>
        <v>-2.0830345644094923E-3</v>
      </c>
      <c r="Z181">
        <f>Perhitungan!Y$4+Perhitungan!Y$3*Return!$B181</f>
        <v>-1.5100770017322596E-3</v>
      </c>
      <c r="AA181">
        <f>Perhitungan!Z$4+Perhitungan!Z$3*Return!$B181</f>
        <v>1.6773274431815788E-3</v>
      </c>
      <c r="AB181">
        <f>Perhitungan!AA$4+Perhitungan!AA$3*Return!$B181</f>
        <v>-1.5171434551334846E-3</v>
      </c>
      <c r="AC181">
        <f>Perhitungan!AB$4+Perhitungan!AB$3*Return!$B181</f>
        <v>6.1106598230449137E-4</v>
      </c>
      <c r="AD181">
        <f>Perhitungan!AC$4+Perhitungan!AC$3*Return!$B181</f>
        <v>-1.0009242362200284E-3</v>
      </c>
      <c r="AE181">
        <f>Perhitungan!AD$4+Perhitungan!AD$3*Return!$B181</f>
        <v>-4.9867827083198055E-4</v>
      </c>
      <c r="AF181">
        <f>Perhitungan!AE$4+Perhitungan!AE$3*Return!$B181</f>
        <v>16.697050545560778</v>
      </c>
    </row>
    <row r="182" spans="1:32" x14ac:dyDescent="0.3">
      <c r="A182" s="1">
        <v>45759</v>
      </c>
      <c r="C182">
        <f>Perhitungan!B$4+Perhitungan!B$3*Return!$B182</f>
        <v>1.1946325914295279E-3</v>
      </c>
      <c r="D182">
        <f>Perhitungan!C$4+Perhitungan!C$3*Return!$B182</f>
        <v>4.4272964803452504E-3</v>
      </c>
      <c r="E182">
        <f>Perhitungan!D$4+Perhitungan!D$3*Return!$B182</f>
        <v>3.3053936359960998E-3</v>
      </c>
      <c r="F182">
        <f>Perhitungan!E$4+Perhitungan!E$3*Return!$B182</f>
        <v>2.6843059604962083E-3</v>
      </c>
      <c r="G182">
        <f>Perhitungan!F$4+Perhitungan!F$3*Return!$B182</f>
        <v>4.5896711547425703E-3</v>
      </c>
      <c r="H182">
        <f>Perhitungan!G$4+Perhitungan!G$3*Return!$B182</f>
        <v>2.6721190364337073E-3</v>
      </c>
      <c r="I182">
        <f>Perhitungan!H$4+Perhitungan!H$3*Return!$B182</f>
        <v>-4.6705190285967505E-4</v>
      </c>
      <c r="J182">
        <f>Perhitungan!I$4+Perhitungan!I$3*Return!$B182</f>
        <v>8.8784612616009265E-4</v>
      </c>
      <c r="K182">
        <f>Perhitungan!J$4+Perhitungan!J$3*Return!$B182</f>
        <v>4.4264369306784264E-3</v>
      </c>
      <c r="L182">
        <f>Perhitungan!K$4+Perhitungan!K$3*Return!$B182</f>
        <v>7.1391080188372208E-4</v>
      </c>
      <c r="M182">
        <f>Perhitungan!L$4+Perhitungan!L$3*Return!$B182</f>
        <v>8.3160845013998553E-3</v>
      </c>
      <c r="N182">
        <f>Perhitungan!M$4+Perhitungan!M$3*Return!$B182</f>
        <v>2.4267199113154779E-3</v>
      </c>
      <c r="O182">
        <f>Perhitungan!N$4+Perhitungan!N$3*Return!$B182</f>
        <v>1.3662772362804929E-3</v>
      </c>
      <c r="P182">
        <f>Perhitungan!O$4+Perhitungan!O$3*Return!$B182</f>
        <v>1.0210661885999698E-3</v>
      </c>
      <c r="Q182">
        <f>Perhitungan!P$4+Perhitungan!P$3*Return!$B182</f>
        <v>5.5143705982472133E-3</v>
      </c>
      <c r="R182">
        <f>Perhitungan!Q$4+Perhitungan!Q$3*Return!$B182</f>
        <v>1.090966409236394E-3</v>
      </c>
      <c r="S182">
        <f>Perhitungan!R$4+Perhitungan!R$3*Return!$B182</f>
        <v>1.6998781121142245E-3</v>
      </c>
      <c r="T182">
        <f>Perhitungan!S$4+Perhitungan!S$3*Return!$B182</f>
        <v>3.0029670220481086E-3</v>
      </c>
      <c r="U182">
        <f>Perhitungan!T$4+Perhitungan!T$3*Return!$B182</f>
        <v>3.8575960454561905E-3</v>
      </c>
      <c r="V182">
        <f>Perhitungan!U$4+Perhitungan!U$3*Return!$B182</f>
        <v>2.997553753331226E-3</v>
      </c>
      <c r="W182">
        <f>Perhitungan!V$4+Perhitungan!V$3*Return!$B182</f>
        <v>8.5014070787153943E-3</v>
      </c>
      <c r="X182">
        <f>Perhitungan!W$4+Perhitungan!W$3*Return!$B182</f>
        <v>-9.989663785765642E-4</v>
      </c>
      <c r="Y182">
        <f>Perhitungan!X$4+Perhitungan!X$3*Return!$B182</f>
        <v>1.0283599774371377E-3</v>
      </c>
      <c r="Z182">
        <f>Perhitungan!Y$4+Perhitungan!Y$3*Return!$B182</f>
        <v>1.5242464863818314E-3</v>
      </c>
      <c r="AA182">
        <f>Perhitungan!Z$4+Perhitungan!Z$3*Return!$B182</f>
        <v>6.2211026796245667E-3</v>
      </c>
      <c r="AB182">
        <f>Perhitungan!AA$4+Perhitungan!AA$3*Return!$B182</f>
        <v>2.5981518881662098E-3</v>
      </c>
      <c r="AC182">
        <f>Perhitungan!AB$4+Perhitungan!AB$3*Return!$B182</f>
        <v>3.9815327088350127E-3</v>
      </c>
      <c r="AD182">
        <f>Perhitungan!AC$4+Perhitungan!AC$3*Return!$B182</f>
        <v>2.7491889784845192E-3</v>
      </c>
      <c r="AE182">
        <f>Perhitungan!AD$4+Perhitungan!AD$3*Return!$B182</f>
        <v>2.4831618176555724E-3</v>
      </c>
      <c r="AF182">
        <f>Perhitungan!AE$4+Perhitungan!AE$3*Return!$B182</f>
        <v>16.587166590678692</v>
      </c>
    </row>
    <row r="183" spans="1:32" x14ac:dyDescent="0.3">
      <c r="A183" s="2">
        <v>45789</v>
      </c>
      <c r="C183">
        <f>Perhitungan!B$4+Perhitungan!B$3*Return!$B183</f>
        <v>-2.3787994602727956E-3</v>
      </c>
      <c r="D183">
        <f>Perhitungan!C$4+Perhitungan!C$3*Return!$B183</f>
        <v>3.3636513663706021E-4</v>
      </c>
      <c r="E183">
        <f>Perhitungan!D$4+Perhitungan!D$3*Return!$B183</f>
        <v>-7.6587593712468141E-4</v>
      </c>
      <c r="F183">
        <f>Perhitungan!E$4+Perhitungan!E$3*Return!$B183</f>
        <v>-8.3933574630366413E-4</v>
      </c>
      <c r="G183">
        <f>Perhitungan!F$4+Perhitungan!F$3*Return!$B183</f>
        <v>8.4206149486750728E-4</v>
      </c>
      <c r="H183">
        <f>Perhitungan!G$4+Perhitungan!G$3*Return!$B183</f>
        <v>-1.2669107260589922E-4</v>
      </c>
      <c r="I183">
        <f>Perhitungan!H$4+Perhitungan!H$3*Return!$B183</f>
        <v>-2.2301541577219881E-3</v>
      </c>
      <c r="J183">
        <f>Perhitungan!I$4+Perhitungan!I$3*Return!$B183</f>
        <v>-3.0718478227900699E-4</v>
      </c>
      <c r="K183">
        <f>Perhitungan!J$4+Perhitungan!J$3*Return!$B183</f>
        <v>5.1032041852541157E-4</v>
      </c>
      <c r="L183">
        <f>Perhitungan!K$4+Perhitungan!K$3*Return!$B183</f>
        <v>-7.9733636778825563E-4</v>
      </c>
      <c r="M183">
        <f>Perhitungan!L$4+Perhitungan!L$3*Return!$B183</f>
        <v>4.27977097359801E-3</v>
      </c>
      <c r="N183">
        <f>Perhitungan!M$4+Perhitungan!M$3*Return!$B183</f>
        <v>-3.4263112374539164E-3</v>
      </c>
      <c r="O183">
        <f>Perhitungan!N$4+Perhitungan!N$3*Return!$B183</f>
        <v>-7.6864514130525979E-4</v>
      </c>
      <c r="P183">
        <f>Perhitungan!O$4+Perhitungan!O$3*Return!$B183</f>
        <v>-2.6378091574898771E-3</v>
      </c>
      <c r="Q183">
        <f>Perhitungan!P$4+Perhitungan!P$3*Return!$B183</f>
        <v>1.0903166919914472E-3</v>
      </c>
      <c r="R183">
        <f>Perhitungan!Q$4+Perhitungan!Q$3*Return!$B183</f>
        <v>-1.3448050670638637E-3</v>
      </c>
      <c r="S183">
        <f>Perhitungan!R$4+Perhitungan!R$3*Return!$B183</f>
        <v>-5.6327233806353872E-4</v>
      </c>
      <c r="T183">
        <f>Perhitungan!S$4+Perhitungan!S$3*Return!$B183</f>
        <v>6.2542731889230873E-4</v>
      </c>
      <c r="U183">
        <f>Perhitungan!T$4+Perhitungan!T$3*Return!$B183</f>
        <v>-7.0057758114112684E-4</v>
      </c>
      <c r="V183">
        <f>Perhitungan!U$4+Perhitungan!U$3*Return!$B183</f>
        <v>-8.2112754791696381E-4</v>
      </c>
      <c r="W183">
        <f>Perhitungan!V$4+Perhitungan!V$3*Return!$B183</f>
        <v>6.0689518767162074E-4</v>
      </c>
      <c r="X183">
        <f>Perhitungan!W$4+Perhitungan!W$3*Return!$B183</f>
        <v>-5.4161998049417365E-3</v>
      </c>
      <c r="Y183">
        <f>Perhitungan!X$4+Perhitungan!X$3*Return!$B183</f>
        <v>-2.2835227264935204E-3</v>
      </c>
      <c r="Z183">
        <f>Perhitungan!Y$4+Perhitungan!Y$3*Return!$B183</f>
        <v>-1.7055989553509524E-3</v>
      </c>
      <c r="AA183">
        <f>Perhitungan!Z$4+Perhitungan!Z$3*Return!$B183</f>
        <v>1.3845413198451577E-3</v>
      </c>
      <c r="AB183">
        <f>Perhitungan!AA$4+Perhitungan!AA$3*Return!$B183</f>
        <v>-1.7823197253603498E-3</v>
      </c>
      <c r="AC183">
        <f>Perhitungan!AB$4+Perhitungan!AB$3*Return!$B183</f>
        <v>3.938840498047255E-4</v>
      </c>
      <c r="AD183">
        <f>Perhitungan!AC$4+Perhitungan!AC$3*Return!$B183</f>
        <v>-1.2425693557672627E-3</v>
      </c>
      <c r="AE183">
        <f>Perhitungan!AD$4+Perhitungan!AD$3*Return!$B183</f>
        <v>-6.9081836458381111E-4</v>
      </c>
      <c r="AF183">
        <f>Perhitungan!AE$4+Perhitungan!AE$3*Return!$B183</f>
        <v>16.704131110838031</v>
      </c>
    </row>
    <row r="184" spans="1:32" x14ac:dyDescent="0.3">
      <c r="A184" s="1">
        <v>45881</v>
      </c>
      <c r="C184">
        <f>Perhitungan!B$4+Perhitungan!B$3*Return!$B184</f>
        <v>6.1161373433134877E-3</v>
      </c>
      <c r="D184">
        <f>Perhitungan!C$4+Perhitungan!C$3*Return!$B184</f>
        <v>1.0061526474476416E-2</v>
      </c>
      <c r="E184">
        <f>Perhitungan!D$4+Perhitungan!D$3*Return!$B184</f>
        <v>8.9125444815730624E-3</v>
      </c>
      <c r="F184">
        <f>Perhitungan!E$4+Perhitungan!E$3*Return!$B184</f>
        <v>7.5372370231397041E-3</v>
      </c>
      <c r="G184">
        <f>Perhitungan!F$4+Perhitungan!F$3*Return!$B184</f>
        <v>9.7510617961275095E-3</v>
      </c>
      <c r="H184">
        <f>Perhitungan!G$4+Perhitungan!G$3*Return!$B184</f>
        <v>6.5267767022195783E-3</v>
      </c>
      <c r="I184">
        <f>Perhitungan!H$4+Perhitungan!H$3*Return!$B184</f>
        <v>1.9611784369976521E-3</v>
      </c>
      <c r="J184">
        <f>Perhitungan!I$4+Perhitungan!I$3*Return!$B184</f>
        <v>2.533700926093803E-3</v>
      </c>
      <c r="K184">
        <f>Perhitungan!J$4+Perhitungan!J$3*Return!$B184</f>
        <v>9.8199034202149718E-3</v>
      </c>
      <c r="L184">
        <f>Perhitungan!K$4+Perhitungan!K$3*Return!$B184</f>
        <v>2.795274045734594E-3</v>
      </c>
      <c r="M184">
        <f>Perhitungan!L$4+Perhitungan!L$3*Return!$B184</f>
        <v>1.3875092177985469E-2</v>
      </c>
      <c r="N184">
        <f>Perhitungan!M$4+Perhitungan!M$3*Return!$B184</f>
        <v>1.0487799622589363E-2</v>
      </c>
      <c r="O184">
        <f>Perhitungan!N$4+Perhitungan!N$3*Return!$B184</f>
        <v>4.3065963676282718E-3</v>
      </c>
      <c r="P184">
        <f>Perhitungan!O$4+Perhitungan!O$3*Return!$B184</f>
        <v>6.0602476090928911E-3</v>
      </c>
      <c r="Q184">
        <f>Perhitungan!P$4+Perhitungan!P$3*Return!$B184</f>
        <v>1.1607393218295707E-2</v>
      </c>
      <c r="R184">
        <f>Perhitungan!Q$4+Perhitungan!Q$3*Return!$B184</f>
        <v>4.4456295794523797E-3</v>
      </c>
      <c r="S184">
        <f>Perhitungan!R$4+Perhitungan!R$3*Return!$B184</f>
        <v>4.8167991934797367E-3</v>
      </c>
      <c r="T184">
        <f>Perhitungan!S$4+Perhitungan!S$3*Return!$B184</f>
        <v>6.2774305567051773E-3</v>
      </c>
      <c r="U184">
        <f>Perhitungan!T$4+Perhitungan!T$3*Return!$B184</f>
        <v>1.0135334879898027E-2</v>
      </c>
      <c r="V184">
        <f>Perhitungan!U$4+Perhitungan!U$3*Return!$B184</f>
        <v>8.2568277224753742E-3</v>
      </c>
      <c r="W184">
        <f>Perhitungan!V$4+Perhitungan!V$3*Return!$B184</f>
        <v>1.9374113547855478E-2</v>
      </c>
      <c r="X184">
        <f>Perhitungan!W$4+Perhitungan!W$3*Return!$B184</f>
        <v>5.0846627442104652E-3</v>
      </c>
      <c r="Y184">
        <f>Perhitungan!X$4+Perhitungan!X$3*Return!$B184</f>
        <v>5.5896462224945334E-3</v>
      </c>
      <c r="Z184">
        <f>Perhitungan!Y$4+Perhitungan!Y$3*Return!$B184</f>
        <v>5.9725470163348778E-3</v>
      </c>
      <c r="AA184">
        <f>Perhitungan!Z$4+Perhitungan!Z$3*Return!$B184</f>
        <v>1.2882250665800288E-2</v>
      </c>
      <c r="AB184">
        <f>Perhitungan!AA$4+Perhitungan!AA$3*Return!$B184</f>
        <v>8.6311508509402876E-3</v>
      </c>
      <c r="AC184">
        <f>Perhitungan!AB$4+Perhitungan!AB$3*Return!$B184</f>
        <v>8.9226172650941279E-3</v>
      </c>
      <c r="AD184">
        <f>Perhitungan!AC$4+Perhitungan!AC$3*Return!$B184</f>
        <v>8.2468330713766115E-3</v>
      </c>
      <c r="AE184">
        <f>Perhitungan!AD$4+Perhitungan!AD$3*Return!$B184</f>
        <v>6.8545219899681202E-3</v>
      </c>
      <c r="AF184">
        <f>Perhitungan!AE$4+Perhitungan!AE$3*Return!$B184</f>
        <v>16.426077353934481</v>
      </c>
    </row>
    <row r="185" spans="1:32" x14ac:dyDescent="0.3">
      <c r="A185" s="2">
        <v>45912</v>
      </c>
      <c r="C185">
        <f>Perhitungan!B$4+Perhitungan!B$3*Return!$B185</f>
        <v>-6.9168898718887702E-3</v>
      </c>
      <c r="D185">
        <f>Perhitungan!C$4+Perhitungan!C$3*Return!$B185</f>
        <v>-4.8589250037245945E-3</v>
      </c>
      <c r="E185">
        <f>Perhitungan!D$4+Perhitungan!D$3*Return!$B185</f>
        <v>-5.9361965548293677E-3</v>
      </c>
      <c r="F185">
        <f>Perhitungan!E$4+Perhitungan!E$3*Return!$B185</f>
        <v>-5.3141947648152922E-3</v>
      </c>
      <c r="G185">
        <f>Perhitungan!F$4+Perhitungan!F$3*Return!$B185</f>
        <v>-3.917226276074319E-3</v>
      </c>
      <c r="H185">
        <f>Perhitungan!G$4+Perhitungan!G$3*Return!$B185</f>
        <v>-3.6810480985680514E-3</v>
      </c>
      <c r="I185">
        <f>Perhitungan!H$4+Perhitungan!H$3*Return!$B185</f>
        <v>-4.4692109864862481E-3</v>
      </c>
      <c r="J185">
        <f>Perhitungan!I$4+Perhitungan!I$3*Return!$B185</f>
        <v>-1.8248177549246472E-3</v>
      </c>
      <c r="K185">
        <f>Perhitungan!J$4+Perhitungan!J$3*Return!$B185</f>
        <v>-4.4629631188253145E-3</v>
      </c>
      <c r="L185">
        <f>Perhitungan!K$4+Perhitungan!K$3*Return!$B185</f>
        <v>-2.7165490997060385E-3</v>
      </c>
      <c r="M185">
        <f>Perhitungan!L$4+Perhitungan!L$3*Return!$B185</f>
        <v>-8.4615711283850693E-4</v>
      </c>
      <c r="N185">
        <f>Perhitungan!M$4+Perhitungan!M$3*Return!$B185</f>
        <v>-1.085938514254371E-2</v>
      </c>
      <c r="O185">
        <f>Perhitungan!N$4+Perhitungan!N$3*Return!$B185</f>
        <v>-3.4798960147200378E-3</v>
      </c>
      <c r="P185">
        <f>Perhitungan!O$4+Perhitungan!O$3*Return!$B185</f>
        <v>-7.2844085289480252E-3</v>
      </c>
      <c r="Q185">
        <f>Perhitungan!P$4+Perhitungan!P$3*Return!$B185</f>
        <v>-4.5280234140943152E-3</v>
      </c>
      <c r="R185">
        <f>Perhitungan!Q$4+Perhitungan!Q$3*Return!$B185</f>
        <v>-4.4381201270830032E-3</v>
      </c>
      <c r="S185">
        <f>Perhitungan!R$4+Perhitungan!R$3*Return!$B185</f>
        <v>-3.4373668246519846E-3</v>
      </c>
      <c r="T185">
        <f>Perhitungan!S$4+Perhitungan!S$3*Return!$B185</f>
        <v>-2.3939361317119063E-3</v>
      </c>
      <c r="U185">
        <f>Perhitungan!T$4+Perhitungan!T$3*Return!$B185</f>
        <v>-6.4892434155699417E-3</v>
      </c>
      <c r="V185">
        <f>Perhitungan!U$4+Perhitungan!U$3*Return!$B185</f>
        <v>-5.6706729562188037E-3</v>
      </c>
      <c r="W185">
        <f>Perhitungan!V$4+Perhitungan!V$3*Return!$B185</f>
        <v>-9.418763114706661E-3</v>
      </c>
      <c r="X185">
        <f>Perhitungan!W$4+Perhitungan!W$3*Return!$B185</f>
        <v>-1.1025878222783173E-2</v>
      </c>
      <c r="Y185">
        <f>Perhitungan!X$4+Perhitungan!X$3*Return!$B185</f>
        <v>-6.4894577843448795E-3</v>
      </c>
      <c r="Z185">
        <f>Perhitungan!Y$4+Perhitungan!Y$3*Return!$B185</f>
        <v>-5.8073505538307965E-3</v>
      </c>
      <c r="AA185">
        <f>Perhitungan!Z$4+Perhitungan!Z$3*Return!$B185</f>
        <v>-4.7576638248003778E-3</v>
      </c>
      <c r="AB185">
        <f>Perhitungan!AA$4+Perhitungan!AA$3*Return!$B185</f>
        <v>-7.3453123722278975E-3</v>
      </c>
      <c r="AC185">
        <f>Perhitungan!AB$4+Perhitungan!AB$3*Return!$B185</f>
        <v>-4.1622607835736574E-3</v>
      </c>
      <c r="AD185">
        <f>Perhitungan!AC$4+Perhitungan!AC$3*Return!$B185</f>
        <v>-6.3119144447627293E-3</v>
      </c>
      <c r="AE185">
        <f>Perhitungan!AD$4+Perhitungan!AD$3*Return!$B185</f>
        <v>-4.7216237145324517E-3</v>
      </c>
      <c r="AF185">
        <f>Perhitungan!AE$4+Perhitungan!AE$3*Return!$B185</f>
        <v>16.852670542889495</v>
      </c>
    </row>
    <row r="186" spans="1:32" x14ac:dyDescent="0.3">
      <c r="A186" s="1">
        <v>45942</v>
      </c>
      <c r="C186">
        <f>Perhitungan!B$4+Perhitungan!B$3*Return!$B186</f>
        <v>2.7008547028894848E-3</v>
      </c>
      <c r="D186">
        <f>Perhitungan!C$4+Perhitungan!C$3*Return!$B186</f>
        <v>6.1516475124076819E-3</v>
      </c>
      <c r="E186">
        <f>Perhitungan!D$4+Perhitungan!D$3*Return!$B186</f>
        <v>5.0214571189514745E-3</v>
      </c>
      <c r="F186">
        <f>Perhitungan!E$4+Perhitungan!E$3*Return!$B186</f>
        <v>4.1695411559202044E-3</v>
      </c>
      <c r="G186">
        <f>Perhitungan!F$4+Perhitungan!F$3*Return!$B186</f>
        <v>6.1693101273475465E-3</v>
      </c>
      <c r="H186">
        <f>Perhitungan!G$4+Perhitungan!G$3*Return!$B186</f>
        <v>3.8518335548628057E-3</v>
      </c>
      <c r="I186">
        <f>Perhitungan!H$4+Perhitungan!H$3*Return!$B186</f>
        <v>2.7610581292043324E-4</v>
      </c>
      <c r="J186">
        <f>Perhitungan!I$4+Perhitungan!I$3*Return!$B186</f>
        <v>1.3915585102563762E-3</v>
      </c>
      <c r="K186">
        <f>Perhitungan!J$4+Perhitungan!J$3*Return!$B186</f>
        <v>6.0771025082842333E-3</v>
      </c>
      <c r="L186">
        <f>Perhitungan!K$4+Perhitungan!K$3*Return!$B186</f>
        <v>1.3509101543009122E-3</v>
      </c>
      <c r="M186">
        <f>Perhitungan!L$4+Perhitungan!L$3*Return!$B186</f>
        <v>1.0017413810701783E-2</v>
      </c>
      <c r="N186">
        <f>Perhitungan!M$4+Perhitungan!M$3*Return!$B186</f>
        <v>4.8938061208155456E-3</v>
      </c>
      <c r="O186">
        <f>Perhitungan!N$4+Perhitungan!N$3*Return!$B186</f>
        <v>2.2661592670129467E-3</v>
      </c>
      <c r="P186">
        <f>Perhitungan!O$4+Perhitungan!O$3*Return!$B186</f>
        <v>2.5633031388536745E-3</v>
      </c>
      <c r="Q186">
        <f>Perhitungan!P$4+Perhitungan!P$3*Return!$B186</f>
        <v>7.3791347016303466E-3</v>
      </c>
      <c r="R186">
        <f>Perhitungan!Q$4+Perhitungan!Q$3*Return!$B186</f>
        <v>2.1176580611230308E-3</v>
      </c>
      <c r="S186">
        <f>Perhitungan!R$4+Perhitungan!R$3*Return!$B186</f>
        <v>2.6538090111205186E-3</v>
      </c>
      <c r="T186">
        <f>Perhitungan!S$4+Perhitungan!S$3*Return!$B186</f>
        <v>4.0051136474642075E-3</v>
      </c>
      <c r="U186">
        <f>Perhitungan!T$4+Perhitungan!T$3*Return!$B186</f>
        <v>5.778892380441443E-3</v>
      </c>
      <c r="V186">
        <f>Perhitungan!U$4+Perhitungan!U$3*Return!$B186</f>
        <v>4.6071498305306369E-3</v>
      </c>
      <c r="W186">
        <f>Perhitungan!V$4+Perhitungan!V$3*Return!$B186</f>
        <v>1.1828989133566297E-2</v>
      </c>
      <c r="X186">
        <f>Perhitungan!W$4+Perhitungan!W$3*Return!$B186</f>
        <v>8.629228534018955E-4</v>
      </c>
      <c r="Y186">
        <f>Perhitungan!X$4+Perhitungan!X$3*Return!$B186</f>
        <v>2.4243375382377538E-3</v>
      </c>
      <c r="Z186">
        <f>Perhitungan!Y$4+Perhitungan!Y$3*Return!$B186</f>
        <v>2.8856448704978892E-3</v>
      </c>
      <c r="AA186">
        <f>Perhitungan!Z$4+Perhitungan!Z$3*Return!$B186</f>
        <v>8.2597410413256557E-3</v>
      </c>
      <c r="AB186">
        <f>Perhitungan!AA$4+Perhitungan!AA$3*Return!$B186</f>
        <v>4.4445458051215409E-3</v>
      </c>
      <c r="AC186">
        <f>Perhitungan!AB$4+Perhitungan!AB$3*Return!$B186</f>
        <v>5.4937472018479145E-3</v>
      </c>
      <c r="AD186">
        <f>Perhitungan!AC$4+Perhitungan!AC$3*Return!$B186</f>
        <v>4.4317380180808816E-3</v>
      </c>
      <c r="AE186">
        <f>Perhitungan!AD$4+Perhitungan!AD$3*Return!$B186</f>
        <v>3.82101267438229E-3</v>
      </c>
      <c r="AF186">
        <f>Perhitungan!AE$4+Perhitungan!AE$3*Return!$B186</f>
        <v>16.53786537437702</v>
      </c>
    </row>
    <row r="187" spans="1:32" x14ac:dyDescent="0.3">
      <c r="A187" s="2">
        <v>45973</v>
      </c>
      <c r="C187">
        <f>Perhitungan!B$4+Perhitungan!B$3*Return!$B187</f>
        <v>-9.5804620849182145E-3</v>
      </c>
      <c r="D187">
        <f>Perhitungan!C$4+Perhitungan!C$3*Return!$B187</f>
        <v>-7.9082319150793057E-3</v>
      </c>
      <c r="E187">
        <f>Perhitungan!D$4+Perhitungan!D$3*Return!$B187</f>
        <v>-8.9708479347403967E-3</v>
      </c>
      <c r="F187">
        <f>Perhitungan!E$4+Perhitungan!E$3*Return!$B187</f>
        <v>-7.9406541470309691E-3</v>
      </c>
      <c r="G187">
        <f>Perhitungan!F$4+Perhitungan!F$3*Return!$B187</f>
        <v>-6.7106273568556564E-3</v>
      </c>
      <c r="H187">
        <f>Perhitungan!G$4+Perhitungan!G$3*Return!$B187</f>
        <v>-5.7672309972837113E-3</v>
      </c>
      <c r="I187">
        <f>Perhitungan!H$4+Perhitungan!H$3*Return!$B187</f>
        <v>-5.7833958112805638E-3</v>
      </c>
      <c r="J187">
        <f>Perhitungan!I$4+Perhitungan!I$3*Return!$B187</f>
        <v>-2.7155723783162874E-3</v>
      </c>
      <c r="K187">
        <f>Perhitungan!J$4+Perhitungan!J$3*Return!$B187</f>
        <v>-7.3819661875383358E-3</v>
      </c>
      <c r="L187">
        <f>Perhitungan!K$4+Perhitungan!K$3*Return!$B187</f>
        <v>-3.8430056574122579E-3</v>
      </c>
      <c r="M187">
        <f>Perhitungan!L$4+Perhitungan!L$3*Return!$B187</f>
        <v>-3.8547528830046801E-3</v>
      </c>
      <c r="N187">
        <f>Perhitungan!M$4+Perhitungan!M$3*Return!$B187</f>
        <v>-1.5222129670575566E-2</v>
      </c>
      <c r="O187">
        <f>Perhitungan!N$4+Perhitungan!N$3*Return!$B187</f>
        <v>-5.0712288957253451E-3</v>
      </c>
      <c r="P187">
        <f>Perhitungan!O$4+Perhitungan!O$3*Return!$B187</f>
        <v>-1.0011668642412538E-2</v>
      </c>
      <c r="Q187">
        <f>Perhitungan!P$4+Perhitungan!P$3*Return!$B187</f>
        <v>-7.8256339137912738E-3</v>
      </c>
      <c r="R187">
        <f>Perhitungan!Q$4+Perhitungan!Q$3*Return!$B187</f>
        <v>-6.253700534851598E-3</v>
      </c>
      <c r="S187">
        <f>Perhitungan!R$4+Perhitungan!R$3*Return!$B187</f>
        <v>-5.1242786130339391E-3</v>
      </c>
      <c r="T187">
        <f>Perhitungan!S$4+Perhitungan!S$3*Return!$B187</f>
        <v>-4.1661116193312227E-3</v>
      </c>
      <c r="U187">
        <f>Perhitungan!T$4+Perhitungan!T$3*Return!$B187</f>
        <v>-9.8868243512937604E-3</v>
      </c>
      <c r="V187">
        <f>Perhitungan!U$4+Perhitungan!U$3*Return!$B187</f>
        <v>-8.5170495648279818E-3</v>
      </c>
      <c r="W187">
        <f>Perhitungan!V$4+Perhitungan!V$3*Return!$B187</f>
        <v>-1.5303190803319773E-2</v>
      </c>
      <c r="X187">
        <f>Perhitungan!W$4+Perhitungan!W$3*Return!$B187</f>
        <v>-1.4318404858997276E-2</v>
      </c>
      <c r="Y187">
        <f>Perhitungan!X$4+Perhitungan!X$3*Return!$B187</f>
        <v>-8.9580758006858174E-3</v>
      </c>
      <c r="Z187">
        <f>Perhitungan!Y$4+Perhitungan!Y$3*Return!$B187</f>
        <v>-8.2148194650924385E-3</v>
      </c>
      <c r="AA187">
        <f>Perhitungan!Z$4+Perhitungan!Z$3*Return!$B187</f>
        <v>-8.3627499879424215E-3</v>
      </c>
      <c r="AB187">
        <f>Perhitungan!AA$4+Perhitungan!AA$3*Return!$B187</f>
        <v>-1.0610437411948547E-2</v>
      </c>
      <c r="AC187">
        <f>Perhitungan!AB$4+Perhitungan!AB$3*Return!$B187</f>
        <v>-6.8364298009341851E-3</v>
      </c>
      <c r="AD187">
        <f>Perhitungan!AC$4+Perhitungan!AC$3*Return!$B187</f>
        <v>-9.2872995721157668E-3</v>
      </c>
      <c r="AE187">
        <f>Perhitungan!AD$4+Perhitungan!AD$3*Return!$B187</f>
        <v>-7.087451662510796E-3</v>
      </c>
      <c r="AF187">
        <f>Perhitungan!AE$4+Perhitungan!AE$3*Return!$B187</f>
        <v>16.939853800133278</v>
      </c>
    </row>
    <row r="188" spans="1:32" x14ac:dyDescent="0.3">
      <c r="A188" s="1">
        <v>46003</v>
      </c>
      <c r="C188">
        <f>Perhitungan!B$4+Perhitungan!B$3*Return!$B188</f>
        <v>2.348652551159089E-3</v>
      </c>
      <c r="D188">
        <f>Perhitungan!C$4+Perhitungan!C$3*Return!$B188</f>
        <v>5.7484399514442786E-3</v>
      </c>
      <c r="E188">
        <f>Perhitungan!D$4+Perhitungan!D$3*Return!$B188</f>
        <v>4.6201874478954555E-3</v>
      </c>
      <c r="F188">
        <f>Perhitungan!E$4+Perhitungan!E$3*Return!$B188</f>
        <v>3.8222464059135064E-3</v>
      </c>
      <c r="G188">
        <f>Perhitungan!F$4+Perhitungan!F$3*Return!$B188</f>
        <v>5.7999408020165035E-3</v>
      </c>
      <c r="H188">
        <f>Perhitungan!G$4+Perhitungan!G$3*Return!$B188</f>
        <v>3.5759791581858238E-3</v>
      </c>
      <c r="I188">
        <f>Perhitungan!H$4+Perhitungan!H$3*Return!$B188</f>
        <v>1.0233214130762024E-4</v>
      </c>
      <c r="J188">
        <f>Perhitungan!I$4+Perhitungan!I$3*Return!$B188</f>
        <v>1.2737746959157414E-3</v>
      </c>
      <c r="K188">
        <f>Perhitungan!J$4+Perhitungan!J$3*Return!$B188</f>
        <v>5.6911249264941545E-3</v>
      </c>
      <c r="L188">
        <f>Perhitungan!K$4+Perhitungan!K$3*Return!$B188</f>
        <v>1.2019596503445324E-3</v>
      </c>
      <c r="M188">
        <f>Perhitungan!L$4+Perhitungan!L$3*Return!$B188</f>
        <v>9.6195894533383664E-3</v>
      </c>
      <c r="N188">
        <f>Perhitungan!M$4+Perhitungan!M$3*Return!$B188</f>
        <v>4.3169236910070453E-3</v>
      </c>
      <c r="O188">
        <f>Perhitungan!N$4+Perhitungan!N$3*Return!$B188</f>
        <v>2.0557385162378282E-3</v>
      </c>
      <c r="P188">
        <f>Perhitungan!O$4+Perhitungan!O$3*Return!$B188</f>
        <v>2.202679583917953E-3</v>
      </c>
      <c r="Q188">
        <f>Perhitungan!P$4+Perhitungan!P$3*Return!$B188</f>
        <v>6.9430941438107952E-3</v>
      </c>
      <c r="R188">
        <f>Perhitungan!Q$4+Perhitungan!Q$3*Return!$B188</f>
        <v>1.8775852284332942E-3</v>
      </c>
      <c r="S188">
        <f>Perhitungan!R$4+Perhitungan!R$3*Return!$B188</f>
        <v>2.4307499332621597E-3</v>
      </c>
      <c r="T188">
        <f>Perhitungan!S$4+Perhitungan!S$3*Return!$B188</f>
        <v>3.7707802147417327E-3</v>
      </c>
      <c r="U188">
        <f>Perhitungan!T$4+Perhitungan!T$3*Return!$B188</f>
        <v>5.329632807006001E-3</v>
      </c>
      <c r="V188">
        <f>Perhitungan!U$4+Perhitungan!U$3*Return!$B188</f>
        <v>4.2307755909724715E-3</v>
      </c>
      <c r="W188">
        <f>Perhitungan!V$4+Perhitungan!V$3*Return!$B188</f>
        <v>1.1050895683164114E-2</v>
      </c>
      <c r="X188">
        <f>Perhitungan!W$4+Perhitungan!W$3*Return!$B188</f>
        <v>4.2755453102954078E-4</v>
      </c>
      <c r="Y188">
        <f>Perhitungan!X$4+Perhitungan!X$3*Return!$B188</f>
        <v>2.0979140334036876E-3</v>
      </c>
      <c r="Z188">
        <f>Perhitungan!Y$4+Perhitungan!Y$3*Return!$B188</f>
        <v>2.5673070658674686E-3</v>
      </c>
      <c r="AA188">
        <f>Perhitungan!Z$4+Perhitungan!Z$3*Return!$B188</f>
        <v>7.7830432076341199E-3</v>
      </c>
      <c r="AB188">
        <f>Perhitungan!AA$4+Perhitungan!AA$3*Return!$B188</f>
        <v>4.0128007752578826E-3</v>
      </c>
      <c r="AC188">
        <f>Perhitungan!AB$4+Perhitungan!AB$3*Return!$B188</f>
        <v>5.1401438426456067E-3</v>
      </c>
      <c r="AD188">
        <f>Perhitungan!AC$4+Perhitungan!AC$3*Return!$B188</f>
        <v>4.0383050790548077E-3</v>
      </c>
      <c r="AE188">
        <f>Perhitungan!AD$4+Perhitungan!AD$3*Return!$B188</f>
        <v>3.5081810230285712E-3</v>
      </c>
      <c r="AF188">
        <f>Perhitungan!AE$4+Perhitungan!AE$3*Return!$B188</f>
        <v>16.549393550953543</v>
      </c>
    </row>
    <row r="189" spans="1:32" x14ac:dyDescent="0.3">
      <c r="A189" s="4" t="s">
        <v>111</v>
      </c>
      <c r="C189">
        <f>Perhitungan!B$4+Perhitungan!B$3*Return!$B189</f>
        <v>-2.7142926011819194E-3</v>
      </c>
      <c r="D189">
        <f>Perhitungan!C$4+Perhitungan!C$3*Return!$B189</f>
        <v>-4.7713638581407597E-5</v>
      </c>
      <c r="E189">
        <f>Perhitungan!D$4+Perhitungan!D$3*Return!$B189</f>
        <v>-1.1481087589082541E-3</v>
      </c>
      <c r="F189">
        <f>Perhitungan!E$4+Perhitungan!E$3*Return!$B189</f>
        <v>-1.1701543001612969E-3</v>
      </c>
      <c r="G189">
        <f>Perhitungan!F$4+Perhitungan!F$3*Return!$B189</f>
        <v>4.9021561743046354E-4</v>
      </c>
      <c r="H189">
        <f>Perhitungan!G$4+Perhitungan!G$3*Return!$B189</f>
        <v>-3.8945851317961628E-4</v>
      </c>
      <c r="I189">
        <f>Perhitungan!H$4+Perhitungan!H$3*Return!$B189</f>
        <v>-2.3956837395552096E-3</v>
      </c>
      <c r="J189">
        <f>Perhitungan!I$4+Perhitungan!I$3*Return!$B189</f>
        <v>-4.1938075163141814E-4</v>
      </c>
      <c r="K189">
        <f>Perhitungan!J$4+Perhitungan!J$3*Return!$B189</f>
        <v>1.4265420581474511E-4</v>
      </c>
      <c r="L189">
        <f>Perhitungan!K$4+Perhitungan!K$3*Return!$B189</f>
        <v>-9.3922043115018342E-4</v>
      </c>
      <c r="M189">
        <f>Perhitungan!L$4+Perhitungan!L$3*Return!$B189</f>
        <v>3.9008200145358024E-3</v>
      </c>
      <c r="N189">
        <f>Perhitungan!M$4+Perhitungan!M$3*Return!$B189</f>
        <v>-3.975825479092884E-3</v>
      </c>
      <c r="O189">
        <f>Perhitungan!N$4+Perhitungan!N$3*Return!$B189</f>
        <v>-9.6908320860031555E-4</v>
      </c>
      <c r="P189">
        <f>Perhitungan!O$4+Perhitungan!O$3*Return!$B189</f>
        <v>-2.9813241773067132E-3</v>
      </c>
      <c r="Q189">
        <f>Perhitungan!P$4+Perhitungan!P$3*Return!$B189</f>
        <v>6.7496256769686031E-4</v>
      </c>
      <c r="R189">
        <f>Perhitungan!Q$4+Perhitungan!Q$3*Return!$B189</f>
        <v>-1.5734884759820592E-3</v>
      </c>
      <c r="S189">
        <f>Perhitungan!R$4+Perhitungan!R$3*Return!$B189</f>
        <v>-7.7574915080112306E-4</v>
      </c>
      <c r="T189">
        <f>Perhitungan!S$4+Perhitungan!S$3*Return!$B189</f>
        <v>4.0221102399511045E-4</v>
      </c>
      <c r="U189">
        <f>Perhitungan!T$4+Perhitungan!T$3*Return!$B189</f>
        <v>-1.1285235906553599E-3</v>
      </c>
      <c r="V189">
        <f>Perhitungan!U$4+Perhitungan!U$3*Return!$B189</f>
        <v>-1.1796460156954073E-3</v>
      </c>
      <c r="W189">
        <f>Perhitungan!V$4+Perhitungan!V$3*Return!$B189</f>
        <v>-1.342843148206623E-4</v>
      </c>
      <c r="X189">
        <f>Perhitungan!W$4+Perhitungan!W$3*Return!$B189</f>
        <v>-5.8309135856708383E-3</v>
      </c>
      <c r="Y189">
        <f>Perhitungan!X$4+Perhitungan!X$3*Return!$B189</f>
        <v>-2.5944601990935613E-3</v>
      </c>
      <c r="Z189">
        <f>Perhitungan!Y$4+Perhitungan!Y$3*Return!$B189</f>
        <v>-2.0088343257791503E-3</v>
      </c>
      <c r="AA189">
        <f>Perhitungan!Z$4+Perhitungan!Z$3*Return!$B189</f>
        <v>9.304587632679019E-4</v>
      </c>
      <c r="AB189">
        <f>Perhitungan!AA$4+Perhitungan!AA$3*Return!$B189</f>
        <v>-2.1935821081402835E-3</v>
      </c>
      <c r="AC189">
        <f>Perhitungan!AB$4+Perhitungan!AB$3*Return!$B189</f>
        <v>5.705617685745944E-5</v>
      </c>
      <c r="AD189">
        <f>Perhitungan!AC$4+Perhitungan!AC$3*Return!$B189</f>
        <v>-1.6173372321202852E-3</v>
      </c>
      <c r="AE189">
        <f>Perhitungan!AD$4+Perhitungan!AD$3*Return!$B189</f>
        <v>-9.8880880210046383E-4</v>
      </c>
      <c r="AF189">
        <f>Perhitungan!AE$4+Perhitungan!AE$3*Return!$B189</f>
        <v>16.715112373018318</v>
      </c>
    </row>
    <row r="190" spans="1:32" x14ac:dyDescent="0.3">
      <c r="A190" s="3" t="s">
        <v>112</v>
      </c>
      <c r="C190">
        <f>Perhitungan!B$4+Perhitungan!B$3*Return!$B190</f>
        <v>2.0164187105610101E-3</v>
      </c>
      <c r="D190">
        <f>Perhitungan!C$4+Perhitungan!C$3*Return!$B190</f>
        <v>5.3680924837218244E-3</v>
      </c>
      <c r="E190">
        <f>Perhitungan!D$4+Perhitungan!D$3*Return!$B190</f>
        <v>4.2416680002558514E-3</v>
      </c>
      <c r="F190">
        <f>Perhitungan!E$4+Perhitungan!E$3*Return!$B190</f>
        <v>3.4946417389704197E-3</v>
      </c>
      <c r="G190">
        <f>Perhitungan!F$4+Perhitungan!F$3*Return!$B190</f>
        <v>5.4515130909677887E-3</v>
      </c>
      <c r="H190">
        <f>Perhitungan!G$4+Perhitungan!G$3*Return!$B190</f>
        <v>3.3157644911158326E-3</v>
      </c>
      <c r="I190">
        <f>Perhitungan!H$4+Perhitungan!H$3*Return!$B190</f>
        <v>-6.1589328311759204E-5</v>
      </c>
      <c r="J190">
        <f>Perhitungan!I$4+Perhitungan!I$3*Return!$B190</f>
        <v>1.162668705204376E-3</v>
      </c>
      <c r="K190">
        <f>Perhitungan!J$4+Perhitungan!J$3*Return!$B190</f>
        <v>5.3270305739955958E-3</v>
      </c>
      <c r="L190">
        <f>Perhitungan!K$4+Perhitungan!K$3*Return!$B190</f>
        <v>1.0614539840806637E-3</v>
      </c>
      <c r="M190">
        <f>Perhitungan!L$4+Perhitungan!L$3*Return!$B190</f>
        <v>9.2443199852759311E-3</v>
      </c>
      <c r="N190">
        <f>Perhitungan!M$4+Perhitungan!M$3*Return!$B190</f>
        <v>3.772747954751062E-3</v>
      </c>
      <c r="O190">
        <f>Perhitungan!N$4+Perhitungan!N$3*Return!$B190</f>
        <v>1.8572476954745783E-3</v>
      </c>
      <c r="P190">
        <f>Perhitungan!O$4+Perhitungan!O$3*Return!$B190</f>
        <v>1.8625017965938696E-3</v>
      </c>
      <c r="Q190">
        <f>Perhitungan!P$4+Perhitungan!P$3*Return!$B190</f>
        <v>6.5317751655786255E-3</v>
      </c>
      <c r="R190">
        <f>Perhitungan!Q$4+Perhitungan!Q$3*Return!$B190</f>
        <v>1.6511234682313682E-3</v>
      </c>
      <c r="S190">
        <f>Perhitungan!R$4+Perhitungan!R$3*Return!$B190</f>
        <v>2.2203373229102603E-3</v>
      </c>
      <c r="T190">
        <f>Perhitungan!S$4+Perhitungan!S$3*Return!$B190</f>
        <v>3.5497324558015362E-3</v>
      </c>
      <c r="U190">
        <f>Perhitungan!T$4+Perhitungan!T$3*Return!$B190</f>
        <v>4.9058442731353558E-3</v>
      </c>
      <c r="V190">
        <f>Perhitungan!U$4+Perhitungan!U$3*Return!$B190</f>
        <v>3.875740113488194E-3</v>
      </c>
      <c r="W190">
        <f>Perhitungan!V$4+Perhitungan!V$3*Return!$B190</f>
        <v>1.0316916705178732E-2</v>
      </c>
      <c r="X190">
        <f>Perhitungan!W$4+Perhitungan!W$3*Return!$B190</f>
        <v>1.6869675454801551E-5</v>
      </c>
      <c r="Y190">
        <f>Perhitungan!X$4+Perhitungan!X$3*Return!$B190</f>
        <v>1.7899973039354274E-3</v>
      </c>
      <c r="Z190">
        <f>Perhitungan!Y$4+Perhitungan!Y$3*Return!$B190</f>
        <v>2.2670176130055084E-3</v>
      </c>
      <c r="AA190">
        <f>Perhitungan!Z$4+Perhitungan!Z$3*Return!$B190</f>
        <v>7.3333720420435226E-3</v>
      </c>
      <c r="AB190">
        <f>Perhitungan!AA$4+Perhitungan!AA$3*Return!$B190</f>
        <v>3.605533787461237E-3</v>
      </c>
      <c r="AC190">
        <f>Perhitungan!AB$4+Perhitungan!AB$3*Return!$B190</f>
        <v>4.80658823686926E-3</v>
      </c>
      <c r="AD190">
        <f>Perhitungan!AC$4+Perhitungan!AC$3*Return!$B190</f>
        <v>3.6671780552469577E-3</v>
      </c>
      <c r="AE190">
        <f>Perhitungan!AD$4+Perhitungan!AD$3*Return!$B190</f>
        <v>3.2130855487980665E-3</v>
      </c>
      <c r="AF190">
        <f>Perhitungan!AE$4+Perhitungan!AE$3*Return!$B190</f>
        <v>16.560268130680821</v>
      </c>
    </row>
    <row r="191" spans="1:32" x14ac:dyDescent="0.3">
      <c r="A191" s="4" t="s">
        <v>113</v>
      </c>
      <c r="C191">
        <f>Perhitungan!B$4+Perhitungan!B$3*Return!$B191</f>
        <v>-2.5419799685783341E-3</v>
      </c>
      <c r="D191">
        <f>Perhitungan!C$4+Perhitungan!C$3*Return!$B191</f>
        <v>1.4955306173239044E-4</v>
      </c>
      <c r="E191">
        <f>Perhitungan!D$4+Perhitungan!D$3*Return!$B191</f>
        <v>-9.5179015874091071E-4</v>
      </c>
      <c r="F191">
        <f>Perhitungan!E$4+Perhitungan!E$3*Return!$B191</f>
        <v>-1.0002425822202121E-3</v>
      </c>
      <c r="G191">
        <f>Perhitungan!F$4+Perhitungan!F$3*Return!$B191</f>
        <v>6.7092717906658609E-4</v>
      </c>
      <c r="H191">
        <f>Perhitungan!G$4+Perhitungan!G$3*Return!$B191</f>
        <v>-2.5449852763395641E-4</v>
      </c>
      <c r="I191">
        <f>Perhitungan!H$4+Perhitungan!H$3*Return!$B191</f>
        <v>-2.3106660907825359E-3</v>
      </c>
      <c r="J191">
        <f>Perhitungan!I$4+Perhitungan!I$3*Return!$B191</f>
        <v>-3.6175577964469755E-4</v>
      </c>
      <c r="K191">
        <f>Perhitungan!J$4+Perhitungan!J$3*Return!$B191</f>
        <v>3.3149124987438957E-4</v>
      </c>
      <c r="L191">
        <f>Perhitungan!K$4+Perhitungan!K$3*Return!$B191</f>
        <v>-8.6634735715487897E-4</v>
      </c>
      <c r="M191">
        <f>Perhitungan!L$4+Perhitungan!L$3*Return!$B191</f>
        <v>4.0954530171859226E-3</v>
      </c>
      <c r="N191">
        <f>Perhitungan!M$4+Perhitungan!M$3*Return!$B191</f>
        <v>-3.6935894686236813E-3</v>
      </c>
      <c r="O191">
        <f>Perhitungan!N$4+Perhitungan!N$3*Return!$B191</f>
        <v>-8.6613621255743345E-4</v>
      </c>
      <c r="P191">
        <f>Perhitungan!O$4+Perhitungan!O$3*Return!$B191</f>
        <v>-2.8048914274653525E-3</v>
      </c>
      <c r="Q191">
        <f>Perhitungan!P$4+Perhitungan!P$3*Return!$B191</f>
        <v>8.8829260009637141E-4</v>
      </c>
      <c r="R191">
        <f>Perhitungan!Q$4+Perhitungan!Q$3*Return!$B191</f>
        <v>-1.4560343899859157E-3</v>
      </c>
      <c r="S191">
        <f>Perhitungan!R$4+Perhitungan!R$3*Return!$B191</f>
        <v>-6.6661893469351704E-4</v>
      </c>
      <c r="T191">
        <f>Perhitungan!S$4+Perhitungan!S$3*Return!$B191</f>
        <v>5.1685714555076124E-4</v>
      </c>
      <c r="U191">
        <f>Perhitungan!T$4+Perhitungan!T$3*Return!$B191</f>
        <v>-9.0872624006937313E-4</v>
      </c>
      <c r="V191">
        <f>Perhitungan!U$4+Perhitungan!U$3*Return!$B191</f>
        <v>-9.955073449240692E-4</v>
      </c>
      <c r="W191">
        <f>Perhitungan!V$4+Perhitungan!V$3*Return!$B191</f>
        <v>2.4639289056177342E-4</v>
      </c>
      <c r="X191">
        <f>Perhitungan!W$4+Perhitungan!W$3*Return!$B191</f>
        <v>-5.6179124401309526E-3</v>
      </c>
      <c r="Y191">
        <f>Perhitungan!X$4+Perhitungan!X$3*Return!$B191</f>
        <v>-2.4347596033268918E-3</v>
      </c>
      <c r="Z191">
        <f>Perhitungan!Y$4+Perhitungan!Y$3*Return!$B191</f>
        <v>-1.8530896067204688E-3</v>
      </c>
      <c r="AA191">
        <f>Perhitungan!Z$4+Perhitungan!Z$3*Return!$B191</f>
        <v>1.1636801058299774E-3</v>
      </c>
      <c r="AB191">
        <f>Perhitungan!AA$4+Perhitungan!AA$3*Return!$B191</f>
        <v>-1.9823536351062268E-3</v>
      </c>
      <c r="AC191">
        <f>Perhitungan!AB$4+Perhitungan!AB$3*Return!$B191</f>
        <v>2.3005434118514919E-4</v>
      </c>
      <c r="AD191">
        <f>Perhitungan!AC$4+Perhitungan!AC$3*Return!$B191</f>
        <v>-1.4248527025866797E-3</v>
      </c>
      <c r="AE191">
        <f>Perhitungan!AD$4+Perhitungan!AD$3*Return!$B191</f>
        <v>-8.3575793304231725E-4</v>
      </c>
      <c r="AF191">
        <f>Perhitungan!AE$4+Perhitungan!AE$3*Return!$B191</f>
        <v>16.709472286933494</v>
      </c>
    </row>
    <row r="192" spans="1:32" x14ac:dyDescent="0.3">
      <c r="A192" s="3" t="s">
        <v>114</v>
      </c>
      <c r="C192">
        <f>Perhitungan!B$4+Perhitungan!B$3*Return!$B192</f>
        <v>-7.4935146408682037E-3</v>
      </c>
      <c r="D192">
        <f>Perhitungan!C$4+Perhitungan!C$3*Return!$B192</f>
        <v>-5.5190557427021829E-3</v>
      </c>
      <c r="E192">
        <f>Perhitungan!D$4+Perhitungan!D$3*Return!$B192</f>
        <v>-6.593154583717984E-3</v>
      </c>
      <c r="F192">
        <f>Perhitungan!E$4+Perhitungan!E$3*Return!$B192</f>
        <v>-5.8827851439668547E-3</v>
      </c>
      <c r="G192">
        <f>Perhitungan!F$4+Perhitungan!F$3*Return!$B192</f>
        <v>-4.521957112727867E-3</v>
      </c>
      <c r="H192">
        <f>Perhitungan!G$4+Perhitungan!G$3*Return!$B192</f>
        <v>-4.1326764517008461E-3</v>
      </c>
      <c r="I192">
        <f>Perhitungan!H$4+Perhitungan!H$3*Return!$B192</f>
        <v>-4.7537129486581002E-3</v>
      </c>
      <c r="J192">
        <f>Perhitungan!I$4+Perhitungan!I$3*Return!$B192</f>
        <v>-2.0176532171726864E-3</v>
      </c>
      <c r="K192">
        <f>Perhitungan!J$4+Perhitungan!J$3*Return!$B192</f>
        <v>-5.0948849649510965E-3</v>
      </c>
      <c r="L192">
        <f>Perhitungan!K$4+Perhitungan!K$3*Return!$B192</f>
        <v>-2.9604106136441009E-3</v>
      </c>
      <c r="M192">
        <f>Perhitungan!L$4+Perhitungan!L$3*Return!$B192</f>
        <v>-1.4974744799585967E-3</v>
      </c>
      <c r="N192">
        <f>Perhitungan!M$4+Perhitungan!M$3*Return!$B192</f>
        <v>-1.1803856083968434E-2</v>
      </c>
      <c r="O192">
        <f>Perhitungan!N$4+Perhitungan!N$3*Return!$B192</f>
        <v>-3.8243965131072827E-3</v>
      </c>
      <c r="P192">
        <f>Perhitungan!O$4+Perhitungan!O$3*Return!$B192</f>
        <v>-7.8748208050562346E-3</v>
      </c>
      <c r="Q192">
        <f>Perhitungan!P$4+Perhitungan!P$3*Return!$B192</f>
        <v>-5.2419082801664222E-3</v>
      </c>
      <c r="R192">
        <f>Perhitungan!Q$4+Perhitungan!Q$3*Return!$B192</f>
        <v>-4.8311669639857051E-3</v>
      </c>
      <c r="S192">
        <f>Perhitungan!R$4+Perhitungan!R$3*Return!$B192</f>
        <v>-3.8025587708309461E-3</v>
      </c>
      <c r="T192">
        <f>Perhitungan!S$4+Perhitungan!S$3*Return!$B192</f>
        <v>-2.7775864326651722E-3</v>
      </c>
      <c r="U192">
        <f>Perhitungan!T$4+Perhitungan!T$3*Return!$B192</f>
        <v>-7.2247704317203454E-3</v>
      </c>
      <c r="V192">
        <f>Perhitungan!U$4+Perhitungan!U$3*Return!$B192</f>
        <v>-6.2868722266342988E-3</v>
      </c>
      <c r="W192">
        <f>Perhitungan!V$4+Perhitungan!V$3*Return!$B192</f>
        <v>-1.0692656399793729E-2</v>
      </c>
      <c r="X192">
        <f>Perhitungan!W$4+Perhitungan!W$3*Return!$B192</f>
        <v>-1.1738662506114559E-2</v>
      </c>
      <c r="Y192">
        <f>Perhitungan!X$4+Perhitungan!X$3*Return!$B192</f>
        <v>-7.0238777960899574E-3</v>
      </c>
      <c r="Z192">
        <f>Perhitungan!Y$4+Perhitungan!Y$3*Return!$B192</f>
        <v>-6.3285326708354336E-3</v>
      </c>
      <c r="AA192">
        <f>Perhitungan!Z$4+Perhitungan!Z$3*Return!$B192</f>
        <v>-5.5381127143795351E-3</v>
      </c>
      <c r="AB192">
        <f>Perhitungan!AA$4+Perhitungan!AA$3*Return!$B192</f>
        <v>-8.05216460717313E-3</v>
      </c>
      <c r="AC192">
        <f>Perhitungan!AB$4+Perhitungan!AB$3*Return!$B192</f>
        <v>-4.7411796070635859E-3</v>
      </c>
      <c r="AD192">
        <f>Perhitungan!AC$4+Perhitungan!AC$3*Return!$B192</f>
        <v>-6.9560421891851102E-3</v>
      </c>
      <c r="AE192">
        <f>Perhitungan!AD$4+Perhitungan!AD$3*Return!$B192</f>
        <v>-5.2337911666761709E-3</v>
      </c>
      <c r="AF192">
        <f>Perhitungan!AE$4+Perhitungan!AE$3*Return!$B192</f>
        <v>16.871544454143397</v>
      </c>
    </row>
    <row r="193" spans="1:32" x14ac:dyDescent="0.3">
      <c r="A193" s="4" t="s">
        <v>115</v>
      </c>
      <c r="C193">
        <f>Perhitungan!B$4+Perhitungan!B$3*Return!$B193</f>
        <v>-2.501289784741506E-3</v>
      </c>
      <c r="D193">
        <f>Perhitungan!C$4+Perhitungan!C$3*Return!$B193</f>
        <v>1.9613593948993122E-4</v>
      </c>
      <c r="E193">
        <f>Perhitungan!D$4+Perhitungan!D$3*Return!$B193</f>
        <v>-9.054311668858252E-4</v>
      </c>
      <c r="F193">
        <f>Perhitungan!E$4+Perhitungan!E$3*Return!$B193</f>
        <v>-9.6011935425607646E-4</v>
      </c>
      <c r="G193">
        <f>Perhitungan!F$4+Perhitungan!F$3*Return!$B193</f>
        <v>7.1360069959325865E-4</v>
      </c>
      <c r="H193">
        <f>Perhitungan!G$4+Perhitungan!G$3*Return!$B193</f>
        <v>-2.2262885830389551E-4</v>
      </c>
      <c r="I193">
        <f>Perhitungan!H$4+Perhitungan!H$3*Return!$B193</f>
        <v>-2.290589885656627E-3</v>
      </c>
      <c r="J193">
        <f>Perhitungan!I$4+Perhitungan!I$3*Return!$B193</f>
        <v>-3.4814812553191993E-4</v>
      </c>
      <c r="K193">
        <f>Perhitungan!J$4+Perhitungan!J$3*Return!$B193</f>
        <v>3.7608353496626187E-4</v>
      </c>
      <c r="L193">
        <f>Perhitungan!K$4+Perhitungan!K$3*Return!$B193</f>
        <v>-8.4913899156484492E-4</v>
      </c>
      <c r="M193">
        <f>Perhitungan!L$4+Perhitungan!L$3*Return!$B193</f>
        <v>4.1414139693162679E-3</v>
      </c>
      <c r="N193">
        <f>Perhitungan!M$4+Perhitungan!M$3*Return!$B193</f>
        <v>-3.6269418004995172E-3</v>
      </c>
      <c r="O193">
        <f>Perhitungan!N$4+Perhitungan!N$3*Return!$B193</f>
        <v>-8.4182614236036932E-4</v>
      </c>
      <c r="P193">
        <f>Perhitungan!O$4+Perhitungan!O$3*Return!$B193</f>
        <v>-2.7632283124783166E-3</v>
      </c>
      <c r="Q193">
        <f>Perhitungan!P$4+Perhitungan!P$3*Return!$B193</f>
        <v>9.3866869908049155E-4</v>
      </c>
      <c r="R193">
        <f>Perhitungan!Q$4+Perhitungan!Q$3*Return!$B193</f>
        <v>-1.4282985920971761E-3</v>
      </c>
      <c r="S193">
        <f>Perhitungan!R$4+Perhitungan!R$3*Return!$B193</f>
        <v>-6.4084874890692461E-4</v>
      </c>
      <c r="T193">
        <f>Perhitungan!S$4+Perhitungan!S$3*Return!$B193</f>
        <v>5.4392986617369306E-4</v>
      </c>
      <c r="U193">
        <f>Perhitungan!T$4+Perhitungan!T$3*Return!$B193</f>
        <v>-8.5682293810562956E-4</v>
      </c>
      <c r="V193">
        <f>Perhitungan!U$4+Perhitungan!U$3*Return!$B193</f>
        <v>-9.5202454130170159E-4</v>
      </c>
      <c r="W193">
        <f>Perhitungan!V$4+Perhitungan!V$3*Return!$B193</f>
        <v>3.3628662171459266E-4</v>
      </c>
      <c r="X193">
        <f>Perhitungan!W$4+Perhitungan!W$3*Return!$B193</f>
        <v>-5.5676140050219501E-3</v>
      </c>
      <c r="Y193">
        <f>Perhitungan!X$4+Perhitungan!X$3*Return!$B193</f>
        <v>-2.3970476462729577E-3</v>
      </c>
      <c r="Z193">
        <f>Perhitungan!Y$4+Perhitungan!Y$3*Return!$B193</f>
        <v>-1.8163117967923241E-3</v>
      </c>
      <c r="AA193">
        <f>Perhitungan!Z$4+Perhitungan!Z$3*Return!$B193</f>
        <v>1.2187533709767907E-3</v>
      </c>
      <c r="AB193">
        <f>Perhitungan!AA$4+Perhitungan!AA$3*Return!$B193</f>
        <v>-1.9324738017506462E-3</v>
      </c>
      <c r="AC193">
        <f>Perhitungan!AB$4+Perhitungan!AB$3*Return!$B193</f>
        <v>2.7090640759238607E-4</v>
      </c>
      <c r="AD193">
        <f>Perhitungan!AC$4+Perhitungan!AC$3*Return!$B193</f>
        <v>-1.3793990943739482E-3</v>
      </c>
      <c r="AE193">
        <f>Perhitungan!AD$4+Perhitungan!AD$3*Return!$B193</f>
        <v>-7.9961625321151009E-4</v>
      </c>
      <c r="AF193">
        <f>Perhitungan!AE$4+Perhitungan!AE$3*Return!$B193</f>
        <v>16.708140427880682</v>
      </c>
    </row>
    <row r="194" spans="1:32" x14ac:dyDescent="0.3">
      <c r="A194" s="3" t="s">
        <v>116</v>
      </c>
      <c r="C194">
        <f>Perhitungan!B$4+Perhitungan!B$3*Return!$B194</f>
        <v>1.9815680294163174E-3</v>
      </c>
      <c r="D194">
        <f>Perhitungan!C$4+Perhitungan!C$3*Return!$B194</f>
        <v>5.3281947770405158E-3</v>
      </c>
      <c r="E194">
        <f>Perhitungan!D$4+Perhitungan!D$3*Return!$B194</f>
        <v>4.2019620493117639E-3</v>
      </c>
      <c r="F194">
        <f>Perhitungan!E$4+Perhitungan!E$3*Return!$B194</f>
        <v>3.4602766491030122E-3</v>
      </c>
      <c r="G194">
        <f>Perhitungan!F$4+Perhitungan!F$3*Return!$B194</f>
        <v>5.4149637044336695E-3</v>
      </c>
      <c r="H194">
        <f>Perhitungan!G$4+Perhitungan!G$3*Return!$B194</f>
        <v>3.2884684806465088E-3</v>
      </c>
      <c r="I194">
        <f>Perhitungan!H$4+Perhitungan!H$3*Return!$B194</f>
        <v>-7.8784370394740415E-5</v>
      </c>
      <c r="J194">
        <f>Perhitungan!I$4+Perhitungan!I$3*Return!$B194</f>
        <v>1.1510139037290762E-3</v>
      </c>
      <c r="K194">
        <f>Perhitungan!J$4+Perhitungan!J$3*Return!$B194</f>
        <v>5.2888377873647448E-3</v>
      </c>
      <c r="L194">
        <f>Perhitungan!K$4+Perhitungan!K$3*Return!$B194</f>
        <v>1.0467152140469737E-3</v>
      </c>
      <c r="M194">
        <f>Perhitungan!L$4+Perhitungan!L$3*Return!$B194</f>
        <v>9.2049549508434383E-3</v>
      </c>
      <c r="N194">
        <f>Perhitungan!M$4+Perhitungan!M$3*Return!$B194</f>
        <v>3.7156649825986895E-3</v>
      </c>
      <c r="O194">
        <f>Perhitungan!N$4+Perhitungan!N$3*Return!$B194</f>
        <v>1.8364263959582028E-3</v>
      </c>
      <c r="P194">
        <f>Perhitungan!O$4+Perhitungan!O$3*Return!$B194</f>
        <v>1.8268178109493098E-3</v>
      </c>
      <c r="Q194">
        <f>Perhitungan!P$4+Perhitungan!P$3*Return!$B194</f>
        <v>6.4886286079211472E-3</v>
      </c>
      <c r="R194">
        <f>Perhitungan!Q$4+Perhitungan!Q$3*Return!$B194</f>
        <v>1.6273680717851314E-3</v>
      </c>
      <c r="S194">
        <f>Perhitungan!R$4+Perhitungan!R$3*Return!$B194</f>
        <v>2.1982654509450326E-3</v>
      </c>
      <c r="T194">
        <f>Perhitungan!S$4+Perhitungan!S$3*Return!$B194</f>
        <v>3.5265449775160433E-3</v>
      </c>
      <c r="U194">
        <f>Perhitungan!T$4+Perhitungan!T$3*Return!$B194</f>
        <v>4.861389683439991E-3</v>
      </c>
      <c r="V194">
        <f>Perhitungan!U$4+Perhitungan!U$3*Return!$B194</f>
        <v>3.8384975851575927E-3</v>
      </c>
      <c r="W194">
        <f>Perhitungan!V$4+Perhitungan!V$3*Return!$B194</f>
        <v>1.0239923743586897E-2</v>
      </c>
      <c r="X194">
        <f>Perhitungan!W$4+Perhitungan!W$3*Return!$B194</f>
        <v>-2.6210363974126481E-5</v>
      </c>
      <c r="Y194">
        <f>Perhitungan!X$4+Perhitungan!X$3*Return!$B194</f>
        <v>1.7576974402656186E-3</v>
      </c>
      <c r="Z194">
        <f>Perhitungan!Y$4+Perhitungan!Y$3*Return!$B194</f>
        <v>2.2355178357583529E-3</v>
      </c>
      <c r="AA194">
        <f>Perhitungan!Z$4+Perhitungan!Z$3*Return!$B194</f>
        <v>7.2862024148202722E-3</v>
      </c>
      <c r="AB194">
        <f>Perhitungan!AA$4+Perhitungan!AA$3*Return!$B194</f>
        <v>3.5628122756883552E-3</v>
      </c>
      <c r="AC194">
        <f>Perhitungan!AB$4+Perhitungan!AB$3*Return!$B194</f>
        <v>4.7715989051383021E-3</v>
      </c>
      <c r="AD194">
        <f>Perhitungan!AC$4+Perhitungan!AC$3*Return!$B194</f>
        <v>3.628247555128057E-3</v>
      </c>
      <c r="AE194">
        <f>Perhitungan!AD$4+Perhitungan!AD$3*Return!$B194</f>
        <v>3.1821306097673655E-3</v>
      </c>
      <c r="AF194">
        <f>Perhitungan!AE$4+Perhitungan!AE$3*Return!$B194</f>
        <v>16.561408852860044</v>
      </c>
    </row>
    <row r="195" spans="1:32" x14ac:dyDescent="0.3">
      <c r="A195" s="4" t="s">
        <v>117</v>
      </c>
      <c r="C195">
        <f>Perhitungan!B$4+Perhitungan!B$3*Return!$B195</f>
        <v>-7.7056012359364261E-3</v>
      </c>
      <c r="D195">
        <f>Perhitungan!C$4+Perhitungan!C$3*Return!$B195</f>
        <v>-5.7618564135395118E-3</v>
      </c>
      <c r="E195">
        <f>Perhitungan!D$4+Perhitungan!D$3*Return!$B195</f>
        <v>-6.834788309748035E-3</v>
      </c>
      <c r="F195">
        <f>Perhitungan!E$4+Perhitungan!E$3*Return!$B195</f>
        <v>-6.0919166346522745E-3</v>
      </c>
      <c r="G195">
        <f>Perhitungan!F$4+Perhitungan!F$3*Return!$B195</f>
        <v>-4.7443813147017219E-3</v>
      </c>
      <c r="H195">
        <f>Perhitungan!G$4+Perhitungan!G$3*Return!$B195</f>
        <v>-4.2987884968385039E-3</v>
      </c>
      <c r="I195">
        <f>Perhitungan!H$4+Perhitungan!H$3*Return!$B195</f>
        <v>-4.8583547463978164E-3</v>
      </c>
      <c r="J195">
        <f>Perhitungan!I$4+Perhitungan!I$3*Return!$B195</f>
        <v>-2.0885794395564018E-3</v>
      </c>
      <c r="K195">
        <f>Perhitungan!J$4+Perhitungan!J$3*Return!$B195</f>
        <v>-5.3273102090682515E-3</v>
      </c>
      <c r="L195">
        <f>Perhitungan!K$4+Perhitungan!K$3*Return!$B195</f>
        <v>-3.0501045722488352E-3</v>
      </c>
      <c r="M195">
        <f>Perhitungan!L$4+Perhitungan!L$3*Return!$B195</f>
        <v>-1.7370335314120843E-3</v>
      </c>
      <c r="N195">
        <f>Perhitungan!M$4+Perhitungan!M$3*Return!$B195</f>
        <v>-1.2151239056195202E-2</v>
      </c>
      <c r="O195">
        <f>Perhitungan!N$4+Perhitungan!N$3*Return!$B195</f>
        <v>-3.9511061891962448E-3</v>
      </c>
      <c r="P195">
        <f>Perhitungan!O$4+Perhitungan!O$3*Return!$B195</f>
        <v>-8.0919785410097107E-3</v>
      </c>
      <c r="Q195">
        <f>Perhitungan!P$4+Perhitungan!P$3*Return!$B195</f>
        <v>-5.5044800923068184E-3</v>
      </c>
      <c r="R195">
        <f>Perhitungan!Q$4+Perhitungan!Q$3*Return!$B195</f>
        <v>-4.975732320566844E-3</v>
      </c>
      <c r="S195">
        <f>Perhitungan!R$4+Perhitungan!R$3*Return!$B195</f>
        <v>-3.9368789051333905E-3</v>
      </c>
      <c r="T195">
        <f>Perhitungan!S$4+Perhitungan!S$3*Return!$B195</f>
        <v>-2.9186956780589976E-3</v>
      </c>
      <c r="U195">
        <f>Perhitungan!T$4+Perhitungan!T$3*Return!$B195</f>
        <v>-7.4953023769784785E-3</v>
      </c>
      <c r="V195">
        <f>Perhitungan!U$4+Perhitungan!U$3*Return!$B195</f>
        <v>-6.5135145982015991E-3</v>
      </c>
      <c r="W195">
        <f>Perhitungan!V$4+Perhitungan!V$3*Return!$B195</f>
        <v>-1.1161203198073958E-2</v>
      </c>
      <c r="X195">
        <f>Perhitungan!W$4+Perhitungan!W$3*Return!$B195</f>
        <v>-1.2000829516278649E-2</v>
      </c>
      <c r="Y195">
        <f>Perhitungan!X$4+Perhitungan!X$3*Return!$B195</f>
        <v>-7.2204411883076362E-3</v>
      </c>
      <c r="Z195">
        <f>Perhitungan!Y$4+Perhitungan!Y$3*Return!$B195</f>
        <v>-6.5202270734217079E-3</v>
      </c>
      <c r="AA195">
        <f>Perhitungan!Z$4+Perhitungan!Z$3*Return!$B195</f>
        <v>-5.8251672366966692E-3</v>
      </c>
      <c r="AB195">
        <f>Perhitungan!AA$4+Perhitungan!AA$3*Return!$B195</f>
        <v>-8.3121497687388222E-3</v>
      </c>
      <c r="AC195">
        <f>Perhitungan!AB$4+Perhitungan!AB$3*Return!$B195</f>
        <v>-4.9541099713144836E-3</v>
      </c>
      <c r="AD195">
        <f>Perhitungan!AC$4+Perhitungan!AC$3*Return!$B195</f>
        <v>-7.1929568474737304E-3</v>
      </c>
      <c r="AE195">
        <f>Perhitungan!AD$4+Perhitungan!AD$3*Return!$B195</f>
        <v>-5.4221699129138349E-3</v>
      </c>
      <c r="AF195">
        <f>Perhitungan!AE$4+Perhitungan!AE$3*Return!$B195</f>
        <v>16.878486409794284</v>
      </c>
    </row>
    <row r="196" spans="1:32" x14ac:dyDescent="0.3">
      <c r="A196" s="3" t="s">
        <v>118</v>
      </c>
      <c r="C196">
        <f>Perhitungan!B$4+Perhitungan!B$3*Return!$B196</f>
        <v>-6.3289092675653698E-3</v>
      </c>
      <c r="D196">
        <f>Perhitungan!C$4+Perhitungan!C$3*Return!$B196</f>
        <v>-4.1857938936554389E-3</v>
      </c>
      <c r="E196">
        <f>Perhitungan!D$4+Perhitungan!D$3*Return!$B196</f>
        <v>-5.2663006370304959E-3</v>
      </c>
      <c r="F196">
        <f>Perhitungan!E$4+Perhitungan!E$3*Return!$B196</f>
        <v>-4.7344067766272018E-3</v>
      </c>
      <c r="G196">
        <f>Perhitungan!F$4+Perhitungan!F$3*Return!$B196</f>
        <v>-3.3005860935551548E-3</v>
      </c>
      <c r="H196">
        <f>Perhitungan!G$4+Perhitungan!G$3*Return!$B196</f>
        <v>-3.2205255433635687E-3</v>
      </c>
      <c r="I196">
        <f>Perhitungan!H$4+Perhitungan!H$3*Return!$B196</f>
        <v>-4.1791061476929535E-3</v>
      </c>
      <c r="J196">
        <f>Perhitungan!I$4+Perhitungan!I$3*Return!$B196</f>
        <v>-1.6281846622667271E-3</v>
      </c>
      <c r="K196">
        <f>Perhitungan!J$4+Perhitungan!J$3*Return!$B196</f>
        <v>-3.8185964371307071E-3</v>
      </c>
      <c r="L196">
        <f>Perhitungan!K$4+Perhitungan!K$3*Return!$B196</f>
        <v>-2.467885067131961E-3</v>
      </c>
      <c r="M196">
        <f>Perhitungan!L$4+Perhitungan!L$3*Return!$B196</f>
        <v>-1.8201294191882728E-4</v>
      </c>
      <c r="N196">
        <f>Perhitungan!M$4+Perhitungan!M$3*Return!$B196</f>
        <v>-9.8963141390422844E-3</v>
      </c>
      <c r="O196">
        <f>Perhitungan!N$4+Perhitungan!N$3*Return!$B196</f>
        <v>-3.1286110506870929E-3</v>
      </c>
      <c r="P196">
        <f>Perhitungan!O$4+Perhitungan!O$3*Return!$B196</f>
        <v>-6.6823688914199979E-3</v>
      </c>
      <c r="Q196">
        <f>Perhitungan!P$4+Perhitungan!P$3*Return!$B196</f>
        <v>-3.8000795629945378E-3</v>
      </c>
      <c r="R196">
        <f>Perhitungan!Q$4+Perhitungan!Q$3*Return!$B196</f>
        <v>-4.0373327708643622E-3</v>
      </c>
      <c r="S196">
        <f>Perhitungan!R$4+Perhitungan!R$3*Return!$B196</f>
        <v>-3.064982923092591E-3</v>
      </c>
      <c r="T196">
        <f>Perhitungan!S$4+Perhitungan!S$3*Return!$B196</f>
        <v>-2.0027303633530346E-3</v>
      </c>
      <c r="U196">
        <f>Perhitungan!T$4+Perhitungan!T$3*Return!$B196</f>
        <v>-5.7392312018772502E-3</v>
      </c>
      <c r="V196">
        <f>Perhitungan!U$4+Perhitungan!U$3*Return!$B196</f>
        <v>-5.0423384848366625E-3</v>
      </c>
      <c r="W196">
        <f>Perhitungan!V$4+Perhitungan!V$3*Return!$B196</f>
        <v>-8.1197822455103628E-3</v>
      </c>
      <c r="X196">
        <f>Perhitungan!W$4+Perhitungan!W$3*Return!$B196</f>
        <v>-1.029905662889434E-2</v>
      </c>
      <c r="Y196">
        <f>Perhitungan!X$4+Perhitungan!X$3*Return!$B196</f>
        <v>-5.9445131021652643E-3</v>
      </c>
      <c r="Z196">
        <f>Perhitungan!Y$4+Perhitungan!Y$3*Return!$B196</f>
        <v>-5.2759044686039817E-3</v>
      </c>
      <c r="AA196">
        <f>Perhitungan!Z$4+Perhitungan!Z$3*Return!$B196</f>
        <v>-3.9618450628861645E-3</v>
      </c>
      <c r="AB196">
        <f>Perhitungan!AA$4+Perhitungan!AA$3*Return!$B196</f>
        <v>-6.6245396502963693E-3</v>
      </c>
      <c r="AC196">
        <f>Perhitungan!AB$4+Perhitungan!AB$3*Return!$B196</f>
        <v>-3.5719409464770625E-3</v>
      </c>
      <c r="AD196">
        <f>Perhitungan!AC$4+Perhitungan!AC$3*Return!$B196</f>
        <v>-5.6551014863161775E-3</v>
      </c>
      <c r="AE196">
        <f>Perhitungan!AD$4+Perhitungan!AD$3*Return!$B196</f>
        <v>-4.1993698256486359E-3</v>
      </c>
      <c r="AF196">
        <f>Perhitungan!AE$4+Perhitungan!AE$3*Return!$B196</f>
        <v>16.833424935794511</v>
      </c>
    </row>
    <row r="197" spans="1:32" x14ac:dyDescent="0.3">
      <c r="A197" s="4" t="s">
        <v>119</v>
      </c>
      <c r="C197">
        <f>Perhitungan!B$4+Perhitungan!B$3*Return!$B197</f>
        <v>9.0605803523371754E-3</v>
      </c>
      <c r="D197">
        <f>Perhitungan!C$4+Perhitungan!C$3*Return!$B197</f>
        <v>1.343237948667772E-2</v>
      </c>
      <c r="E197">
        <f>Perhitungan!D$4+Perhitungan!D$3*Return!$B197</f>
        <v>1.2267196552462625E-2</v>
      </c>
      <c r="F197">
        <f>Perhitungan!E$4+Perhitungan!E$3*Return!$B197</f>
        <v>1.044065369366199E-2</v>
      </c>
      <c r="G197">
        <f>Perhitungan!F$4+Perhitungan!F$3*Return!$B197</f>
        <v>1.2839023985953411E-2</v>
      </c>
      <c r="H197">
        <f>Perhitungan!G$4+Perhitungan!G$3*Return!$B197</f>
        <v>8.8329453210465817E-3</v>
      </c>
      <c r="I197">
        <f>Perhitungan!H$4+Perhitungan!H$3*Return!$B197</f>
        <v>3.4139426237547962E-3</v>
      </c>
      <c r="J197">
        <f>Perhitungan!I$4+Perhitungan!I$3*Return!$B197</f>
        <v>3.5183846567511364E-3</v>
      </c>
      <c r="K197">
        <f>Perhitungan!J$4+Perhitungan!J$3*Return!$B197</f>
        <v>1.3046712191138182E-2</v>
      </c>
      <c r="L197">
        <f>Perhitungan!K$4+Perhitungan!K$3*Return!$B197</f>
        <v>4.0405142235988099E-3</v>
      </c>
      <c r="M197">
        <f>Perhitungan!L$4+Perhitungan!L$3*Return!$B197</f>
        <v>1.7200941103391008E-2</v>
      </c>
      <c r="N197">
        <f>Perhitungan!M$4+Perhitungan!M$3*Return!$B197</f>
        <v>1.5310590821146497E-2</v>
      </c>
      <c r="O197">
        <f>Perhitungan!N$4+Perhitungan!N$3*Return!$B197</f>
        <v>6.0657335720130535E-3</v>
      </c>
      <c r="P197">
        <f>Perhitungan!O$4+Perhitungan!O$3*Return!$B197</f>
        <v>9.0750943384580486E-3</v>
      </c>
      <c r="Q197">
        <f>Perhitungan!P$4+Perhitungan!P$3*Return!$B197</f>
        <v>1.5252733162457562E-2</v>
      </c>
      <c r="R197">
        <f>Perhitungan!Q$4+Perhitungan!Q$3*Return!$B197</f>
        <v>6.4526609686612457E-3</v>
      </c>
      <c r="S197">
        <f>Perhitungan!R$4+Perhitungan!R$3*Return!$B197</f>
        <v>6.6815939971811931E-3</v>
      </c>
      <c r="T197">
        <f>Perhitungan!S$4+Perhitungan!S$3*Return!$B197</f>
        <v>8.2364800240928137E-3</v>
      </c>
      <c r="U197">
        <f>Perhitungan!T$4+Perhitungan!T$3*Return!$B197</f>
        <v>1.3891187033951704E-2</v>
      </c>
      <c r="V197">
        <f>Perhitungan!U$4+Perhitungan!U$3*Return!$B197</f>
        <v>1.140335165198267E-2</v>
      </c>
      <c r="W197">
        <f>Perhitungan!V$4+Perhitungan!V$3*Return!$B197</f>
        <v>2.5879047743026396E-2</v>
      </c>
      <c r="X197">
        <f>Perhitungan!W$4+Perhitungan!W$3*Return!$B197</f>
        <v>8.7243827370086235E-3</v>
      </c>
      <c r="Y197">
        <f>Perhitungan!X$4+Perhitungan!X$3*Return!$B197</f>
        <v>8.3185773265992188E-3</v>
      </c>
      <c r="Z197">
        <f>Perhitungan!Y$4+Perhitungan!Y$3*Return!$B197</f>
        <v>8.6338809086658284E-3</v>
      </c>
      <c r="AA197">
        <f>Perhitungan!Z$4+Perhitungan!Z$3*Return!$B197</f>
        <v>1.6867489248056925E-2</v>
      </c>
      <c r="AB197">
        <f>Perhitungan!AA$4+Perhitungan!AA$3*Return!$B197</f>
        <v>1.2240579778665548E-2</v>
      </c>
      <c r="AC197">
        <f>Perhitungan!AB$4+Perhitungan!AB$3*Return!$B197</f>
        <v>1.187877449995259E-2</v>
      </c>
      <c r="AD197">
        <f>Perhitungan!AC$4+Perhitungan!AC$3*Return!$B197</f>
        <v>1.1535969327766467E-2</v>
      </c>
      <c r="AE197">
        <f>Perhitungan!AD$4+Perhitungan!AD$3*Return!$B197</f>
        <v>9.4698239246788669E-3</v>
      </c>
      <c r="AF197">
        <f>Perhitungan!AE$4+Perhitungan!AE$3*Return!$B197</f>
        <v>16.32970071693563</v>
      </c>
    </row>
    <row r="198" spans="1:32" x14ac:dyDescent="0.3">
      <c r="A198" s="3" t="s">
        <v>120</v>
      </c>
      <c r="C198">
        <f>Perhitungan!B$4+Perhitungan!B$3*Return!$B198</f>
        <v>-1.3728203703237292E-3</v>
      </c>
      <c r="D198">
        <f>Perhitungan!C$4+Perhitungan!C$3*Return!$B198</f>
        <v>1.4880286720405592E-3</v>
      </c>
      <c r="E198">
        <f>Perhitungan!D$4+Perhitungan!D$3*Return!$B198</f>
        <v>3.8025249090973027E-4</v>
      </c>
      <c r="F198">
        <f>Perhitungan!E$4+Perhitungan!E$3*Return!$B198</f>
        <v>1.5262655386781099E-4</v>
      </c>
      <c r="G198">
        <f>Perhitungan!F$4+Perhitungan!F$3*Return!$B198</f>
        <v>1.8970744069863967E-3</v>
      </c>
      <c r="H198">
        <f>Perhitungan!G$4+Perhitungan!G$3*Return!$B198</f>
        <v>6.6121937474418599E-4</v>
      </c>
      <c r="I198">
        <f>Perhitungan!H$4+Perhitungan!H$3*Return!$B198</f>
        <v>-1.7338122723379911E-3</v>
      </c>
      <c r="J198">
        <f>Perhitungan!I$4+Perhitungan!I$3*Return!$B198</f>
        <v>2.9235803963810958E-5</v>
      </c>
      <c r="K198">
        <f>Perhitungan!J$4+Perhitungan!J$3*Return!$B198</f>
        <v>1.6127707430400402E-3</v>
      </c>
      <c r="L198">
        <f>Perhitungan!K$4+Perhitungan!K$3*Return!$B198</f>
        <v>-3.7189577442074478E-4</v>
      </c>
      <c r="M198">
        <f>Perhitungan!L$4+Perhitungan!L$3*Return!$B198</f>
        <v>5.4160587078261949E-3</v>
      </c>
      <c r="N198">
        <f>Perhitungan!M$4+Perhitungan!M$3*Return!$B198</f>
        <v>-1.7785880225469435E-3</v>
      </c>
      <c r="O198">
        <f>Perhitungan!N$4+Perhitungan!N$3*Return!$B198</f>
        <v>-1.6762985979389315E-4</v>
      </c>
      <c r="P198">
        <f>Perhitungan!O$4+Perhitungan!O$3*Return!$B198</f>
        <v>-1.6077763941292054E-3</v>
      </c>
      <c r="Q198">
        <f>Perhitungan!P$4+Perhitungan!P$3*Return!$B198</f>
        <v>2.3357596325898674E-3</v>
      </c>
      <c r="R198">
        <f>Perhitungan!Q$4+Perhitungan!Q$3*Return!$B198</f>
        <v>-6.5909588395931086E-4</v>
      </c>
      <c r="S198">
        <f>Perhitungan!R$4+Perhitungan!R$3*Return!$B198</f>
        <v>7.3841225968852056E-5</v>
      </c>
      <c r="T198">
        <f>Perhitungan!S$4+Perhitungan!S$3*Return!$B198</f>
        <v>1.2947433132342334E-3</v>
      </c>
      <c r="U198">
        <f>Perhitungan!T$4+Perhitungan!T$3*Return!$B198</f>
        <v>5.8262223639277122E-4</v>
      </c>
      <c r="V198">
        <f>Perhitungan!U$4+Perhitungan!U$3*Return!$B198</f>
        <v>2.5389318415632045E-4</v>
      </c>
      <c r="W198">
        <f>Perhitungan!V$4+Perhitungan!V$3*Return!$B198</f>
        <v>2.8293283479610401E-3</v>
      </c>
      <c r="X198">
        <f>Perhitungan!W$4+Perhitungan!W$3*Return!$B198</f>
        <v>-4.1726769400727785E-3</v>
      </c>
      <c r="Y198">
        <f>Perhitungan!X$4+Perhitungan!X$3*Return!$B198</f>
        <v>-1.351174020735688E-3</v>
      </c>
      <c r="Z198">
        <f>Perhitungan!Y$4+Perhitungan!Y$3*Return!$B198</f>
        <v>-7.9634506969146674E-4</v>
      </c>
      <c r="AA198">
        <f>Perhitungan!Z$4+Perhitungan!Z$3*Return!$B198</f>
        <v>2.7461118002117496E-3</v>
      </c>
      <c r="AB198">
        <f>Perhitungan!AA$4+Perhitungan!AA$3*Return!$B198</f>
        <v>-5.4914590714715472E-4</v>
      </c>
      <c r="AC198">
        <f>Perhitungan!AB$4+Perhitungan!AB$3*Return!$B198</f>
        <v>1.4038653453351557E-3</v>
      </c>
      <c r="AD198">
        <f>Perhitungan!AC$4+Perhitungan!AC$3*Return!$B198</f>
        <v>-1.1882463128754818E-4</v>
      </c>
      <c r="AE198">
        <f>Perhitungan!AD$4+Perhitungan!AD$3*Return!$B198</f>
        <v>2.0270854429486055E-4</v>
      </c>
      <c r="AF198">
        <f>Perhitungan!AE$4+Perhitungan!AE$3*Return!$B198</f>
        <v>16.671203701041566</v>
      </c>
    </row>
    <row r="199" spans="1:32" x14ac:dyDescent="0.3">
      <c r="A199" s="2">
        <v>46054</v>
      </c>
      <c r="C199">
        <f>Perhitungan!B$4+Perhitungan!B$3*Return!$B199</f>
        <v>8.4130727528922058E-3</v>
      </c>
      <c r="D199">
        <f>Perhitungan!C$4+Perhitungan!C$3*Return!$B199</f>
        <v>1.2691100767638755E-2</v>
      </c>
      <c r="E199">
        <f>Perhitungan!D$4+Perhitungan!D$3*Return!$B199</f>
        <v>1.1529480555672102E-2</v>
      </c>
      <c r="F199">
        <f>Perhitungan!E$4+Perhitungan!E$3*Return!$B199</f>
        <v>9.8021681285629537E-3</v>
      </c>
      <c r="G199">
        <f>Perhitungan!F$4+Perhitungan!F$3*Return!$B199</f>
        <v>1.2159955320476342E-2</v>
      </c>
      <c r="H199">
        <f>Perhitungan!G$4+Perhitungan!G$3*Return!$B199</f>
        <v>8.325799588656561E-3</v>
      </c>
      <c r="I199">
        <f>Perhitungan!H$4+Perhitungan!H$3*Return!$B199</f>
        <v>3.0944676506465033E-3</v>
      </c>
      <c r="J199">
        <f>Perhitungan!I$4+Perhitungan!I$3*Return!$B199</f>
        <v>3.3018444837213112E-3</v>
      </c>
      <c r="K199">
        <f>Perhitungan!J$4+Perhitungan!J$3*Return!$B199</f>
        <v>1.2337110003313443E-2</v>
      </c>
      <c r="L199">
        <f>Perhitungan!K$4+Perhitungan!K$3*Return!$B199</f>
        <v>3.7666755125657717E-3</v>
      </c>
      <c r="M199">
        <f>Perhitungan!L$4+Perhitungan!L$3*Return!$B199</f>
        <v>1.6469559158756246E-2</v>
      </c>
      <c r="N199">
        <f>Perhitungan!M$4+Perhitungan!M$3*Return!$B199</f>
        <v>1.4250018773383374E-2</v>
      </c>
      <c r="O199">
        <f>Perhitungan!N$4+Perhitungan!N$3*Return!$B199</f>
        <v>5.6788846145651691E-3</v>
      </c>
      <c r="P199">
        <f>Perhitungan!O$4+Perhitungan!O$3*Return!$B199</f>
        <v>8.412104373142661E-3</v>
      </c>
      <c r="Q199">
        <f>Perhitungan!P$4+Perhitungan!P$3*Return!$B199</f>
        <v>1.4451092475519031E-2</v>
      </c>
      <c r="R199">
        <f>Perhitungan!Q$4+Perhitungan!Q$3*Return!$B199</f>
        <v>6.0112980104193581E-3</v>
      </c>
      <c r="S199">
        <f>Perhitungan!R$4+Perhitungan!R$3*Return!$B199</f>
        <v>6.2715100515582977E-3</v>
      </c>
      <c r="T199">
        <f>Perhitungan!S$4+Perhitungan!S$3*Return!$B199</f>
        <v>7.8056686910377652E-3</v>
      </c>
      <c r="U199">
        <f>Perhitungan!T$4+Perhitungan!T$3*Return!$B199</f>
        <v>1.3065243789443841E-2</v>
      </c>
      <c r="V199">
        <f>Perhitungan!U$4+Perhitungan!U$3*Return!$B199</f>
        <v>1.0711404771045423E-2</v>
      </c>
      <c r="W199">
        <f>Perhitungan!V$4+Perhitungan!V$3*Return!$B199</f>
        <v>2.4448558406892418E-2</v>
      </c>
      <c r="X199">
        <f>Perhitungan!W$4+Perhitungan!W$3*Return!$B199</f>
        <v>7.923977924293283E-3</v>
      </c>
      <c r="Y199">
        <f>Perhitungan!X$4+Perhitungan!X$3*Return!$B199</f>
        <v>7.7184625942527986E-3</v>
      </c>
      <c r="Z199">
        <f>Perhitungan!Y$4+Perhitungan!Y$3*Return!$B199</f>
        <v>8.0486313675255713E-3</v>
      </c>
      <c r="AA199">
        <f>Perhitungan!Z$4+Perhitungan!Z$3*Return!$B199</f>
        <v>1.5991102012948542E-2</v>
      </c>
      <c r="AB199">
        <f>Perhitungan!AA$4+Perhitungan!AA$3*Return!$B199</f>
        <v>1.1446836224045498E-2</v>
      </c>
      <c r="AC199">
        <f>Perhitungan!AB$4+Perhitungan!AB$3*Return!$B199</f>
        <v>1.1228690844450027E-2</v>
      </c>
      <c r="AD199">
        <f>Perhitungan!AC$4+Perhitungan!AC$3*Return!$B199</f>
        <v>1.0812660805544947E-2</v>
      </c>
      <c r="AE199">
        <f>Perhitungan!AD$4+Perhitungan!AD$3*Return!$B199</f>
        <v>8.8946971953183136E-3</v>
      </c>
      <c r="AF199">
        <f>Perhitungan!AE$4+Perhitungan!AE$3*Return!$B199</f>
        <v>16.350894744014592</v>
      </c>
    </row>
    <row r="200" spans="1:32" x14ac:dyDescent="0.3">
      <c r="A200" s="1">
        <v>46143</v>
      </c>
      <c r="C200">
        <f>Perhitungan!B$4+Perhitungan!B$3*Return!$B200</f>
        <v>9.2659421535037489E-3</v>
      </c>
      <c r="D200">
        <f>Perhitungan!C$4+Perhitungan!C$3*Return!$B200</f>
        <v>1.3667481488629172E-2</v>
      </c>
      <c r="E200">
        <f>Perhitungan!D$4+Perhitungan!D$3*Return!$B200</f>
        <v>1.2501168610829441E-2</v>
      </c>
      <c r="F200">
        <f>Perhitungan!E$4+Perhitungan!E$3*Return!$B200</f>
        <v>1.0643154090228747E-2</v>
      </c>
      <c r="G200">
        <f>Perhitungan!F$4+Perhitungan!F$3*Return!$B200</f>
        <v>1.3054395611518409E-2</v>
      </c>
      <c r="H200">
        <f>Perhitungan!G$4+Perhitungan!G$3*Return!$B200</f>
        <v>8.9937903229381881E-3</v>
      </c>
      <c r="I200">
        <f>Perhitungan!H$4+Perhitungan!H$3*Return!$B200</f>
        <v>3.5152664629829367E-3</v>
      </c>
      <c r="J200">
        <f>Perhitungan!I$4+Perhitungan!I$3*Return!$B200</f>
        <v>3.5870619664791518E-3</v>
      </c>
      <c r="K200">
        <f>Perhitungan!J$4+Perhitungan!J$3*Return!$B200</f>
        <v>1.3271767748058813E-2</v>
      </c>
      <c r="L200">
        <f>Perhitungan!K$4+Perhitungan!K$3*Return!$B200</f>
        <v>4.1273641864024609E-3</v>
      </c>
      <c r="M200">
        <f>Perhitungan!L$4+Perhitungan!L$3*Return!$B200</f>
        <v>1.7432904270494608E-2</v>
      </c>
      <c r="N200">
        <f>Perhitungan!M$4+Perhitungan!M$3*Return!$B200</f>
        <v>1.5646959052472664E-2</v>
      </c>
      <c r="O200">
        <f>Perhitungan!N$4+Perhitungan!N$3*Return!$B200</f>
        <v>6.1884255662830916E-3</v>
      </c>
      <c r="P200">
        <f>Perhitungan!O$4+Perhitungan!O$3*Return!$B200</f>
        <v>9.2853664859189281E-3</v>
      </c>
      <c r="Q200">
        <f>Perhitungan!P$4+Perhitungan!P$3*Return!$B200</f>
        <v>1.5506979406824762E-2</v>
      </c>
      <c r="R200">
        <f>Perhitungan!Q$4+Perhitungan!Q$3*Return!$B200</f>
        <v>6.5926424795353326E-3</v>
      </c>
      <c r="S200">
        <f>Perhitungan!R$4+Perhitungan!R$3*Return!$B200</f>
        <v>6.8116551389728885E-3</v>
      </c>
      <c r="T200">
        <f>Perhitungan!S$4+Perhitungan!S$3*Return!$B200</f>
        <v>8.3731150093732873E-3</v>
      </c>
      <c r="U200">
        <f>Perhitungan!T$4+Perhitungan!T$3*Return!$B200</f>
        <v>1.4153141013331852E-2</v>
      </c>
      <c r="V200">
        <f>Perhitungan!U$4+Perhitungan!U$3*Return!$B200</f>
        <v>1.1622807698371422E-2</v>
      </c>
      <c r="W200">
        <f>Perhitungan!V$4+Perhitungan!V$3*Return!$B200</f>
        <v>2.6332737965148668E-2</v>
      </c>
      <c r="X200">
        <f>Perhitungan!W$4+Perhitungan!W$3*Return!$B200</f>
        <v>8.9782370147692414E-3</v>
      </c>
      <c r="Y200">
        <f>Perhitungan!X$4+Perhitungan!X$3*Return!$B200</f>
        <v>8.5089081311286105E-3</v>
      </c>
      <c r="Z200">
        <f>Perhitungan!Y$4+Perhitungan!Y$3*Return!$B200</f>
        <v>8.8194971083884206E-3</v>
      </c>
      <c r="AA200">
        <f>Perhitungan!Z$4+Perhitungan!Z$3*Return!$B200</f>
        <v>1.7145441910350806E-2</v>
      </c>
      <c r="AB200">
        <f>Perhitungan!AA$4+Perhitungan!AA$3*Return!$B200</f>
        <v>1.2492321389390821E-2</v>
      </c>
      <c r="AC200">
        <f>Perhitungan!AB$4+Perhitungan!AB$3*Return!$B200</f>
        <v>1.208495331625898E-2</v>
      </c>
      <c r="AD200">
        <f>Perhitungan!AC$4+Perhitungan!AC$3*Return!$B200</f>
        <v>1.1765371949526999E-2</v>
      </c>
      <c r="AE200">
        <f>Perhitungan!AD$4+Perhitungan!AD$3*Return!$B200</f>
        <v>9.6522296001362116E-3</v>
      </c>
      <c r="AF200">
        <f>Perhitungan!AE$4+Perhitungan!AE$3*Return!$B200</f>
        <v>16.32297887524815</v>
      </c>
    </row>
    <row r="201" spans="1:32" x14ac:dyDescent="0.3">
      <c r="A201" s="2">
        <v>46174</v>
      </c>
      <c r="C201">
        <f>Perhitungan!B$4+Perhitungan!B$3*Return!$B201</f>
        <v>5.5766232357919217E-3</v>
      </c>
      <c r="D201">
        <f>Perhitungan!C$4+Perhitungan!C$3*Return!$B201</f>
        <v>9.4438807095929625E-3</v>
      </c>
      <c r="E201">
        <f>Perhitungan!D$4+Perhitungan!D$3*Return!$B201</f>
        <v>8.2978672361569694E-3</v>
      </c>
      <c r="F201">
        <f>Perhitungan!E$4+Perhitungan!E$3*Return!$B201</f>
        <v>7.0052402247776724E-3</v>
      </c>
      <c r="G201">
        <f>Perhitungan!F$4+Perhitungan!F$3*Return!$B201</f>
        <v>9.1852504831564132E-3</v>
      </c>
      <c r="H201">
        <f>Perhitungan!G$4+Perhitungan!G$3*Return!$B201</f>
        <v>6.1042144381962555E-3</v>
      </c>
      <c r="I201">
        <f>Perhitungan!H$4+Perhitungan!H$3*Return!$B201</f>
        <v>1.6949865727790064E-3</v>
      </c>
      <c r="J201">
        <f>Perhitungan!I$4+Perhitungan!I$3*Return!$B201</f>
        <v>2.3532760503164486E-3</v>
      </c>
      <c r="K201">
        <f>Perhitungan!J$4+Perhitungan!J$3*Return!$B201</f>
        <v>9.2286510682923449E-3</v>
      </c>
      <c r="L201">
        <f>Perhitungan!K$4+Perhitungan!K$3*Return!$B201</f>
        <v>2.5671070745446264E-3</v>
      </c>
      <c r="M201">
        <f>Perhitungan!L$4+Perhitungan!L$3*Return!$B201</f>
        <v>1.3265692570235313E-2</v>
      </c>
      <c r="N201">
        <f>Perhitungan!M$4+Perhitungan!M$3*Return!$B201</f>
        <v>9.6041133426110082E-3</v>
      </c>
      <c r="O201">
        <f>Perhitungan!N$4+Perhitungan!N$3*Return!$B201</f>
        <v>3.9842673784364138E-3</v>
      </c>
      <c r="P201">
        <f>Perhitungan!O$4+Perhitungan!O$3*Return!$B201</f>
        <v>5.5078333366743257E-3</v>
      </c>
      <c r="Q201">
        <f>Perhitungan!P$4+Perhitungan!P$3*Return!$B201</f>
        <v>1.0939452857229144E-2</v>
      </c>
      <c r="R201">
        <f>Perhitungan!Q$4+Perhitungan!Q$3*Return!$B201</f>
        <v>4.0778786175902134E-3</v>
      </c>
      <c r="S201">
        <f>Perhitungan!R$4+Perhitungan!R$3*Return!$B201</f>
        <v>4.4751104254694366E-3</v>
      </c>
      <c r="T201">
        <f>Perhitungan!S$4+Perhitungan!S$3*Return!$B201</f>
        <v>5.9184713845462644E-3</v>
      </c>
      <c r="U201">
        <f>Perhitungan!T$4+Perhitungan!T$3*Return!$B201</f>
        <v>9.4471452234274438E-3</v>
      </c>
      <c r="V201">
        <f>Perhitungan!U$4+Perhitungan!U$3*Return!$B201</f>
        <v>7.6802860660667265E-3</v>
      </c>
      <c r="W201">
        <f>Perhitungan!V$4+Perhitungan!V$3*Return!$B201</f>
        <v>1.8182206027132965E-2</v>
      </c>
      <c r="X201">
        <f>Perhitungan!W$4+Perhitungan!W$3*Return!$B201</f>
        <v>4.4177521341137839E-3</v>
      </c>
      <c r="Y201">
        <f>Perhitungan!X$4+Perhitungan!X$3*Return!$B201</f>
        <v>5.0896206405400494E-3</v>
      </c>
      <c r="Z201">
        <f>Perhitungan!Y$4+Perhitungan!Y$3*Return!$B201</f>
        <v>5.4849073590762659E-3</v>
      </c>
      <c r="AA201">
        <f>Perhitungan!Z$4+Perhitungan!Z$3*Return!$B201</f>
        <v>1.2152030236884728E-2</v>
      </c>
      <c r="AB201">
        <f>Perhitungan!AA$4+Perhitungan!AA$3*Return!$B201</f>
        <v>7.9697905119436394E-3</v>
      </c>
      <c r="AC201">
        <f>Perhitungan!AB$4+Perhitungan!AB$3*Return!$B201</f>
        <v>8.3809567447952777E-3</v>
      </c>
      <c r="AD201">
        <f>Perhitungan!AC$4+Perhitungan!AC$3*Return!$B201</f>
        <v>7.6441603735370994E-3</v>
      </c>
      <c r="AE201">
        <f>Perhitungan!AD$4+Perhitungan!AD$3*Return!$B201</f>
        <v>6.3753168279457283E-3</v>
      </c>
      <c r="AF201">
        <f>Perhitungan!AE$4+Perhitungan!AE$3*Return!$B201</f>
        <v>16.443736570002518</v>
      </c>
    </row>
    <row r="202" spans="1:32" x14ac:dyDescent="0.3">
      <c r="A202" s="1">
        <v>46204</v>
      </c>
      <c r="C202">
        <f>Perhitungan!B$4+Perhitungan!B$3*Return!$B202</f>
        <v>-5.6222915341699485E-4</v>
      </c>
      <c r="D202">
        <f>Perhitungan!C$4+Perhitungan!C$3*Return!$B202</f>
        <v>2.4160085435477293E-3</v>
      </c>
      <c r="E202">
        <f>Perhitungan!D$4+Perhitungan!D$3*Return!$B202</f>
        <v>1.3037723199937072E-3</v>
      </c>
      <c r="F202">
        <f>Perhitungan!E$4+Perhitungan!E$3*Return!$B202</f>
        <v>9.519234140662776E-4</v>
      </c>
      <c r="G202">
        <f>Perhitungan!F$4+Perhitungan!F$3*Return!$B202</f>
        <v>2.747175774729604E-3</v>
      </c>
      <c r="H202">
        <f>Perhitungan!G$4+Perhitungan!G$3*Return!$B202</f>
        <v>1.2960966745928059E-3</v>
      </c>
      <c r="I202">
        <f>Perhitungan!H$4+Perhitungan!H$3*Return!$B202</f>
        <v>-1.3338731713219178E-3</v>
      </c>
      <c r="J202">
        <f>Perhitungan!I$4+Perhitungan!I$3*Return!$B202</f>
        <v>3.0031457202135561E-4</v>
      </c>
      <c r="K202">
        <f>Perhitungan!J$4+Perhitungan!J$3*Return!$B202</f>
        <v>2.5010959170481627E-3</v>
      </c>
      <c r="L202">
        <f>Perhitungan!K$4+Perhitungan!K$3*Return!$B202</f>
        <v>-2.9087050318184801E-5</v>
      </c>
      <c r="M202">
        <f>Perhitungan!L$4+Perhitungan!L$3*Return!$B202</f>
        <v>6.331649167356377E-3</v>
      </c>
      <c r="N202">
        <f>Perhitungan!M$4+Perhitungan!M$3*Return!$B202</f>
        <v>-4.5089644402263799E-4</v>
      </c>
      <c r="O202">
        <f>Perhitungan!N$4+Perhitungan!N$3*Return!$B202</f>
        <v>3.1665228213860822E-4</v>
      </c>
      <c r="P202">
        <f>Perhitungan!O$4+Perhitungan!O$3*Return!$B202</f>
        <v>-7.7780336641089867E-4</v>
      </c>
      <c r="Q202">
        <f>Perhitungan!P$4+Perhitungan!P$3*Return!$B202</f>
        <v>3.3393044566266067E-3</v>
      </c>
      <c r="R202">
        <f>Perhitungan!Q$4+Perhitungan!Q$3*Return!$B202</f>
        <v>-1.0656964685334415E-4</v>
      </c>
      <c r="S202">
        <f>Perhitungan!R$4+Perhitungan!R$3*Return!$B202</f>
        <v>5.8721040464924598E-4</v>
      </c>
      <c r="T202">
        <f>Perhitungan!S$4+Perhitungan!S$3*Return!$B202</f>
        <v>1.8340603544823087E-3</v>
      </c>
      <c r="U202">
        <f>Perhitungan!T$4+Perhitungan!T$3*Return!$B202</f>
        <v>1.6165905484796217E-3</v>
      </c>
      <c r="V202">
        <f>Perhitungan!U$4+Perhitungan!U$3*Return!$B202</f>
        <v>1.1201163215133524E-3</v>
      </c>
      <c r="W202">
        <f>Perhitungan!V$4+Perhitungan!V$3*Return!$B202</f>
        <v>4.6201059276263301E-3</v>
      </c>
      <c r="X202">
        <f>Perhitungan!W$4+Perhitungan!W$3*Return!$B202</f>
        <v>-3.1706792620330559E-3</v>
      </c>
      <c r="Y202">
        <f>Perhitungan!X$4+Perhitungan!X$3*Return!$B202</f>
        <v>-5.9991221069158004E-4</v>
      </c>
      <c r="Z202">
        <f>Perhitungan!Y$4+Perhitungan!Y$3*Return!$B202</f>
        <v>-6.3692451940519255E-5</v>
      </c>
      <c r="AA202">
        <f>Perhitungan!Z$4+Perhitungan!Z$3*Return!$B202</f>
        <v>3.8432291097181756E-3</v>
      </c>
      <c r="AB202">
        <f>Perhitungan!AA$4+Perhitungan!AA$3*Return!$B202</f>
        <v>4.4451278412203335E-4</v>
      </c>
      <c r="AC202">
        <f>Perhitungan!AB$4+Perhitungan!AB$3*Return!$B202</f>
        <v>2.2176814331412173E-3</v>
      </c>
      <c r="AD202">
        <f>Perhitungan!AC$4+Perhitungan!AC$3*Return!$B202</f>
        <v>7.866590043163036E-4</v>
      </c>
      <c r="AE202">
        <f>Perhitungan!AD$4+Perhitungan!AD$3*Return!$B202</f>
        <v>9.2268878209835869E-4</v>
      </c>
      <c r="AF202">
        <f>Perhitungan!AE$4+Perhitungan!AE$3*Return!$B202</f>
        <v>16.64467166926956</v>
      </c>
    </row>
    <row r="203" spans="1:32" x14ac:dyDescent="0.3">
      <c r="A203" s="2">
        <v>46235</v>
      </c>
      <c r="C203">
        <f>Perhitungan!B$4+Perhitungan!B$3*Return!$B203</f>
        <v>-3.4963892051314885E-3</v>
      </c>
      <c r="D203">
        <f>Perhitungan!C$4+Perhitungan!C$3*Return!$B203</f>
        <v>-9.4307234825124217E-4</v>
      </c>
      <c r="E203">
        <f>Perhitungan!D$4+Perhitungan!D$3*Return!$B203</f>
        <v>-2.0391642094754782E-3</v>
      </c>
      <c r="F203">
        <f>Perhitungan!E$4+Perhitungan!E$3*Return!$B203</f>
        <v>-1.9413535765293514E-3</v>
      </c>
      <c r="G203">
        <f>Perhitungan!F$4+Perhitungan!F$3*Return!$B203</f>
        <v>-3.3000224190188614E-4</v>
      </c>
      <c r="H203">
        <f>Perhitungan!G$4+Perhitungan!G$3*Return!$B203</f>
        <v>-1.0020180497004869E-3</v>
      </c>
      <c r="I203">
        <f>Perhitungan!H$4+Perhitungan!H$3*Return!$B203</f>
        <v>-2.7815638307372289E-3</v>
      </c>
      <c r="J203">
        <f>Perhitungan!I$4+Perhitungan!I$3*Return!$B203</f>
        <v>-6.8093032122789221E-4</v>
      </c>
      <c r="K203">
        <f>Perhitungan!J$4+Perhitungan!J$3*Return!$B203</f>
        <v>-7.1444378304071532E-4</v>
      </c>
      <c r="L203">
        <f>Perhitungan!K$4+Perhitungan!K$3*Return!$B203</f>
        <v>-1.2699784425039447E-3</v>
      </c>
      <c r="M203">
        <f>Perhitungan!L$4+Perhitungan!L$3*Return!$B203</f>
        <v>3.0174151933735566E-3</v>
      </c>
      <c r="N203">
        <f>Perhitungan!M$4+Perhitungan!M$3*Return!$B203</f>
        <v>-5.2568448794989668E-3</v>
      </c>
      <c r="O203">
        <f>Perhitungan!N$4+Perhitungan!N$3*Return!$B203</f>
        <v>-1.4363414401959973E-3</v>
      </c>
      <c r="P203">
        <f>Perhitungan!O$4+Perhitungan!O$3*Return!$B203</f>
        <v>-3.7821212656656365E-3</v>
      </c>
      <c r="Q203">
        <f>Perhitungan!P$4+Perhitungan!P$3*Return!$B203</f>
        <v>-2.9330476905693476E-4</v>
      </c>
      <c r="R203">
        <f>Perhitungan!Q$4+Perhitungan!Q$3*Return!$B203</f>
        <v>-2.1065918265002663E-3</v>
      </c>
      <c r="S203">
        <f>Perhitungan!R$4+Perhitungan!R$3*Return!$B203</f>
        <v>-1.2710719261335285E-3</v>
      </c>
      <c r="T203">
        <f>Perhitungan!S$4+Perhitungan!S$3*Return!$B203</f>
        <v>-1.1814747189614313E-4</v>
      </c>
      <c r="U203">
        <f>Perhitungan!T$4+Perhitungan!T$3*Return!$B203</f>
        <v>-2.1261449423404933E-3</v>
      </c>
      <c r="V203">
        <f>Perhitungan!U$4+Perhitungan!U$3*Return!$B203</f>
        <v>-2.0154189180650421E-3</v>
      </c>
      <c r="W203">
        <f>Perhitungan!V$4+Perhitungan!V$3*Return!$B203</f>
        <v>-1.8621109113508812E-3</v>
      </c>
      <c r="X203">
        <f>Perhitungan!W$4+Perhitungan!W$3*Return!$B203</f>
        <v>-6.7976881630598101E-3</v>
      </c>
      <c r="Y203">
        <f>Perhitungan!X$4+Perhitungan!X$3*Return!$B203</f>
        <v>-3.3193129954940271E-3</v>
      </c>
      <c r="Z203">
        <f>Perhitungan!Y$4+Perhitungan!Y$3*Return!$B203</f>
        <v>-2.7157320965252984E-3</v>
      </c>
      <c r="AA203">
        <f>Perhitungan!Z$4+Perhitungan!Z$3*Return!$B203</f>
        <v>-1.2809171692807365E-4</v>
      </c>
      <c r="AB203">
        <f>Perhitungan!AA$4+Perhitungan!AA$3*Return!$B203</f>
        <v>-3.152310838130978E-3</v>
      </c>
      <c r="AC203">
        <f>Perhitungan!AB$4+Perhitungan!AB$3*Return!$B203</f>
        <v>-7.2815193450291582E-4</v>
      </c>
      <c r="AD203">
        <f>Perhitungan!AC$4+Perhitungan!AC$3*Return!$B203</f>
        <v>-2.4909905132897052E-3</v>
      </c>
      <c r="AE203">
        <f>Perhitungan!AD$4+Perhitungan!AD$3*Return!$B203</f>
        <v>-1.6834796635066857E-3</v>
      </c>
      <c r="AF203">
        <f>Perhitungan!AE$4+Perhitungan!AE$3*Return!$B203</f>
        <v>16.740711727553585</v>
      </c>
    </row>
    <row r="204" spans="1:32" x14ac:dyDescent="0.3">
      <c r="A204" s="1">
        <v>46266</v>
      </c>
      <c r="C204">
        <f>Perhitungan!B$4+Perhitungan!B$3*Return!$B204</f>
        <v>-5.5354782774119844E-4</v>
      </c>
      <c r="D204">
        <f>Perhitungan!C$4+Perhitungan!C$3*Return!$B204</f>
        <v>2.4259470863262703E-3</v>
      </c>
      <c r="E204">
        <f>Perhitungan!D$4+Perhitungan!D$3*Return!$B204</f>
        <v>1.3136630963025459E-3</v>
      </c>
      <c r="F204">
        <f>Perhitungan!E$4+Perhitungan!E$3*Return!$B204</f>
        <v>9.6048377866226199E-4</v>
      </c>
      <c r="G204">
        <f>Perhitungan!F$4+Perhitungan!F$3*Return!$B204</f>
        <v>2.7562802489416258E-3</v>
      </c>
      <c r="H204">
        <f>Perhitungan!G$4+Perhitungan!G$3*Return!$B204</f>
        <v>1.3028961272505692E-3</v>
      </c>
      <c r="I204">
        <f>Perhitungan!H$4+Perhitungan!H$3*Return!$B204</f>
        <v>-1.3295898759765089E-3</v>
      </c>
      <c r="J204">
        <f>Perhitungan!I$4+Perhitungan!I$3*Return!$B204</f>
        <v>3.0321779009258223E-4</v>
      </c>
      <c r="K204">
        <f>Perhitungan!J$4+Perhitungan!J$3*Return!$B204</f>
        <v>2.5106097632146707E-3</v>
      </c>
      <c r="L204">
        <f>Perhitungan!K$4+Perhitungan!K$3*Return!$B204</f>
        <v>-2.5415613820519193E-5</v>
      </c>
      <c r="M204">
        <f>Perhitungan!L$4+Perhitungan!L$3*Return!$B204</f>
        <v>6.341455021156725E-3</v>
      </c>
      <c r="N204">
        <f>Perhitungan!M$4+Perhitungan!M$3*Return!$B204</f>
        <v>-4.3667704125860841E-4</v>
      </c>
      <c r="O204">
        <f>Perhitungan!N$4+Perhitungan!N$3*Return!$B204</f>
        <v>3.2183888039602807E-4</v>
      </c>
      <c r="P204">
        <f>Perhitungan!O$4+Perhitungan!O$3*Return!$B204</f>
        <v>-7.6891446408199711E-4</v>
      </c>
      <c r="Q204">
        <f>Perhitungan!P$4+Perhitungan!P$3*Return!$B204</f>
        <v>3.3500522901412219E-3</v>
      </c>
      <c r="R204">
        <f>Perhitungan!Q$4+Perhitungan!Q$3*Return!$B204</f>
        <v>-1.0065216328247165E-4</v>
      </c>
      <c r="S204">
        <f>Perhitungan!R$4+Perhitungan!R$3*Return!$B204</f>
        <v>5.9270852125732838E-4</v>
      </c>
      <c r="T204">
        <f>Perhitungan!S$4+Perhitungan!S$3*Return!$B204</f>
        <v>1.8398363692970856E-3</v>
      </c>
      <c r="U204">
        <f>Perhitungan!T$4+Perhitungan!T$3*Return!$B204</f>
        <v>1.6276642135631557E-3</v>
      </c>
      <c r="V204">
        <f>Perhitungan!U$4+Perhitungan!U$3*Return!$B204</f>
        <v>1.1293934577645977E-3</v>
      </c>
      <c r="W204">
        <f>Perhitungan!V$4+Perhitungan!V$3*Return!$B204</f>
        <v>4.6392849207584231E-3</v>
      </c>
      <c r="X204">
        <f>Perhitungan!W$4+Perhitungan!W$3*Return!$B204</f>
        <v>-3.1599479982492599E-3</v>
      </c>
      <c r="Y204">
        <f>Perhitungan!X$4+Perhitungan!X$3*Return!$B204</f>
        <v>-5.9186629518601943E-4</v>
      </c>
      <c r="Z204">
        <f>Perhitungan!Y$4+Perhitungan!Y$3*Return!$B204</f>
        <v>-5.5845838445011016E-5</v>
      </c>
      <c r="AA204">
        <f>Perhitungan!Z$4+Perhitungan!Z$3*Return!$B204</f>
        <v>3.8549790922861151E-3</v>
      </c>
      <c r="AB204">
        <f>Perhitungan!AA$4+Perhitungan!AA$3*Return!$B204</f>
        <v>4.551547384506428E-4</v>
      </c>
      <c r="AC204">
        <f>Perhitungan!AB$4+Perhitungan!AB$3*Return!$B204</f>
        <v>2.2263972967616098E-3</v>
      </c>
      <c r="AD204">
        <f>Perhitungan!AC$4+Perhitungan!AC$3*Return!$B204</f>
        <v>7.9635661535726505E-4</v>
      </c>
      <c r="AE204">
        <f>Perhitungan!AD$4+Perhitungan!AD$3*Return!$B204</f>
        <v>9.30399676065803E-4</v>
      </c>
      <c r="AF204">
        <f>Perhitungan!AE$4+Perhitungan!AE$3*Return!$B204</f>
        <v>16.644387514687264</v>
      </c>
    </row>
    <row r="205" spans="1:32" x14ac:dyDescent="0.3">
      <c r="A205" s="2">
        <v>46357</v>
      </c>
      <c r="C205">
        <f>Perhitungan!B$4+Perhitungan!B$3*Return!$B205</f>
        <v>-6.6401755870778619E-3</v>
      </c>
      <c r="D205">
        <f>Perhitungan!C$4+Perhitungan!C$3*Return!$B205</f>
        <v>-4.5421373540348595E-3</v>
      </c>
      <c r="E205">
        <f>Perhitungan!D$4+Perhitungan!D$3*Return!$B205</f>
        <v>-5.6209314450137628E-3</v>
      </c>
      <c r="F205">
        <f>Perhitungan!E$4+Perhitungan!E$3*Return!$B205</f>
        <v>-5.041336073025553E-3</v>
      </c>
      <c r="G205">
        <f>Perhitungan!F$4+Perhitungan!F$3*Return!$B205</f>
        <v>-3.6270242764899802E-3</v>
      </c>
      <c r="H205">
        <f>Perhitungan!G$4+Perhitungan!G$3*Return!$B205</f>
        <v>-3.464317872152946E-3</v>
      </c>
      <c r="I205">
        <f>Perhitungan!H$4+Perhitungan!H$3*Return!$B205</f>
        <v>-4.3326824132703928E-3</v>
      </c>
      <c r="J205">
        <f>Perhitungan!I$4+Perhitungan!I$3*Return!$B205</f>
        <v>-1.7322786725043936E-3</v>
      </c>
      <c r="K205">
        <f>Perhitungan!J$4+Perhitungan!J$3*Return!$B205</f>
        <v>-4.1597125282955786E-3</v>
      </c>
      <c r="L205">
        <f>Perhitungan!K$4+Perhitungan!K$3*Return!$B205</f>
        <v>-2.5995233178588428E-3</v>
      </c>
      <c r="M205">
        <f>Perhitungan!L$4+Perhitungan!L$3*Return!$B205</f>
        <v>-5.3359887891708292E-4</v>
      </c>
      <c r="N205">
        <f>Perhitungan!M$4+Perhitungan!M$3*Return!$B205</f>
        <v>-1.0406146545902105E-2</v>
      </c>
      <c r="O205">
        <f>Perhitungan!N$4+Perhitungan!N$3*Return!$B205</f>
        <v>-3.3145749703310675E-3</v>
      </c>
      <c r="P205">
        <f>Perhitungan!O$4+Perhitungan!O$3*Return!$B205</f>
        <v>-7.0010778093606181E-3</v>
      </c>
      <c r="Q205">
        <f>Perhitungan!P$4+Perhitungan!P$3*Return!$B205</f>
        <v>-4.1854398991646585E-3</v>
      </c>
      <c r="R205">
        <f>Perhitungan!Q$4+Perhitungan!Q$3*Return!$B205</f>
        <v>-4.249502363466608E-3</v>
      </c>
      <c r="S205">
        <f>Perhitungan!R$4+Perhitungan!R$3*Return!$B205</f>
        <v>-3.2621162394499813E-3</v>
      </c>
      <c r="T205">
        <f>Perhitungan!S$4+Perhitungan!S$3*Return!$B205</f>
        <v>-2.209827636279655E-3</v>
      </c>
      <c r="U205">
        <f>Perhitungan!T$4+Perhitungan!T$3*Return!$B205</f>
        <v>-6.1362741308938953E-3</v>
      </c>
      <c r="V205">
        <f>Perhitungan!U$4+Perhitungan!U$3*Return!$B205</f>
        <v>-5.3749674132262341E-3</v>
      </c>
      <c r="W205">
        <f>Perhitungan!V$4+Perhitungan!V$3*Return!$B205</f>
        <v>-8.8074392724579384E-3</v>
      </c>
      <c r="X205">
        <f>Perhitungan!W$4+Perhitungan!W$3*Return!$B205</f>
        <v>-1.0683822862352522E-2</v>
      </c>
      <c r="Y205">
        <f>Perhitungan!X$4+Perhitungan!X$3*Return!$B205</f>
        <v>-6.2329969812468557E-3</v>
      </c>
      <c r="Z205">
        <f>Perhitungan!Y$4+Perhitungan!Y$3*Return!$B205</f>
        <v>-5.5572424340938897E-3</v>
      </c>
      <c r="AA205">
        <f>Perhitungan!Z$4+Perhitungan!Z$3*Return!$B205</f>
        <v>-4.3831371517724475E-3</v>
      </c>
      <c r="AB205">
        <f>Perhitungan!AA$4+Perhitungan!AA$3*Return!$B205</f>
        <v>-7.0061037201159734E-3</v>
      </c>
      <c r="AC205">
        <f>Perhitungan!AB$4+Perhitungan!AB$3*Return!$B205</f>
        <v>-3.884445613599052E-3</v>
      </c>
      <c r="AD205">
        <f>Perhitungan!AC$4+Perhitungan!AC$3*Return!$B205</f>
        <v>-6.0028064117516444E-3</v>
      </c>
      <c r="AE205">
        <f>Perhitungan!AD$4+Perhitungan!AD$3*Return!$B205</f>
        <v>-4.4758416083037992E-3</v>
      </c>
      <c r="AF205">
        <f>Perhitungan!AE$4+Perhitungan!AE$3*Return!$B205</f>
        <v>16.843613212828128</v>
      </c>
    </row>
    <row r="206" spans="1:32" x14ac:dyDescent="0.3">
      <c r="A206" s="3" t="s">
        <v>121</v>
      </c>
      <c r="C206">
        <f>Perhitungan!B$4+Perhitungan!B$3*Return!$B206</f>
        <v>4.5078635888081368E-3</v>
      </c>
      <c r="D206">
        <f>Perhitungan!C$4+Perhitungan!C$3*Return!$B206</f>
        <v>8.2203448271480697E-3</v>
      </c>
      <c r="E206">
        <f>Perhitungan!D$4+Perhitungan!D$3*Return!$B206</f>
        <v>7.0802118928374996E-3</v>
      </c>
      <c r="F206">
        <f>Perhitungan!E$4+Perhitungan!E$3*Return!$B206</f>
        <v>5.9513721192227479E-3</v>
      </c>
      <c r="G206">
        <f>Perhitungan!F$4+Perhitungan!F$3*Return!$B206</f>
        <v>8.0643969397923964E-3</v>
      </c>
      <c r="H206">
        <f>Perhitungan!G$4+Perhitungan!G$3*Return!$B206</f>
        <v>5.2671325346277144E-3</v>
      </c>
      <c r="I206">
        <f>Perhitungan!H$4+Perhitungan!H$3*Return!$B206</f>
        <v>1.1676692721449295E-3</v>
      </c>
      <c r="J206">
        <f>Perhitungan!I$4+Perhitungan!I$3*Return!$B206</f>
        <v>1.9958603241017449E-3</v>
      </c>
      <c r="K206">
        <f>Perhitungan!J$4+Perhitungan!J$3*Return!$B206</f>
        <v>8.0573996661334087E-3</v>
      </c>
      <c r="L206">
        <f>Perhitungan!K$4+Perhitungan!K$3*Return!$B206</f>
        <v>2.1151158324572246E-3</v>
      </c>
      <c r="M206">
        <f>Perhitungan!L$4+Perhitungan!L$3*Return!$B206</f>
        <v>1.205849205300865E-2</v>
      </c>
      <c r="N206">
        <f>Perhitungan!M$4+Perhitungan!M$3*Return!$B206</f>
        <v>7.8535599771527593E-3</v>
      </c>
      <c r="O206">
        <f>Perhitungan!N$4+Perhitungan!N$3*Return!$B206</f>
        <v>3.3457442853446167E-3</v>
      </c>
      <c r="P206">
        <f>Perhitungan!O$4+Perhitungan!O$3*Return!$B206</f>
        <v>4.4135188886405977E-3</v>
      </c>
      <c r="Q206">
        <f>Perhitungan!P$4+Perhitungan!P$3*Return!$B206</f>
        <v>9.6162850390990387E-3</v>
      </c>
      <c r="R206">
        <f>Perhitungan!Q$4+Perhitungan!Q$3*Return!$B206</f>
        <v>3.3493760952311587E-3</v>
      </c>
      <c r="S206">
        <f>Perhitungan!R$4+Perhitungan!R$3*Return!$B206</f>
        <v>3.7982362492692979E-3</v>
      </c>
      <c r="T206">
        <f>Perhitungan!S$4+Perhitungan!S$3*Return!$B206</f>
        <v>5.2073851075246473E-3</v>
      </c>
      <c r="U206">
        <f>Perhitungan!T$4+Perhitungan!T$3*Return!$B206</f>
        <v>8.0838642191805032E-3</v>
      </c>
      <c r="V206">
        <f>Perhitungan!U$4+Perhitungan!U$3*Return!$B206</f>
        <v>6.5381760663757119E-3</v>
      </c>
      <c r="W206">
        <f>Perhitungan!V$4+Perhitungan!V$3*Return!$B206</f>
        <v>1.5821076552805385E-2</v>
      </c>
      <c r="X206">
        <f>Perhitungan!W$4+Perhitungan!W$3*Return!$B206</f>
        <v>3.096624218680768E-3</v>
      </c>
      <c r="Y206">
        <f>Perhitungan!X$4+Perhitungan!X$3*Return!$B206</f>
        <v>4.0990864598723555E-3</v>
      </c>
      <c r="Z206">
        <f>Perhitungan!Y$4+Perhitungan!Y$3*Return!$B206</f>
        <v>4.5189092865862406E-3</v>
      </c>
      <c r="AA206">
        <f>Perhitungan!Z$4+Perhitungan!Z$3*Return!$B206</f>
        <v>1.0705487659132124E-2</v>
      </c>
      <c r="AB206">
        <f>Perhitungan!AA$4+Perhitungan!AA$3*Return!$B206</f>
        <v>6.6596575004414706E-3</v>
      </c>
      <c r="AC206">
        <f>Perhitungan!AB$4+Perhitungan!AB$3*Return!$B206</f>
        <v>7.3079451249156028E-3</v>
      </c>
      <c r="AD206">
        <f>Perhitungan!AC$4+Perhitungan!AC$3*Return!$B206</f>
        <v>6.4502856429046376E-3</v>
      </c>
      <c r="AE206">
        <f>Perhitungan!AD$4+Perhitungan!AD$3*Return!$B206</f>
        <v>5.4260272122420537E-3</v>
      </c>
      <c r="AF206">
        <f>Perhitungan!AE$4+Perhitungan!AE$3*Return!$B206</f>
        <v>16.478718894408427</v>
      </c>
    </row>
    <row r="207" spans="1:32" x14ac:dyDescent="0.3">
      <c r="A207" s="4" t="s">
        <v>122</v>
      </c>
      <c r="C207">
        <f>Perhitungan!B$4+Perhitungan!B$3*Return!$B207</f>
        <v>6.4512708447233991E-3</v>
      </c>
      <c r="D207">
        <f>Perhitungan!C$4+Perhitungan!C$3*Return!$B207</f>
        <v>1.0445193527720466E-2</v>
      </c>
      <c r="E207">
        <f>Perhitungan!D$4+Perhitungan!D$3*Return!$B207</f>
        <v>9.2943675601939672E-3</v>
      </c>
      <c r="F207">
        <f>Perhitungan!E$4+Perhitungan!E$3*Return!$B207</f>
        <v>7.8677009485279819E-3</v>
      </c>
      <c r="G207">
        <f>Perhitungan!F$4+Perhitungan!F$3*Return!$B207</f>
        <v>1.010253050437767E-2</v>
      </c>
      <c r="H207">
        <f>Perhitungan!G$4+Perhitungan!G$3*Return!$B207</f>
        <v>6.7892624632618402E-3</v>
      </c>
      <c r="I207">
        <f>Perhitungan!H$4+Perhitungan!H$3*Return!$B207</f>
        <v>2.126530575632619E-3</v>
      </c>
      <c r="J207">
        <f>Perhitungan!I$4+Perhitungan!I$3*Return!$B207</f>
        <v>2.6457766244262987E-3</v>
      </c>
      <c r="K207">
        <f>Perhitungan!J$4+Perhitungan!J$3*Return!$B207</f>
        <v>1.0187175504770713E-2</v>
      </c>
      <c r="L207">
        <f>Perhitungan!K$4+Perhitungan!K$3*Return!$B207</f>
        <v>2.937006013249329E-3</v>
      </c>
      <c r="M207">
        <f>Perhitungan!L$4+Perhitungan!L$3*Return!$B207</f>
        <v>1.4253636911952361E-2</v>
      </c>
      <c r="N207">
        <f>Perhitungan!M$4+Perhitungan!M$3*Return!$B207</f>
        <v>1.1036724799944815E-2</v>
      </c>
      <c r="O207">
        <f>Perhitungan!N$4+Perhitungan!N$3*Return!$B207</f>
        <v>4.5068195707805014E-3</v>
      </c>
      <c r="P207">
        <f>Perhitungan!O$4+Perhitungan!O$3*Return!$B207</f>
        <v>6.4033943901750561E-3</v>
      </c>
      <c r="Q207">
        <f>Perhitungan!P$4+Perhitungan!P$3*Return!$B207</f>
        <v>1.2022302094294448E-2</v>
      </c>
      <c r="R207">
        <f>Perhitungan!Q$4+Perhitungan!Q$3*Return!$B207</f>
        <v>4.6740678459916904E-3</v>
      </c>
      <c r="S207">
        <f>Perhitungan!R$4+Perhitungan!R$3*Return!$B207</f>
        <v>5.0290482368676396E-3</v>
      </c>
      <c r="T207">
        <f>Perhitungan!S$4+Perhitungan!S$3*Return!$B207</f>
        <v>6.5004075698206513E-3</v>
      </c>
      <c r="U207">
        <f>Perhitungan!T$4+Perhitungan!T$3*Return!$B207</f>
        <v>1.0562822142958799E-2</v>
      </c>
      <c r="V207">
        <f>Perhitungan!U$4+Perhitungan!U$3*Return!$B207</f>
        <v>8.614961868232027E-3</v>
      </c>
      <c r="W207">
        <f>Perhitungan!V$4+Perhitungan!V$3*Return!$B207</f>
        <v>2.0114498526130717E-2</v>
      </c>
      <c r="X207">
        <f>Perhitungan!W$4+Perhitungan!W$3*Return!$B207</f>
        <v>5.4989319630745657E-3</v>
      </c>
      <c r="Y207">
        <f>Perhitungan!X$4+Perhitungan!X$3*Return!$B207</f>
        <v>5.9002503786022321E-3</v>
      </c>
      <c r="Z207">
        <f>Perhitungan!Y$4+Perhitungan!Y$3*Return!$B207</f>
        <v>6.2754573267142493E-3</v>
      </c>
      <c r="AA207">
        <f>Perhitungan!Z$4+Perhitungan!Z$3*Return!$B207</f>
        <v>1.3335846458258294E-2</v>
      </c>
      <c r="AB207">
        <f>Perhitungan!AA$4+Perhitungan!AA$3*Return!$B207</f>
        <v>9.0419723716597105E-3</v>
      </c>
      <c r="AC207">
        <f>Perhitungan!AB$4+Perhitungan!AB$3*Return!$B207</f>
        <v>9.2590840677458288E-3</v>
      </c>
      <c r="AD207">
        <f>Perhitungan!AC$4+Perhitungan!AC$3*Return!$B207</f>
        <v>8.6211992067849238E-3</v>
      </c>
      <c r="AE207">
        <f>Perhitungan!AD$4+Perhitungan!AD$3*Return!$B207</f>
        <v>7.1521929898610151E-3</v>
      </c>
      <c r="AF207">
        <f>Perhitungan!AE$4+Perhitungan!AE$3*Return!$B207</f>
        <v>16.41510786336783</v>
      </c>
    </row>
    <row r="208" spans="1:32" x14ac:dyDescent="0.3">
      <c r="A208" s="3" t="s">
        <v>123</v>
      </c>
      <c r="C208">
        <f>Perhitungan!B$4+Perhitungan!B$3*Return!$B208</f>
        <v>2.4339421162967059E-3</v>
      </c>
      <c r="D208">
        <f>Perhitungan!C$4+Perhitungan!C$3*Return!$B208</f>
        <v>5.8460810287795815E-3</v>
      </c>
      <c r="E208">
        <f>Perhitungan!D$4+Perhitungan!D$3*Return!$B208</f>
        <v>4.7173592442037301E-3</v>
      </c>
      <c r="F208">
        <f>Perhitungan!E$4+Perhitungan!E$3*Return!$B208</f>
        <v>3.9063475905800971E-3</v>
      </c>
      <c r="G208">
        <f>Perhitungan!F$4+Perhitungan!F$3*Return!$B208</f>
        <v>5.8893875841496638E-3</v>
      </c>
      <c r="H208">
        <f>Perhitungan!G$4+Perhitungan!G$3*Return!$B208</f>
        <v>3.6427802876459565E-3</v>
      </c>
      <c r="I208">
        <f>Perhitungan!H$4+Perhitungan!H$3*Return!$B208</f>
        <v>1.4441331773259883E-4</v>
      </c>
      <c r="J208">
        <f>Perhitungan!I$4+Perhitungan!I$3*Return!$B208</f>
        <v>1.3022973220723592E-3</v>
      </c>
      <c r="K208">
        <f>Perhitungan!J$4+Perhitungan!J$3*Return!$B208</f>
        <v>5.7845935777843492E-3</v>
      </c>
      <c r="L208">
        <f>Perhitungan!K$4+Perhitungan!K$3*Return!$B208</f>
        <v>1.2380296279044453E-3</v>
      </c>
      <c r="M208">
        <f>Perhitungan!L$4+Perhitungan!L$3*Return!$B208</f>
        <v>9.7159269296257077E-3</v>
      </c>
      <c r="N208">
        <f>Perhitungan!M$4+Perhitungan!M$3*Return!$B208</f>
        <v>4.4566220186071613E-3</v>
      </c>
      <c r="O208">
        <f>Perhitungan!N$4+Perhitungan!N$3*Return!$B208</f>
        <v>2.1066941797434802E-3</v>
      </c>
      <c r="P208">
        <f>Perhitungan!O$4+Perhitungan!O$3*Return!$B208</f>
        <v>2.2900084830394822E-3</v>
      </c>
      <c r="Q208">
        <f>Perhitungan!P$4+Perhitungan!P$3*Return!$B208</f>
        <v>7.0486860868925662E-3</v>
      </c>
      <c r="R208">
        <f>Perhitungan!Q$4+Perhitungan!Q$3*Return!$B208</f>
        <v>1.9357214646853007E-3</v>
      </c>
      <c r="S208">
        <f>Perhitungan!R$4+Perhitungan!R$3*Return!$B208</f>
        <v>2.4847661045350154E-3</v>
      </c>
      <c r="T208">
        <f>Perhitungan!S$4+Perhitungan!S$3*Return!$B208</f>
        <v>3.827526593138092E-3</v>
      </c>
      <c r="U208">
        <f>Perhitungan!T$4+Perhitungan!T$3*Return!$B208</f>
        <v>5.4384258778715968E-3</v>
      </c>
      <c r="V208">
        <f>Perhitungan!U$4+Perhitungan!U$3*Return!$B208</f>
        <v>4.3219186889439168E-3</v>
      </c>
      <c r="W208">
        <f>Perhitungan!V$4+Perhitungan!V$3*Return!$B208</f>
        <v>1.1239319438371691E-2</v>
      </c>
      <c r="X208">
        <f>Perhitungan!W$4+Perhitungan!W$3*Return!$B208</f>
        <v>5.3298368501794677E-4</v>
      </c>
      <c r="Y208">
        <f>Perhitungan!X$4+Perhitungan!X$3*Return!$B208</f>
        <v>2.1769610200311445E-3</v>
      </c>
      <c r="Z208">
        <f>Perhitungan!Y$4+Perhitungan!Y$3*Return!$B208</f>
        <v>2.6443960126282923E-3</v>
      </c>
      <c r="AA208">
        <f>Perhitungan!Z$4+Perhitungan!Z$3*Return!$B208</f>
        <v>7.8984807503573607E-3</v>
      </c>
      <c r="AB208">
        <f>Perhitungan!AA$4+Perhitungan!AA$3*Return!$B208</f>
        <v>4.1173525097276545E-3</v>
      </c>
      <c r="AC208">
        <f>Perhitungan!AB$4+Perhitungan!AB$3*Return!$B208</f>
        <v>5.2257727253466162E-3</v>
      </c>
      <c r="AD208">
        <f>Perhitungan!AC$4+Perhitungan!AC$3*Return!$B208</f>
        <v>4.1335791258358574E-3</v>
      </c>
      <c r="AE208">
        <f>Perhitungan!AD$4+Perhitungan!AD$3*Return!$B208</f>
        <v>3.5839365951457602E-3</v>
      </c>
      <c r="AF208">
        <f>Perhitungan!AE$4+Perhitungan!AE$3*Return!$B208</f>
        <v>16.546601878153673</v>
      </c>
    </row>
    <row r="209" spans="1:32" x14ac:dyDescent="0.3">
      <c r="A209" s="4" t="s">
        <v>124</v>
      </c>
      <c r="C209">
        <f>Perhitungan!B$4+Perhitungan!B$3*Return!$B209</f>
        <v>3.8940972670071885E-3</v>
      </c>
      <c r="D209">
        <f>Perhitungan!C$4+Perhitungan!C$3*Return!$B209</f>
        <v>7.5176937490698259E-3</v>
      </c>
      <c r="E209">
        <f>Perhitungan!D$4+Perhitungan!D$3*Return!$B209</f>
        <v>6.3809378854405852E-3</v>
      </c>
      <c r="F209">
        <f>Perhitungan!E$4+Perhitungan!E$3*Return!$B209</f>
        <v>5.3461576983422103E-3</v>
      </c>
      <c r="G209">
        <f>Perhitungan!F$4+Perhitungan!F$3*Return!$B209</f>
        <v>7.4207141823739459E-3</v>
      </c>
      <c r="H209">
        <f>Perhitungan!G$4+Perhitungan!G$3*Return!$B209</f>
        <v>4.7864138974211623E-3</v>
      </c>
      <c r="I209">
        <f>Perhitungan!H$4+Perhitungan!H$3*Return!$B209</f>
        <v>8.6484197047277623E-4</v>
      </c>
      <c r="J209">
        <f>Perhitungan!I$4+Perhitungan!I$3*Return!$B209</f>
        <v>1.7906039446606698E-3</v>
      </c>
      <c r="K209">
        <f>Perhitungan!J$4+Perhitungan!J$3*Return!$B209</f>
        <v>7.3847744720253825E-3</v>
      </c>
      <c r="L209">
        <f>Perhitungan!K$4+Perhitungan!K$3*Return!$B209</f>
        <v>1.8555467114437739E-3</v>
      </c>
      <c r="M209">
        <f>Perhitungan!L$4+Perhitungan!L$3*Return!$B209</f>
        <v>1.1365222033668508E-2</v>
      </c>
      <c r="N209">
        <f>Perhitungan!M$4+Perhitungan!M$3*Return!$B209</f>
        <v>6.8482537763939633E-3</v>
      </c>
      <c r="O209">
        <f>Perhitungan!N$4+Perhitungan!N$3*Return!$B209</f>
        <v>2.9790538219294478E-3</v>
      </c>
      <c r="P209">
        <f>Perhitungan!O$4+Perhitungan!O$3*Return!$B209</f>
        <v>3.7850769788446842E-3</v>
      </c>
      <c r="Q209">
        <f>Perhitungan!P$4+Perhitungan!P$3*Return!$B209</f>
        <v>8.8564174232594762E-3</v>
      </c>
      <c r="R209">
        <f>Perhitungan!Q$4+Perhitungan!Q$3*Return!$B209</f>
        <v>2.9310123266954491E-3</v>
      </c>
      <c r="S209">
        <f>Perhitungan!R$4+Perhitungan!R$3*Return!$B209</f>
        <v>3.4095215605917705E-3</v>
      </c>
      <c r="T209">
        <f>Perhitungan!S$4+Perhitungan!S$3*Return!$B209</f>
        <v>4.7990231245826484E-3</v>
      </c>
      <c r="U209">
        <f>Perhitungan!T$4+Perhitungan!T$3*Return!$B209</f>
        <v>7.3009604391592858E-3</v>
      </c>
      <c r="V209">
        <f>Perhitungan!U$4+Perhitungan!U$3*Return!$B209</f>
        <v>5.8822861704755994E-3</v>
      </c>
      <c r="W209">
        <f>Perhitungan!V$4+Perhitungan!V$3*Return!$B209</f>
        <v>1.4465129257411443E-2</v>
      </c>
      <c r="X209">
        <f>Perhitungan!W$4+Perhitungan!W$3*Return!$B209</f>
        <v>2.3379280763139894E-3</v>
      </c>
      <c r="Y209">
        <f>Perhitungan!X$4+Perhitungan!X$3*Return!$B209</f>
        <v>3.5302433879971415E-3</v>
      </c>
      <c r="Z209">
        <f>Perhitungan!Y$4+Perhitungan!Y$3*Return!$B209</f>
        <v>3.9641567886862118E-3</v>
      </c>
      <c r="AA209">
        <f>Perhitungan!Z$4+Perhitungan!Z$3*Return!$B209</f>
        <v>9.87476849811093E-3</v>
      </c>
      <c r="AB209">
        <f>Perhitungan!AA$4+Perhitungan!AA$3*Return!$B209</f>
        <v>5.9072755015429981E-3</v>
      </c>
      <c r="AC209">
        <f>Perhitungan!AB$4+Perhitungan!AB$3*Return!$B209</f>
        <v>6.6917369839721817E-3</v>
      </c>
      <c r="AD209">
        <f>Perhitungan!AC$4+Perhitungan!AC$3*Return!$B209</f>
        <v>5.7646683442169923E-3</v>
      </c>
      <c r="AE209">
        <f>Perhitungan!AD$4+Perhitungan!AD$3*Return!$B209</f>
        <v>4.8808700317678538E-3</v>
      </c>
      <c r="AF209">
        <f>Perhitungan!AE$4+Perhitungan!AE$3*Return!$B209</f>
        <v>16.498808511975163</v>
      </c>
    </row>
    <row r="210" spans="1:32" x14ac:dyDescent="0.3">
      <c r="A210" s="3" t="s">
        <v>125</v>
      </c>
      <c r="C210">
        <f>Perhitungan!B$4+Perhitungan!B$3*Return!$B210</f>
        <v>-1.5610773191557102E-3</v>
      </c>
      <c r="D210">
        <f>Perhitungan!C$4+Perhitungan!C$3*Return!$B210</f>
        <v>1.2725086225461983E-3</v>
      </c>
      <c r="E210">
        <f>Perhitungan!D$4+Perhitungan!D$3*Return!$B210</f>
        <v>1.657682705247145E-4</v>
      </c>
      <c r="F210">
        <f>Perhitungan!E$4+Perhitungan!E$3*Return!$B210</f>
        <v>-3.3007320486466742E-5</v>
      </c>
      <c r="G210">
        <f>Perhitungan!F$4+Perhitungan!F$3*Return!$B210</f>
        <v>1.699641365088974E-3</v>
      </c>
      <c r="H210">
        <f>Perhitungan!G$4+Perhitungan!G$3*Return!$B210</f>
        <v>5.1377136289885203E-4</v>
      </c>
      <c r="I210">
        <f>Perhitungan!H$4+Perhitungan!H$3*Return!$B210</f>
        <v>-1.8266967168095308E-3</v>
      </c>
      <c r="J210">
        <f>Perhitungan!I$4+Perhitungan!I$3*Return!$B210</f>
        <v>-3.3721283040398923E-5</v>
      </c>
      <c r="K210">
        <f>Perhitungan!J$4+Perhitungan!J$3*Return!$B210</f>
        <v>1.4064603570632704E-3</v>
      </c>
      <c r="L210">
        <f>Perhitungan!K$4+Perhitungan!K$3*Return!$B210</f>
        <v>-4.5151189051784011E-4</v>
      </c>
      <c r="M210">
        <f>Perhitungan!L$4+Perhitungan!L$3*Return!$B210</f>
        <v>5.2034160555302772E-3</v>
      </c>
      <c r="N210">
        <f>Perhitungan!M$4+Perhitungan!M$3*Return!$B210</f>
        <v>-2.0869397050592656E-3</v>
      </c>
      <c r="O210">
        <f>Perhitungan!N$4+Perhitungan!N$3*Return!$B210</f>
        <v>-2.8010267779695193E-4</v>
      </c>
      <c r="P210">
        <f>Perhitungan!O$4+Perhitungan!O$3*Return!$B210</f>
        <v>-1.8005347001065909E-3</v>
      </c>
      <c r="Q210">
        <f>Perhitungan!P$4+Perhitungan!P$3*Return!$B210</f>
        <v>2.1026898896061839E-3</v>
      </c>
      <c r="R210">
        <f>Perhitungan!Q$4+Perhitungan!Q$3*Return!$B210</f>
        <v>-7.8741815217252915E-4</v>
      </c>
      <c r="S210">
        <f>Perhitungan!R$4+Perhitungan!R$3*Return!$B210</f>
        <v>-4.5386953644980287E-5</v>
      </c>
      <c r="T210">
        <f>Perhitungan!S$4+Perhitungan!S$3*Return!$B210</f>
        <v>1.1694888341320547E-3</v>
      </c>
      <c r="U210">
        <f>Perhitungan!T$4+Perhitungan!T$3*Return!$B210</f>
        <v>3.4248674570089467E-4</v>
      </c>
      <c r="V210">
        <f>Perhitungan!U$4+Perhitungan!U$3*Return!$B210</f>
        <v>5.2715918174096337E-5</v>
      </c>
      <c r="W210">
        <f>Perhitungan!V$4+Perhitungan!V$3*Return!$B210</f>
        <v>2.4134265763245278E-3</v>
      </c>
      <c r="X210">
        <f>Perhitungan!W$4+Perhitungan!W$3*Return!$B210</f>
        <v>-4.4053873638599033E-3</v>
      </c>
      <c r="Y210">
        <f>Perhitungan!X$4+Perhitungan!X$3*Return!$B210</f>
        <v>-1.5256519242498683E-3</v>
      </c>
      <c r="Z210">
        <f>Perhitungan!Y$4+Perhitungan!Y$3*Return!$B210</f>
        <v>-9.6650105398388825E-4</v>
      </c>
      <c r="AA210">
        <f>Perhitungan!Z$4+Perhitungan!Z$3*Return!$B210</f>
        <v>2.49131017777794E-3</v>
      </c>
      <c r="AB210">
        <f>Perhitungan!AA$4+Perhitungan!AA$3*Return!$B210</f>
        <v>-7.7991963069249629E-4</v>
      </c>
      <c r="AC210">
        <f>Perhitungan!AB$4+Perhitungan!AB$3*Return!$B210</f>
        <v>1.2148594316202326E-3</v>
      </c>
      <c r="AD210">
        <f>Perhitungan!AC$4+Perhitungan!AC$3*Return!$B210</f>
        <v>-3.2912000940251215E-4</v>
      </c>
      <c r="AE210">
        <f>Perhitungan!AD$4+Perhitungan!AD$3*Return!$B210</f>
        <v>3.5495675513177382E-5</v>
      </c>
      <c r="AF210">
        <f>Perhitungan!AE$4+Perhitungan!AE$3*Return!$B210</f>
        <v>16.677365671765568</v>
      </c>
    </row>
    <row r="211" spans="1:32" x14ac:dyDescent="0.3">
      <c r="A211" s="4" t="s">
        <v>126</v>
      </c>
      <c r="C211">
        <f>Perhitungan!B$4+Perhitungan!B$3*Return!$B211</f>
        <v>-1.333433255667376E-2</v>
      </c>
      <c r="D211">
        <f>Perhitungan!C$4+Perhitungan!C$3*Return!$B211</f>
        <v>-1.220573251140649E-2</v>
      </c>
      <c r="E211">
        <f>Perhitungan!D$4+Perhitungan!D$3*Return!$B211</f>
        <v>-1.3247693950551536E-2</v>
      </c>
      <c r="F211">
        <f>Perhitungan!E$4+Perhitungan!E$3*Return!$B211</f>
        <v>-1.1642220138722651E-2</v>
      </c>
      <c r="G211">
        <f>Perhitungan!F$4+Perhitungan!F$3*Return!$B211</f>
        <v>-1.0647470436093463E-2</v>
      </c>
      <c r="H211">
        <f>Perhitungan!G$4+Perhitungan!G$3*Return!$B211</f>
        <v>-8.7073654317329809E-3</v>
      </c>
      <c r="I211">
        <f>Perhitungan!H$4+Perhitungan!H$3*Return!$B211</f>
        <v>-7.6355249122271839E-3</v>
      </c>
      <c r="J211">
        <f>Perhitungan!I$4+Perhitungan!I$3*Return!$B211</f>
        <v>-3.9709456931349332E-3</v>
      </c>
      <c r="K211">
        <f>Perhitungan!J$4+Perhitungan!J$3*Return!$B211</f>
        <v>-1.1495824776768374E-2</v>
      </c>
      <c r="L211">
        <f>Perhitungan!K$4+Perhitungan!K$3*Return!$B211</f>
        <v>-5.4305623938145199E-3</v>
      </c>
      <c r="M211">
        <f>Perhitungan!L$4+Perhitungan!L$3*Return!$B211</f>
        <v>-8.0948777678600502E-3</v>
      </c>
      <c r="N211">
        <f>Perhitungan!M$4+Perhitungan!M$3*Return!$B211</f>
        <v>-2.1370706299915422E-2</v>
      </c>
      <c r="O211">
        <f>Perhitungan!N$4+Perhitungan!N$3*Return!$B211</f>
        <v>-7.3139529651228474E-3</v>
      </c>
      <c r="P211">
        <f>Perhitungan!O$4+Perhitungan!O$3*Return!$B211</f>
        <v>-1.3855296819133551E-2</v>
      </c>
      <c r="Q211">
        <f>Perhitungan!P$4+Perhitungan!P$3*Return!$B211</f>
        <v>-1.2473077907090893E-2</v>
      </c>
      <c r="R211">
        <f>Perhitungan!Q$4+Perhitungan!Q$3*Return!$B211</f>
        <v>-8.812464907178786E-3</v>
      </c>
      <c r="S211">
        <f>Perhitungan!R$4+Perhitungan!R$3*Return!$B211</f>
        <v>-7.5017055586548654E-3</v>
      </c>
      <c r="T211">
        <f>Perhitungan!S$4+Perhitungan!S$3*Return!$B211</f>
        <v>-6.663703838232179E-3</v>
      </c>
      <c r="U211">
        <f>Perhitungan!T$4+Perhitungan!T$3*Return!$B211</f>
        <v>-1.4675160363970218E-2</v>
      </c>
      <c r="V211">
        <f>Perhitungan!U$4+Perhitungan!U$3*Return!$B211</f>
        <v>-1.2528553007567783E-2</v>
      </c>
      <c r="W211">
        <f>Perhitungan!V$4+Perhitungan!V$3*Return!$B211</f>
        <v>-2.3596331584489701E-2</v>
      </c>
      <c r="X211">
        <f>Perhitungan!W$4+Perhitungan!W$3*Return!$B211</f>
        <v>-1.895868397615148E-2</v>
      </c>
      <c r="Y211">
        <f>Perhitungan!X$4+Perhitungan!X$3*Return!$B211</f>
        <v>-1.2437190139037553E-2</v>
      </c>
      <c r="Z211">
        <f>Perhitungan!Y$4+Perhitungan!Y$3*Return!$B211</f>
        <v>-1.1607754116327538E-2</v>
      </c>
      <c r="AA211">
        <f>Perhitungan!Z$4+Perhitungan!Z$3*Return!$B211</f>
        <v>-1.344353076413226E-2</v>
      </c>
      <c r="AB211">
        <f>Perhitungan!AA$4+Perhitungan!AA$3*Return!$B211</f>
        <v>-1.5212098449422928E-2</v>
      </c>
      <c r="AC211">
        <f>Perhitungan!AB$4+Perhitungan!AB$3*Return!$B211</f>
        <v>-1.060523473952297E-2</v>
      </c>
      <c r="AD211">
        <f>Perhitungan!AC$4+Perhitungan!AC$3*Return!$B211</f>
        <v>-1.348061947425116E-2</v>
      </c>
      <c r="AE211">
        <f>Perhitungan!AD$4+Perhitungan!AD$3*Return!$B211</f>
        <v>-1.0421700169732234E-2</v>
      </c>
      <c r="AF211">
        <f>Perhitungan!AE$4+Perhitungan!AE$3*Return!$B211</f>
        <v>17.062724377246962</v>
      </c>
    </row>
    <row r="212" spans="1:32" x14ac:dyDescent="0.3">
      <c r="A212" s="3" t="s">
        <v>127</v>
      </c>
      <c r="C212">
        <f>Perhitungan!B$4+Perhitungan!B$3*Return!$B212</f>
        <v>-3.3694370166112678E-3</v>
      </c>
      <c r="D212">
        <f>Perhitungan!C$4+Perhitungan!C$3*Return!$B212</f>
        <v>-7.9773512631573342E-4</v>
      </c>
      <c r="E212">
        <f>Perhitungan!D$4+Perhitungan!D$3*Return!$B212</f>
        <v>-1.8945255050352337E-3</v>
      </c>
      <c r="F212">
        <f>Perhitungan!E$4+Perhitungan!E$3*Return!$B212</f>
        <v>-1.8161702738200506E-3</v>
      </c>
      <c r="G212">
        <f>Perhitungan!F$4+Perhitungan!F$3*Return!$B212</f>
        <v>-1.9686210067154934E-4</v>
      </c>
      <c r="H212">
        <f>Perhitungan!G$4+Perhitungan!G$3*Return!$B212</f>
        <v>-9.0258560955493281E-4</v>
      </c>
      <c r="I212">
        <f>Perhitungan!H$4+Perhitungan!H$3*Return!$B212</f>
        <v>-2.7189266554387428E-3</v>
      </c>
      <c r="J212">
        <f>Perhitungan!I$4+Perhitungan!I$3*Return!$B212</f>
        <v>-6.3847483670192279E-4</v>
      </c>
      <c r="K212">
        <f>Perhitungan!J$4+Perhitungan!J$3*Return!$B212</f>
        <v>-5.7531715224857258E-4</v>
      </c>
      <c r="L212">
        <f>Perhitungan!K$4+Perhitungan!K$3*Return!$B212</f>
        <v>-1.2162888430351513E-3</v>
      </c>
      <c r="M212">
        <f>Perhitungan!L$4+Perhitungan!L$3*Return!$B212</f>
        <v>3.1608120254650218E-3</v>
      </c>
      <c r="N212">
        <f>Perhitungan!M$4+Perhitungan!M$3*Return!$B212</f>
        <v>-5.0489060959815028E-3</v>
      </c>
      <c r="O212">
        <f>Perhitungan!N$4+Perhitungan!N$3*Return!$B212</f>
        <v>-1.360494729181529E-3</v>
      </c>
      <c r="P212">
        <f>Perhitungan!O$4+Perhitungan!O$3*Return!$B212</f>
        <v>-3.6521335602921687E-3</v>
      </c>
      <c r="Q212">
        <f>Perhitungan!P$4+Perhitungan!P$3*Return!$B212</f>
        <v>-1.3613280736731945E-4</v>
      </c>
      <c r="R212">
        <f>Perhitungan!Q$4+Perhitungan!Q$3*Return!$B212</f>
        <v>-2.0200569448578024E-3</v>
      </c>
      <c r="S212">
        <f>Perhitungan!R$4+Perhitungan!R$3*Return!$B212</f>
        <v>-1.190669697003771E-3</v>
      </c>
      <c r="T212">
        <f>Perhitungan!S$4+Perhitungan!S$3*Return!$B212</f>
        <v>-3.3681372011704026E-5</v>
      </c>
      <c r="U212">
        <f>Perhitungan!T$4+Perhitungan!T$3*Return!$B212</f>
        <v>-1.9642081518323287E-3</v>
      </c>
      <c r="V212">
        <f>Perhitungan!U$4+Perhitungan!U$3*Return!$B212</f>
        <v>-1.8797538371454943E-3</v>
      </c>
      <c r="W212">
        <f>Perhitungan!V$4+Perhitungan!V$3*Return!$B212</f>
        <v>-1.5816450881965083E-3</v>
      </c>
      <c r="X212">
        <f>Perhitungan!W$4+Perhitungan!W$3*Return!$B212</f>
        <v>-6.6407585103986973E-3</v>
      </c>
      <c r="Y212">
        <f>Perhitungan!X$4+Perhitungan!X$3*Return!$B212</f>
        <v>-3.2016527877993077E-3</v>
      </c>
      <c r="Z212">
        <f>Perhitungan!Y$4+Perhitungan!Y$3*Return!$B212</f>
        <v>-2.6009864006571754E-3</v>
      </c>
      <c r="AA212">
        <f>Perhitungan!Z$4+Perhitungan!Z$3*Return!$B212</f>
        <v>4.3735266390057623E-5</v>
      </c>
      <c r="AB212">
        <f>Perhitungan!AA$4+Perhitungan!AA$3*Return!$B212</f>
        <v>-2.9966872107492909E-3</v>
      </c>
      <c r="AC212">
        <f>Perhitungan!AB$4+Perhitungan!AB$3*Return!$B212</f>
        <v>-6.0069467707764691E-4</v>
      </c>
      <c r="AD212">
        <f>Perhitungan!AC$4+Perhitungan!AC$3*Return!$B212</f>
        <v>-2.3491765794454388E-3</v>
      </c>
      <c r="AE212">
        <f>Perhitungan!AD$4+Perhitungan!AD$3*Return!$B212</f>
        <v>-1.5707186750157634E-3</v>
      </c>
      <c r="AF212">
        <f>Perhitungan!AE$4+Perhitungan!AE$3*Return!$B212</f>
        <v>16.736556366097538</v>
      </c>
    </row>
    <row r="213" spans="1:32" x14ac:dyDescent="0.3">
      <c r="A213" s="4" t="s">
        <v>128</v>
      </c>
      <c r="C213">
        <f>Perhitungan!B$4+Perhitungan!B$3*Return!$B213</f>
        <v>-5.5719363615960096E-3</v>
      </c>
      <c r="D213">
        <f>Perhitungan!C$4+Perhitungan!C$3*Return!$B213</f>
        <v>-3.3191972597855701E-3</v>
      </c>
      <c r="E213">
        <f>Perhitungan!D$4+Perhitungan!D$3*Return!$B213</f>
        <v>-4.4038690264219388E-3</v>
      </c>
      <c r="F213">
        <f>Perhitungan!E$4+Perhitungan!E$3*Return!$B213</f>
        <v>-3.9879811376898446E-3</v>
      </c>
      <c r="G213">
        <f>Perhitungan!F$4+Perhitungan!F$3*Return!$B213</f>
        <v>-2.5067165212141747E-3</v>
      </c>
      <c r="H213">
        <f>Perhitungan!G$4+Perhitungan!G$3*Return!$B213</f>
        <v>-2.6276435769954495E-3</v>
      </c>
      <c r="I213">
        <f>Perhitungan!H$4+Perhitungan!H$3*Return!$B213</f>
        <v>-3.8056218843645195E-3</v>
      </c>
      <c r="J213">
        <f>Perhitungan!I$4+Perhitungan!I$3*Return!$B213</f>
        <v>-1.3750369861962079E-3</v>
      </c>
      <c r="K213">
        <f>Perhitungan!J$4+Perhitungan!J$3*Return!$B213</f>
        <v>-2.9890314549430985E-3</v>
      </c>
      <c r="L213">
        <f>Perhitungan!K$4+Perhitungan!K$3*Return!$B213</f>
        <v>-2.1477521682512898E-3</v>
      </c>
      <c r="M213">
        <f>Perhitungan!L$4+Perhitungan!L$3*Return!$B213</f>
        <v>6.7301380445181514E-4</v>
      </c>
      <c r="N213">
        <f>Perhitungan!M$4+Perhitungan!M$3*Return!$B213</f>
        <v>-8.6564455943745622E-3</v>
      </c>
      <c r="O213">
        <f>Perhitungan!N$4+Perhitungan!N$3*Return!$B213</f>
        <v>-2.6763627994826991E-3</v>
      </c>
      <c r="P213">
        <f>Perhitungan!O$4+Perhitungan!O$3*Return!$B213</f>
        <v>-5.9072962264759814E-3</v>
      </c>
      <c r="Q213">
        <f>Perhitungan!P$4+Perhitungan!P$3*Return!$B213</f>
        <v>-2.8629163839750359E-3</v>
      </c>
      <c r="R213">
        <f>Perhitungan!Q$4+Perhitungan!Q$3*Return!$B213</f>
        <v>-3.5213545779072793E-3</v>
      </c>
      <c r="S213">
        <f>Perhitungan!R$4+Perhitungan!R$3*Return!$B213</f>
        <v>-2.5855716601581764E-3</v>
      </c>
      <c r="T213">
        <f>Perhitungan!S$4+Perhitungan!S$3*Return!$B213</f>
        <v>-1.4990876153964828E-3</v>
      </c>
      <c r="U213">
        <f>Perhitungan!T$4+Perhitungan!T$3*Return!$B213</f>
        <v>-4.7736569622902538E-3</v>
      </c>
      <c r="V213">
        <f>Perhitungan!U$4+Perhitungan!U$3*Return!$B213</f>
        <v>-4.2334135522359012E-3</v>
      </c>
      <c r="W213">
        <f>Perhitungan!V$4+Perhitungan!V$3*Return!$B213</f>
        <v>-6.4474595258083751E-3</v>
      </c>
      <c r="X213">
        <f>Perhitungan!W$4+Perhitungan!W$3*Return!$B213</f>
        <v>-9.3633382565503805E-3</v>
      </c>
      <c r="Y213">
        <f>Perhitungan!X$4+Perhitungan!X$3*Return!$B213</f>
        <v>-5.2429451309959907E-3</v>
      </c>
      <c r="Z213">
        <f>Perhitungan!Y$4+Perhitungan!Y$3*Return!$B213</f>
        <v>-4.5917147444155364E-3</v>
      </c>
      <c r="AA213">
        <f>Perhitungan!Z$4+Perhitungan!Z$3*Return!$B213</f>
        <v>-2.9372989530287701E-3</v>
      </c>
      <c r="AB213">
        <f>Perhitungan!AA$4+Perhitungan!AA$3*Return!$B213</f>
        <v>-5.6966086643894572E-3</v>
      </c>
      <c r="AC213">
        <f>Perhitungan!AB$4+Perhitungan!AB$3*Return!$B213</f>
        <v>-2.8119564856757167E-3</v>
      </c>
      <c r="AD213">
        <f>Perhitungan!AC$4+Perhitungan!AC$3*Return!$B213</f>
        <v>-4.8095130261224198E-3</v>
      </c>
      <c r="AE213">
        <f>Perhitungan!AD$4+Perhitungan!AD$3*Return!$B213</f>
        <v>-3.5270142394008604E-3</v>
      </c>
      <c r="AF213">
        <f>Perhitungan!AE$4+Perhitungan!AE$3*Return!$B213</f>
        <v>16.808647922704772</v>
      </c>
    </row>
    <row r="214" spans="1:32" x14ac:dyDescent="0.3">
      <c r="A214" s="3" t="s">
        <v>129</v>
      </c>
      <c r="C214">
        <f>Perhitungan!B$4+Perhitungan!B$3*Return!$B214</f>
        <v>6.9474214309940855E-4</v>
      </c>
      <c r="D214">
        <f>Perhitungan!C$4+Perhitungan!C$3*Return!$B214</f>
        <v>3.8550126160082159E-3</v>
      </c>
      <c r="E214">
        <f>Perhitungan!D$4+Perhitungan!D$3*Return!$B214</f>
        <v>2.7358602734656456E-3</v>
      </c>
      <c r="F214">
        <f>Perhitungan!E$4+Perhitungan!E$3*Return!$B214</f>
        <v>2.1913807258530094E-3</v>
      </c>
      <c r="G214">
        <f>Perhitungan!F$4+Perhitungan!F$3*Return!$B214</f>
        <v>4.0654148526956969E-3</v>
      </c>
      <c r="H214">
        <f>Perhitungan!G$4+Perhitungan!G$3*Return!$B214</f>
        <v>2.2805911103515051E-3</v>
      </c>
      <c r="I214">
        <f>Perhitungan!H$4+Perhitungan!H$3*Return!$B214</f>
        <v>-7.1369377652146806E-4</v>
      </c>
      <c r="J214">
        <f>Perhitungan!I$4+Perhitungan!I$3*Return!$B214</f>
        <v>7.2067223620089012E-4</v>
      </c>
      <c r="K214">
        <f>Perhitungan!J$4+Perhitungan!J$3*Return!$B214</f>
        <v>3.8786080617789686E-3</v>
      </c>
      <c r="L214">
        <f>Perhitungan!K$4+Perhitungan!K$3*Return!$B214</f>
        <v>5.0250115025062014E-4</v>
      </c>
      <c r="M214">
        <f>Perhitungan!L$4+Perhitungan!L$3*Return!$B214</f>
        <v>7.7514411697734474E-3</v>
      </c>
      <c r="N214">
        <f>Perhitungan!M$4+Perhitungan!M$3*Return!$B214</f>
        <v>1.6079344068717456E-3</v>
      </c>
      <c r="O214">
        <f>Perhitungan!N$4+Perhitungan!N$3*Return!$B214</f>
        <v>1.0676211294789275E-3</v>
      </c>
      <c r="P214">
        <f>Perhitungan!O$4+Perhitungan!O$3*Return!$B214</f>
        <v>5.0922300516248052E-4</v>
      </c>
      <c r="Q214">
        <f>Perhitungan!P$4+Perhitungan!P$3*Return!$B214</f>
        <v>4.8954859353693312E-3</v>
      </c>
      <c r="R214">
        <f>Perhitungan!Q$4+Perhitungan!Q$3*Return!$B214</f>
        <v>7.5022426619287381E-4</v>
      </c>
      <c r="S214">
        <f>Perhitungan!R$4+Perhitungan!R$3*Return!$B214</f>
        <v>1.3832840712008317E-3</v>
      </c>
      <c r="T214">
        <f>Perhitungan!S$4+Perhitungan!S$3*Return!$B214</f>
        <v>2.6703709712663326E-3</v>
      </c>
      <c r="U214">
        <f>Perhitungan!T$4+Perhitungan!T$3*Return!$B214</f>
        <v>3.2199492608529184E-3</v>
      </c>
      <c r="V214">
        <f>Perhitungan!U$4+Perhitungan!U$3*Return!$B214</f>
        <v>2.4633551789378992E-3</v>
      </c>
      <c r="W214">
        <f>Perhitungan!V$4+Perhitungan!V$3*Return!$B214</f>
        <v>7.3970370972905805E-3</v>
      </c>
      <c r="X214">
        <f>Perhitungan!W$4+Perhitungan!W$3*Return!$B214</f>
        <v>-1.6168969187228526E-3</v>
      </c>
      <c r="Y214">
        <f>Perhitungan!X$4+Perhitungan!X$3*Return!$B214</f>
        <v>5.6505788977159093E-4</v>
      </c>
      <c r="Z214">
        <f>Perhitungan!Y$4+Perhitungan!Y$3*Return!$B214</f>
        <v>1.0724206610843723E-3</v>
      </c>
      <c r="AA214">
        <f>Perhitungan!Z$4+Perhitungan!Z$3*Return!$B214</f>
        <v>5.5445119983033742E-3</v>
      </c>
      <c r="AB214">
        <f>Perhitungan!AA$4+Perhitungan!AA$3*Return!$B214</f>
        <v>1.9853639892778033E-3</v>
      </c>
      <c r="AC214">
        <f>Perhitungan!AB$4+Perhitungan!AB$3*Return!$B214</f>
        <v>3.4796534872168928E-3</v>
      </c>
      <c r="AD214">
        <f>Perhitungan!AC$4+Perhitungan!AC$3*Return!$B214</f>
        <v>2.1907785107707091E-3</v>
      </c>
      <c r="AE214">
        <f>Perhitungan!AD$4+Perhitungan!AD$3*Return!$B214</f>
        <v>2.0391510310128797E-3</v>
      </c>
      <c r="AF214">
        <f>Perhitungan!AE$4+Perhitungan!AE$3*Return!$B214</f>
        <v>16.603528856862908</v>
      </c>
    </row>
    <row r="215" spans="1:32" x14ac:dyDescent="0.3">
      <c r="A215" s="4" t="s">
        <v>130</v>
      </c>
      <c r="C215">
        <f>Perhitungan!B$4+Perhitungan!B$3*Return!$B215</f>
        <v>-1.1701780991615137E-3</v>
      </c>
      <c r="D215">
        <f>Perhitungan!C$4+Perhitungan!C$3*Return!$B215</f>
        <v>1.7200173055624424E-3</v>
      </c>
      <c r="E215">
        <f>Perhitungan!D$4+Perhitungan!D$3*Return!$B215</f>
        <v>6.1112614426989326E-4</v>
      </c>
      <c r="F215">
        <f>Perhitungan!E$4+Perhitungan!E$3*Return!$B215</f>
        <v>3.5244531294780391E-4</v>
      </c>
      <c r="G215">
        <f>Perhitungan!F$4+Perhitungan!F$3*Return!$B215</f>
        <v>2.1095939461629604E-3</v>
      </c>
      <c r="H215">
        <f>Perhitungan!G$4+Perhitungan!G$3*Return!$B215</f>
        <v>8.1993436605831205E-4</v>
      </c>
      <c r="I215">
        <f>Perhitungan!H$4+Perhitungan!H$3*Return!$B215</f>
        <v>-1.6338302270528929E-3</v>
      </c>
      <c r="J215">
        <f>Perhitungan!I$4+Perhitungan!I$3*Return!$B215</f>
        <v>9.700364560495309E-5</v>
      </c>
      <c r="K215">
        <f>Perhitungan!J$4+Perhitungan!J$3*Return!$B215</f>
        <v>1.8348459728686015E-3</v>
      </c>
      <c r="L215">
        <f>Perhitungan!K$4+Perhitungan!K$3*Return!$B215</f>
        <v>-2.861959333942698E-4</v>
      </c>
      <c r="M215">
        <f>Perhitungan!L$4+Perhitungan!L$3*Return!$B215</f>
        <v>5.6449500729234808E-3</v>
      </c>
      <c r="N215">
        <f>Perhitungan!M$4+Perhitungan!M$3*Return!$B215</f>
        <v>-1.446674190687514E-3</v>
      </c>
      <c r="O215">
        <f>Perhitungan!N$4+Perhitungan!N$3*Return!$B215</f>
        <v>-4.6562630002041304E-5</v>
      </c>
      <c r="P215">
        <f>Perhitungan!O$4+Perhitungan!O$3*Return!$B215</f>
        <v>-1.4002888025635919E-3</v>
      </c>
      <c r="Q215">
        <f>Perhitungan!P$4+Perhitungan!P$3*Return!$B215</f>
        <v>2.5866389884406835E-3</v>
      </c>
      <c r="R215">
        <f>Perhitungan!Q$4+Perhitungan!Q$3*Return!$B215</f>
        <v>-5.209680962056614E-4</v>
      </c>
      <c r="S215">
        <f>Perhitungan!R$4+Perhitungan!R$3*Return!$B215</f>
        <v>2.02180016400683E-4</v>
      </c>
      <c r="T215">
        <f>Perhitungan!S$4+Perhitungan!S$3*Return!$B215</f>
        <v>1.4295688921888729E-3</v>
      </c>
      <c r="U215">
        <f>Perhitungan!T$4+Perhitungan!T$3*Return!$B215</f>
        <v>8.4110725658655594E-4</v>
      </c>
      <c r="V215">
        <f>Perhitungan!U$4+Perhitungan!U$3*Return!$B215</f>
        <v>4.7044305568976115E-4</v>
      </c>
      <c r="W215">
        <f>Perhitungan!V$4+Perhitungan!V$3*Return!$B215</f>
        <v>3.2770105190984842E-3</v>
      </c>
      <c r="X215">
        <f>Perhitungan!W$4+Perhitungan!W$3*Return!$B215</f>
        <v>-3.9221843601604574E-3</v>
      </c>
      <c r="Y215">
        <f>Perhitungan!X$4+Perhitungan!X$3*Return!$B215</f>
        <v>-1.1633636963088801E-3</v>
      </c>
      <c r="Z215">
        <f>Perhitungan!Y$4+Perhitungan!Y$3*Return!$B215</f>
        <v>-6.1318691631231806E-4</v>
      </c>
      <c r="AA215">
        <f>Perhitungan!Z$4+Perhitungan!Z$3*Return!$B215</f>
        <v>3.0203836387078008E-3</v>
      </c>
      <c r="AB215">
        <f>Perhitungan!AA$4+Perhitungan!AA$3*Return!$B215</f>
        <v>-3.0073801700586432E-4</v>
      </c>
      <c r="AC215">
        <f>Perhitungan!AB$4+Perhitungan!AB$3*Return!$B215</f>
        <v>1.6073138122093583E-3</v>
      </c>
      <c r="AD215">
        <f>Perhitungan!AC$4+Perhitungan!AC$3*Return!$B215</f>
        <v>1.0754009681694654E-4</v>
      </c>
      <c r="AE215">
        <f>Perhitungan!AD$4+Perhitungan!AD$3*Return!$B215</f>
        <v>3.8269868918832506E-4</v>
      </c>
      <c r="AF215">
        <f>Perhitungan!AE$4+Perhitungan!AE$3*Return!$B215</f>
        <v>16.664570874205193</v>
      </c>
    </row>
    <row r="216" spans="1:32" x14ac:dyDescent="0.3">
      <c r="A216" s="3" t="s">
        <v>131</v>
      </c>
      <c r="C216">
        <f>Perhitungan!B$4+Perhitungan!B$3*Return!$B216</f>
        <v>-6.4738577816391335E-2</v>
      </c>
      <c r="D216">
        <f>Perhitungan!C$4+Perhitungan!C$3*Return!$B216</f>
        <v>-7.1054266662898921E-2</v>
      </c>
      <c r="E216">
        <f>Perhitungan!D$4+Perhitungan!D$3*Return!$B216</f>
        <v>-7.1813391192626849E-2</v>
      </c>
      <c r="F216">
        <f>Perhitungan!E$4+Perhitungan!E$3*Return!$B216</f>
        <v>-6.2330225362558694E-2</v>
      </c>
      <c r="G216">
        <f>Perhitungan!F$4+Perhitungan!F$3*Return!$B216</f>
        <v>-6.455728131444291E-2</v>
      </c>
      <c r="H216">
        <f>Perhitungan!G$4+Perhitungan!G$3*Return!$B216</f>
        <v>-4.896858187543484E-2</v>
      </c>
      <c r="I216">
        <f>Perhitungan!H$4+Perhitungan!H$3*Return!$B216</f>
        <v>-3.299796063665305E-2</v>
      </c>
      <c r="J216">
        <f>Perhitungan!I$4+Perhitungan!I$3*Return!$B216</f>
        <v>-2.1161607505518498E-2</v>
      </c>
      <c r="K216">
        <f>Perhitungan!J$4+Perhitungan!J$3*Return!$B216</f>
        <v>-6.7829626775450569E-2</v>
      </c>
      <c r="L216">
        <f>Perhitungan!K$4+Perhitungan!K$3*Return!$B216</f>
        <v>-2.7170032750013055E-2</v>
      </c>
      <c r="M216">
        <f>Perhitungan!L$4+Perhitungan!L$3*Return!$B216</f>
        <v>-6.6157728138668201E-2</v>
      </c>
      <c r="N216">
        <f>Perhitungan!M$4+Perhitungan!M$3*Return!$B216</f>
        <v>-0.10556725581616513</v>
      </c>
      <c r="O216">
        <f>Perhitungan!N$4+Perhitungan!N$3*Return!$B216</f>
        <v>-3.8025065397104638E-2</v>
      </c>
      <c r="P216">
        <f>Perhitungan!O$4+Perhitungan!O$3*Return!$B216</f>
        <v>-6.6488654035353048E-2</v>
      </c>
      <c r="Q216">
        <f>Perhitungan!P$4+Perhitungan!P$3*Return!$B216</f>
        <v>-7.6113619758459317E-2</v>
      </c>
      <c r="R216">
        <f>Perhitungan!Q$4+Perhitungan!Q$3*Return!$B216</f>
        <v>-4.38513274216389E-2</v>
      </c>
      <c r="S216">
        <f>Perhitungan!R$4+Perhitungan!R$3*Return!$B216</f>
        <v>-4.0057394072490655E-2</v>
      </c>
      <c r="T216">
        <f>Perhitungan!S$4+Perhitungan!S$3*Return!$B216</f>
        <v>-4.0864895367119757E-2</v>
      </c>
      <c r="U216">
        <f>Perhitungan!T$4+Perhitungan!T$3*Return!$B216</f>
        <v>-8.0245030351105889E-2</v>
      </c>
      <c r="V216">
        <f>Perhitungan!U$4+Perhitungan!U$3*Return!$B216</f>
        <v>-6.7460737903751011E-2</v>
      </c>
      <c r="W216">
        <f>Perhitungan!V$4+Perhitungan!V$3*Return!$B216</f>
        <v>-0.13715982449032213</v>
      </c>
      <c r="X216">
        <f>Perhitungan!W$4+Perhitungan!W$3*Return!$B216</f>
        <v>-8.2501112412737582E-2</v>
      </c>
      <c r="Y216">
        <f>Perhitungan!X$4+Perhitungan!X$3*Return!$B216</f>
        <v>-6.007901690979324E-2</v>
      </c>
      <c r="Z216">
        <f>Perhitungan!Y$4+Perhitungan!Y$3*Return!$B216</f>
        <v>-5.8069465108906794E-2</v>
      </c>
      <c r="AA216">
        <f>Perhitungan!Z$4+Perhitungan!Z$3*Return!$B216</f>
        <v>-8.3018041417926722E-2</v>
      </c>
      <c r="AB216">
        <f>Perhitungan!AA$4+Perhitungan!AA$3*Return!$B216</f>
        <v>-7.8225703834106403E-2</v>
      </c>
      <c r="AC216">
        <f>Perhitungan!AB$4+Perhitungan!AB$3*Return!$B216</f>
        <v>-6.2213987587260752E-2</v>
      </c>
      <c r="AD216">
        <f>Perhitungan!AC$4+Perhitungan!AC$3*Return!$B216</f>
        <v>-7.0902538084302705E-2</v>
      </c>
      <c r="AE216">
        <f>Perhitungan!AD$4+Perhitungan!AD$3*Return!$B216</f>
        <v>-5.6079782757196453E-2</v>
      </c>
      <c r="AF216">
        <f>Perhitungan!AE$4+Perhitungan!AE$3*Return!$B216</f>
        <v>18.745272917128013</v>
      </c>
    </row>
    <row r="217" spans="1:32" x14ac:dyDescent="0.3">
      <c r="A217" s="4" t="s">
        <v>132</v>
      </c>
      <c r="C217">
        <f>Perhitungan!B$4+Perhitungan!B$3*Return!$B217</f>
        <v>-1.076112004606373E-2</v>
      </c>
      <c r="D217">
        <f>Perhitungan!C$4+Perhitungan!C$3*Return!$B217</f>
        <v>-9.2598710646604118E-3</v>
      </c>
      <c r="E217">
        <f>Perhitungan!D$4+Perhitungan!D$3*Return!$B217</f>
        <v>-1.0315990857266288E-2</v>
      </c>
      <c r="F217">
        <f>Perhitungan!E$4+Perhitungan!E$3*Return!$B217</f>
        <v>-9.1048614337977014E-3</v>
      </c>
      <c r="G217">
        <f>Perhitungan!F$4+Perhitungan!F$3*Return!$B217</f>
        <v>-7.9488334053208869E-3</v>
      </c>
      <c r="H217">
        <f>Perhitungan!G$4+Perhitungan!G$3*Return!$B217</f>
        <v>-6.6919547332221019E-3</v>
      </c>
      <c r="I217">
        <f>Perhitungan!H$4+Perhitungan!H$3*Return!$B217</f>
        <v>-6.3659228282767748E-3</v>
      </c>
      <c r="J217">
        <f>Perhitungan!I$4+Perhitungan!I$3*Return!$B217</f>
        <v>-3.1104092565469622E-3</v>
      </c>
      <c r="K217">
        <f>Perhitungan!J$4+Perhitungan!J$3*Return!$B217</f>
        <v>-8.6758467119054539E-3</v>
      </c>
      <c r="L217">
        <f>Perhitungan!K$4+Perhitungan!K$3*Return!$B217</f>
        <v>-4.342320035387307E-3</v>
      </c>
      <c r="M217">
        <f>Perhitungan!L$4+Perhitungan!L$3*Return!$B217</f>
        <v>-5.1883463671758374E-3</v>
      </c>
      <c r="N217">
        <f>Perhitungan!M$4+Perhitungan!M$3*Return!$B217</f>
        <v>-1.7155964628857552E-2</v>
      </c>
      <c r="O217">
        <f>Perhitungan!N$4+Perhitungan!N$3*Return!$B217</f>
        <v>-5.7766048662362584E-3</v>
      </c>
      <c r="P217">
        <f>Perhitungan!O$4+Perhitungan!O$3*Return!$B217</f>
        <v>-1.1220556972650163E-2</v>
      </c>
      <c r="Q217">
        <f>Perhitungan!P$4+Perhitungan!P$3*Return!$B217</f>
        <v>-9.287336386199975E-3</v>
      </c>
      <c r="R217">
        <f>Perhitungan!Q$4+Perhitungan!Q$3*Return!$B217</f>
        <v>-7.0584767117639526E-3</v>
      </c>
      <c r="S217">
        <f>Perhitungan!R$4+Perhitungan!R$3*Return!$B217</f>
        <v>-5.872020995598492E-3</v>
      </c>
      <c r="T217">
        <f>Perhitungan!S$4+Perhitungan!S$3*Return!$B217</f>
        <v>-4.951648083396128E-3</v>
      </c>
      <c r="U217">
        <f>Perhitungan!T$4+Perhitungan!T$3*Return!$B217</f>
        <v>-1.1392839829596173E-2</v>
      </c>
      <c r="V217">
        <f>Perhitungan!U$4+Perhitungan!U$3*Return!$B217</f>
        <v>-9.7787376042712919E-3</v>
      </c>
      <c r="W217">
        <f>Perhitungan!V$4+Perhitungan!V$3*Return!$B217</f>
        <v>-1.7911528720107234E-2</v>
      </c>
      <c r="X217">
        <f>Perhitungan!W$4+Perhitungan!W$3*Return!$B217</f>
        <v>-1.5777853852463282E-2</v>
      </c>
      <c r="Y217">
        <f>Perhitungan!X$4+Perhitungan!X$3*Return!$B217</f>
        <v>-1.0052318149274233E-2</v>
      </c>
      <c r="Z217">
        <f>Perhitungan!Y$4+Perhitungan!Y$3*Return!$B217</f>
        <v>-9.281956793822323E-3</v>
      </c>
      <c r="AA217">
        <f>Perhitungan!Z$4+Perhitungan!Z$3*Return!$B217</f>
        <v>-9.9607444625461963E-3</v>
      </c>
      <c r="AB217">
        <f>Perhitungan!AA$4+Perhitungan!AA$3*Return!$B217</f>
        <v>-1.2057740343486953E-2</v>
      </c>
      <c r="AC217">
        <f>Perhitungan!AB$4+Perhitungan!AB$3*Return!$B217</f>
        <v>-8.0217849132719968E-3</v>
      </c>
      <c r="AD217">
        <f>Perhitungan!AC$4+Perhitungan!AC$3*Return!$B217</f>
        <v>-1.060617207007139E-2</v>
      </c>
      <c r="AE217">
        <f>Perhitungan!AD$4+Perhitungan!AD$3*Return!$B217</f>
        <v>-8.1361311718619912E-3</v>
      </c>
      <c r="AF217">
        <f>Perhitungan!AE$4+Perhitungan!AE$3*Return!$B217</f>
        <v>16.978498747035768</v>
      </c>
    </row>
    <row r="218" spans="1:32" x14ac:dyDescent="0.3">
      <c r="A218" s="3" t="s">
        <v>133</v>
      </c>
      <c r="C218">
        <f>Perhitungan!B$4+Perhitungan!B$3*Return!$B218</f>
        <v>8.5250821574424148E-3</v>
      </c>
      <c r="D218">
        <f>Perhitungan!C$4+Perhitungan!C$3*Return!$B218</f>
        <v>1.2819331213113787E-2</v>
      </c>
      <c r="E218">
        <f>Perhitungan!D$4+Perhitungan!D$3*Return!$B218</f>
        <v>1.1657094701974787E-2</v>
      </c>
      <c r="F218">
        <f>Perhitungan!E$4+Perhitungan!E$3*Return!$B218</f>
        <v>9.9126168522875088E-3</v>
      </c>
      <c r="G218">
        <f>Perhitungan!F$4+Perhitungan!F$3*Return!$B218</f>
        <v>1.2277424330776747E-2</v>
      </c>
      <c r="H218">
        <f>Perhitungan!G$4+Perhitungan!G$3*Return!$B218</f>
        <v>8.413528430069199E-3</v>
      </c>
      <c r="I218">
        <f>Perhitungan!H$4+Perhitungan!H$3*Return!$B218</f>
        <v>3.1497321781010497E-3</v>
      </c>
      <c r="J218">
        <f>Perhitungan!I$4+Perhitungan!I$3*Return!$B218</f>
        <v>3.3393027867019412E-3</v>
      </c>
      <c r="K218">
        <f>Perhitungan!J$4+Perhitungan!J$3*Return!$B218</f>
        <v>1.2459860869239813E-2</v>
      </c>
      <c r="L218">
        <f>Perhitungan!K$4+Perhitungan!K$3*Return!$B218</f>
        <v>3.8140456299078683E-3</v>
      </c>
      <c r="M218">
        <f>Perhitungan!L$4+Perhitungan!L$3*Return!$B218</f>
        <v>1.6596077606088038E-2</v>
      </c>
      <c r="N218">
        <f>Perhitungan!M$4+Perhitungan!M$3*Return!$B218</f>
        <v>1.4433482324474313E-2</v>
      </c>
      <c r="O218">
        <f>Perhitungan!N$4+Perhitungan!N$3*Return!$B218</f>
        <v>5.745803862172068E-3</v>
      </c>
      <c r="P218">
        <f>Perhitungan!O$4+Perhitungan!O$3*Return!$B218</f>
        <v>8.5267920019850025E-3</v>
      </c>
      <c r="Q218">
        <f>Perhitungan!P$4+Perhitungan!P$3*Return!$B218</f>
        <v>1.4589764664207121E-2</v>
      </c>
      <c r="R218">
        <f>Perhitungan!Q$4+Perhitungan!Q$3*Return!$B218</f>
        <v>6.0876473879178921E-3</v>
      </c>
      <c r="S218">
        <f>Perhitungan!R$4+Perhitungan!R$3*Return!$B218</f>
        <v>6.342448614448052E-3</v>
      </c>
      <c r="T218">
        <f>Perhitungan!S$4+Perhitungan!S$3*Return!$B218</f>
        <v>7.8801927907245356E-3</v>
      </c>
      <c r="U218">
        <f>Perhitungan!T$4+Perhitungan!T$3*Return!$B218</f>
        <v>1.3208119967405141E-2</v>
      </c>
      <c r="V218">
        <f>Perhitungan!U$4+Perhitungan!U$3*Return!$B218</f>
        <v>1.0831101525462808E-2</v>
      </c>
      <c r="W218">
        <f>Perhitungan!V$4+Perhitungan!V$3*Return!$B218</f>
        <v>2.4696012272905937E-2</v>
      </c>
      <c r="X218">
        <f>Perhitungan!W$4+Perhitungan!W$3*Return!$B218</f>
        <v>8.0624363247015808E-3</v>
      </c>
      <c r="Y218">
        <f>Perhitungan!X$4+Perhitungan!X$3*Return!$B218</f>
        <v>7.8222737215500673E-3</v>
      </c>
      <c r="Z218">
        <f>Perhitungan!Y$4+Perhitungan!Y$3*Return!$B218</f>
        <v>8.1498710327782952E-3</v>
      </c>
      <c r="AA218">
        <f>Perhitungan!Z$4+Perhitungan!Z$3*Return!$B218</f>
        <v>1.6142704268186998E-2</v>
      </c>
      <c r="AB218">
        <f>Perhitungan!AA$4+Perhitungan!AA$3*Return!$B218</f>
        <v>1.1584142323610611E-2</v>
      </c>
      <c r="AC218">
        <f>Perhitungan!AB$4+Perhitungan!AB$3*Return!$B218</f>
        <v>1.1341145869260673E-2</v>
      </c>
      <c r="AD218">
        <f>Perhitungan!AC$4+Perhitungan!AC$3*Return!$B218</f>
        <v>1.0937782668129371E-2</v>
      </c>
      <c r="AE218">
        <f>Perhitungan!AD$4+Perhitungan!AD$3*Return!$B218</f>
        <v>8.9941857612468121E-3</v>
      </c>
      <c r="AF218">
        <f>Perhitungan!AE$4+Perhitungan!AE$3*Return!$B218</f>
        <v>16.347228485340299</v>
      </c>
    </row>
    <row r="219" spans="1:32" x14ac:dyDescent="0.3">
      <c r="A219" s="2">
        <v>46055</v>
      </c>
      <c r="C219">
        <f>Perhitungan!B$4+Perhitungan!B$3*Return!$B219</f>
        <v>-4.359840476923206E-2</v>
      </c>
      <c r="D219">
        <f>Perhitungan!C$4+Perhitungan!C$3*Return!$B219</f>
        <v>-4.6852604149450555E-2</v>
      </c>
      <c r="E219">
        <f>Perhitungan!D$4+Perhitungan!D$3*Return!$B219</f>
        <v>-4.7728046333080261E-2</v>
      </c>
      <c r="F219">
        <f>Perhitungan!E$4+Perhitungan!E$3*Return!$B219</f>
        <v>-4.1484608498946855E-2</v>
      </c>
      <c r="G219">
        <f>Perhitungan!F$4+Perhitungan!F$3*Return!$B219</f>
        <v>-4.2386685770245271E-2</v>
      </c>
      <c r="H219">
        <f>Perhitungan!G$4+Perhitungan!G$3*Return!$B219</f>
        <v>-3.2411017837509534E-2</v>
      </c>
      <c r="I219">
        <f>Perhitungan!H$4+Perhitungan!H$3*Return!$B219</f>
        <v>-2.2567571523791612E-2</v>
      </c>
      <c r="J219">
        <f>Perhitungan!I$4+Perhitungan!I$3*Return!$B219</f>
        <v>-1.4091888581082372E-2</v>
      </c>
      <c r="K219">
        <f>Perhitungan!J$4+Perhitungan!J$3*Return!$B219</f>
        <v>-4.4662156527817333E-2</v>
      </c>
      <c r="L219">
        <f>Perhitungan!K$4+Perhitungan!K$3*Return!$B219</f>
        <v>-1.8229600632750385E-2</v>
      </c>
      <c r="M219">
        <f>Perhitungan!L$4+Perhitungan!L$3*Return!$B219</f>
        <v>-4.2279180788181443E-2</v>
      </c>
      <c r="N219">
        <f>Perhitungan!M$4+Perhitungan!M$3*Return!$B219</f>
        <v>-7.0941134612474241E-2</v>
      </c>
      <c r="O219">
        <f>Perhitungan!N$4+Perhitungan!N$3*Return!$B219</f>
        <v>-2.5395014552031171E-2</v>
      </c>
      <c r="P219">
        <f>Perhitungan!O$4+Perhitungan!O$3*Return!$B219</f>
        <v>-4.4843004459484866E-2</v>
      </c>
      <c r="Q219">
        <f>Perhitungan!P$4+Perhitungan!P$3*Return!$B219</f>
        <v>-4.9941227560976777E-2</v>
      </c>
      <c r="R219">
        <f>Perhitungan!Q$4+Perhitungan!Q$3*Return!$B219</f>
        <v>-2.9441474437924865E-2</v>
      </c>
      <c r="S219">
        <f>Perhitungan!R$4+Perhitungan!R$3*Return!$B219</f>
        <v>-2.6668754955728229E-2</v>
      </c>
      <c r="T219">
        <f>Perhitungan!S$4+Perhitungan!S$3*Return!$B219</f>
        <v>-2.6799537463571117E-2</v>
      </c>
      <c r="U219">
        <f>Perhitungan!T$4+Perhitungan!T$3*Return!$B219</f>
        <v>-5.3279195307632685E-2</v>
      </c>
      <c r="V219">
        <f>Perhitungan!U$4+Perhitungan!U$3*Return!$B219</f>
        <v>-4.486968752072195E-2</v>
      </c>
      <c r="W219">
        <f>Perhitungan!V$4+Perhitungan!V$3*Return!$B219</f>
        <v>-9.0456446593429468E-2</v>
      </c>
      <c r="X219">
        <f>Perhitungan!W$4+Perhitungan!W$3*Return!$B219</f>
        <v>-5.6369069695269135E-2</v>
      </c>
      <c r="Y219">
        <f>Perhitungan!X$4+Perhitungan!X$3*Return!$B219</f>
        <v>-4.0486151434812538E-2</v>
      </c>
      <c r="Z219">
        <f>Perhitungan!Y$4+Perhitungan!Y$3*Return!$B219</f>
        <v>-3.8961926315414848E-2</v>
      </c>
      <c r="AA219">
        <f>Perhitungan!Z$4+Perhitungan!Z$3*Return!$B219</f>
        <v>-5.4405284096787083E-2</v>
      </c>
      <c r="AB219">
        <f>Perhitungan!AA$4+Perhitungan!AA$3*Return!$B219</f>
        <v>-5.2311141419520819E-2</v>
      </c>
      <c r="AC219">
        <f>Perhitungan!AB$4+Perhitungan!AB$3*Return!$B219</f>
        <v>-4.0989710089615702E-2</v>
      </c>
      <c r="AD219">
        <f>Perhitungan!AC$4+Perhitungan!AC$3*Return!$B219</f>
        <v>-4.7287576129639922E-2</v>
      </c>
      <c r="AE219">
        <f>Perhitungan!AD$4+Perhitungan!AD$3*Return!$B219</f>
        <v>-3.7302738915316172E-2</v>
      </c>
      <c r="AF219">
        <f>Perhitungan!AE$4+Perhitungan!AE$3*Return!$B219</f>
        <v>18.053319030564403</v>
      </c>
    </row>
    <row r="220" spans="1:32" x14ac:dyDescent="0.3">
      <c r="A220" s="1">
        <v>46083</v>
      </c>
      <c r="C220">
        <f>Perhitungan!B$4+Perhitungan!B$3*Return!$B220</f>
        <v>2.0030871246737584E-2</v>
      </c>
      <c r="D220">
        <f>Perhitungan!C$4+Perhitungan!C$3*Return!$B220</f>
        <v>2.5991372135808891E-2</v>
      </c>
      <c r="E220">
        <f>Perhitungan!D$4+Perhitungan!D$3*Return!$B220</f>
        <v>2.4765828366485682E-2</v>
      </c>
      <c r="F220">
        <f>Perhitungan!E$4+Perhitungan!E$3*Return!$B220</f>
        <v>2.1258090256593525E-2</v>
      </c>
      <c r="G220">
        <f>Perhitungan!F$4+Perhitungan!F$3*Return!$B220</f>
        <v>2.4344033045215967E-2</v>
      </c>
      <c r="H220">
        <f>Perhitungan!G$4+Perhitungan!G$3*Return!$B220</f>
        <v>1.7425178392814732E-2</v>
      </c>
      <c r="I220">
        <f>Perhitungan!H$4+Perhitungan!H$3*Return!$B220</f>
        <v>8.8265947555334814E-3</v>
      </c>
      <c r="J220">
        <f>Perhitungan!I$4+Perhitungan!I$3*Return!$B220</f>
        <v>7.187080885949393E-3</v>
      </c>
      <c r="K220">
        <f>Perhitungan!J$4+Perhitungan!J$3*Return!$B220</f>
        <v>2.5069030425569822E-2</v>
      </c>
      <c r="L220">
        <f>Perhitungan!K$4+Perhitungan!K$3*Return!$B220</f>
        <v>8.6799814989715202E-3</v>
      </c>
      <c r="M220">
        <f>Perhitungan!L$4+Perhitungan!L$3*Return!$B220</f>
        <v>2.9592259281638094E-2</v>
      </c>
      <c r="N220">
        <f>Perhitungan!M$4+Perhitungan!M$3*Return!$B220</f>
        <v>3.3279158121985064E-2</v>
      </c>
      <c r="O220">
        <f>Perhitungan!N$4+Perhitungan!N$3*Return!$B220</f>
        <v>1.2619858340643652E-2</v>
      </c>
      <c r="P220">
        <f>Perhitungan!O$4+Perhitungan!O$3*Return!$B220</f>
        <v>2.0307692667516548E-2</v>
      </c>
      <c r="Q220">
        <f>Perhitungan!P$4+Perhitungan!P$3*Return!$B220</f>
        <v>2.8834398514402289E-2</v>
      </c>
      <c r="R220">
        <f>Perhitungan!Q$4+Perhitungan!Q$3*Return!$B220</f>
        <v>1.3930380220260687E-2</v>
      </c>
      <c r="S220">
        <f>Perhitungan!R$4+Perhitungan!R$3*Return!$B220</f>
        <v>1.3629373727431256E-2</v>
      </c>
      <c r="T220">
        <f>Perhitungan!S$4+Perhitungan!S$3*Return!$B220</f>
        <v>1.5535430103241611E-2</v>
      </c>
      <c r="U220">
        <f>Perhitungan!T$4+Perhitungan!T$3*Return!$B220</f>
        <v>2.7884594466208695E-2</v>
      </c>
      <c r="V220">
        <f>Perhitungan!U$4+Perhitungan!U$3*Return!$B220</f>
        <v>2.3126547756339388E-2</v>
      </c>
      <c r="W220">
        <f>Perhitungan!V$4+Perhitungan!V$3*Return!$B220</f>
        <v>5.0114877796880661E-2</v>
      </c>
      <c r="X220">
        <f>Perhitungan!W$4+Perhitungan!W$3*Return!$B220</f>
        <v>2.2285109493408041E-2</v>
      </c>
      <c r="Y220">
        <f>Perhitungan!X$4+Perhitungan!X$3*Return!$B220</f>
        <v>1.8485922373203532E-2</v>
      </c>
      <c r="Z220">
        <f>Perhitungan!Y$4+Perhitungan!Y$3*Return!$B220</f>
        <v>1.8549374900746204E-2</v>
      </c>
      <c r="AA220">
        <f>Perhitungan!Z$4+Perhitungan!Z$3*Return!$B220</f>
        <v>3.1715535685688426E-2</v>
      </c>
      <c r="AB220">
        <f>Perhitungan!AA$4+Perhitungan!AA$3*Return!$B220</f>
        <v>2.5688449266531493E-2</v>
      </c>
      <c r="AC220">
        <f>Perhitungan!AB$4+Perhitungan!AB$3*Return!$B220</f>
        <v>2.289270979997278E-2</v>
      </c>
      <c r="AD220">
        <f>Perhitungan!AC$4+Perhitungan!AC$3*Return!$B220</f>
        <v>2.379050487602968E-2</v>
      </c>
      <c r="AE220">
        <f>Perhitungan!AD$4+Perhitungan!AD$3*Return!$B220</f>
        <v>1.9213813844856764E-2</v>
      </c>
      <c r="AF220">
        <f>Perhitungan!AE$4+Perhitungan!AE$3*Return!$B220</f>
        <v>15.970624402650976</v>
      </c>
    </row>
    <row r="221" spans="1:32" x14ac:dyDescent="0.3">
      <c r="A221" s="2">
        <v>46114</v>
      </c>
      <c r="C221">
        <f>Perhitungan!B$4+Perhitungan!B$3*Return!$B221</f>
        <v>9.1161961888455148E-4</v>
      </c>
      <c r="D221">
        <f>Perhitungan!C$4+Perhitungan!C$3*Return!$B221</f>
        <v>4.1032979760197751E-3</v>
      </c>
      <c r="E221">
        <f>Perhitungan!D$4+Perhitungan!D$3*Return!$B221</f>
        <v>2.9829523282421345E-3</v>
      </c>
      <c r="F221">
        <f>Perhitungan!E$4+Perhitungan!E$3*Return!$B221</f>
        <v>2.4052363436135198E-3</v>
      </c>
      <c r="G221">
        <f>Perhitungan!F$4+Perhitungan!F$3*Return!$B221</f>
        <v>4.292863454348702E-3</v>
      </c>
      <c r="H221">
        <f>Perhitungan!G$4+Perhitungan!G$3*Return!$B221</f>
        <v>2.4504555048238405E-3</v>
      </c>
      <c r="I221">
        <f>Perhitungan!H$4+Perhitungan!H$3*Return!$B221</f>
        <v>-6.0668819727630681E-4</v>
      </c>
      <c r="J221">
        <f>Perhitungan!I$4+Perhitungan!I$3*Return!$B221</f>
        <v>7.9320062995725984E-4</v>
      </c>
      <c r="K221">
        <f>Perhitungan!J$4+Perhitungan!J$3*Return!$B221</f>
        <v>4.1162836217862346E-3</v>
      </c>
      <c r="L221">
        <f>Perhitungan!K$4+Perhitungan!K$3*Return!$B221</f>
        <v>5.9422122963194283E-4</v>
      </c>
      <c r="M221">
        <f>Perhitungan!L$4+Perhitungan!L$3*Return!$B221</f>
        <v>7.9964116845954863E-3</v>
      </c>
      <c r="N221">
        <f>Perhitungan!M$4+Perhitungan!M$3*Return!$B221</f>
        <v>1.9631645057992479E-3</v>
      </c>
      <c r="O221">
        <f>Perhitungan!N$4+Perhitungan!N$3*Return!$B221</f>
        <v>1.1971930842688445E-3</v>
      </c>
      <c r="P221">
        <f>Perhitungan!O$4+Perhitungan!O$3*Return!$B221</f>
        <v>7.3128617518818041E-4</v>
      </c>
      <c r="Q221">
        <f>Perhitungan!P$4+Perhitungan!P$3*Return!$B221</f>
        <v>5.1639890522731692E-3</v>
      </c>
      <c r="R221">
        <f>Perhitungan!Q$4+Perhitungan!Q$3*Return!$B221</f>
        <v>8.9805524820855119E-4</v>
      </c>
      <c r="S221">
        <f>Perhitungan!R$4+Perhitungan!R$3*Return!$B221</f>
        <v>1.520638398876586E-3</v>
      </c>
      <c r="T221">
        <f>Perhitungan!S$4+Perhitungan!S$3*Return!$B221</f>
        <v>2.8146677710764057E-3</v>
      </c>
      <c r="U221">
        <f>Perhitungan!T$4+Perhitungan!T$3*Return!$B221</f>
        <v>3.4965923244466143E-3</v>
      </c>
      <c r="V221">
        <f>Perhitungan!U$4+Perhitungan!U$3*Return!$B221</f>
        <v>2.6951172355434245E-3</v>
      </c>
      <c r="W221">
        <f>Perhitungan!V$4+Perhitungan!V$3*Return!$B221</f>
        <v>7.8761680242854654E-3</v>
      </c>
      <c r="X221">
        <f>Perhitungan!W$4+Perhitungan!W$3*Return!$B221</f>
        <v>-1.3488077479752339E-3</v>
      </c>
      <c r="Y221">
        <f>Perhitungan!X$4+Perhitungan!X$3*Return!$B221</f>
        <v>7.6606150493275854E-4</v>
      </c>
      <c r="Z221">
        <f>Perhitungan!Y$4+Perhitungan!Y$3*Return!$B221</f>
        <v>1.2684452997074741E-3</v>
      </c>
      <c r="AA221">
        <f>Perhitungan!Z$4+Perhitungan!Z$3*Return!$B221</f>
        <v>5.838050871860301E-3</v>
      </c>
      <c r="AB221">
        <f>Perhitungan!AA$4+Perhitungan!AA$3*Return!$B221</f>
        <v>2.251222025066545E-3</v>
      </c>
      <c r="AC221">
        <f>Perhitungan!AB$4+Perhitungan!AB$3*Return!$B221</f>
        <v>3.69739379231204E-3</v>
      </c>
      <c r="AD221">
        <f>Perhitungan!AC$4+Perhitungan!AC$3*Return!$B221</f>
        <v>2.4330448975247031E-3</v>
      </c>
      <c r="AE221">
        <f>Perhitungan!AD$4+Perhitungan!AD$3*Return!$B221</f>
        <v>2.2317851150409278E-3</v>
      </c>
      <c r="AF221">
        <f>Perhitungan!AE$4+Perhitungan!AE$3*Return!$B221</f>
        <v>16.596430087522524</v>
      </c>
    </row>
    <row r="222" spans="1:32" x14ac:dyDescent="0.3">
      <c r="A222" s="1">
        <v>46144</v>
      </c>
      <c r="C222">
        <f>Perhitungan!B$4+Perhitungan!B$3*Return!$B222</f>
        <v>-6.1561634318492778E-3</v>
      </c>
      <c r="D222">
        <f>Perhitungan!C$4+Perhitungan!C$3*Return!$B222</f>
        <v>-3.9880312543772211E-3</v>
      </c>
      <c r="E222">
        <f>Perhitungan!D$4+Perhitungan!D$3*Return!$B222</f>
        <v>-5.0694884814728699E-3</v>
      </c>
      <c r="F222">
        <f>Perhitungan!E$4+Perhitungan!E$3*Return!$B222</f>
        <v>-4.5640678916006212E-3</v>
      </c>
      <c r="G222">
        <f>Perhitungan!F$4+Perhitungan!F$3*Return!$B222</f>
        <v>-3.1194202134527432E-3</v>
      </c>
      <c r="H222">
        <f>Perhitungan!G$4+Perhitungan!G$3*Return!$B222</f>
        <v>-3.0852262612444722E-3</v>
      </c>
      <c r="I222">
        <f>Perhitungan!H$4+Perhitungan!H$3*Return!$B222</f>
        <v>-4.093874760034687E-3</v>
      </c>
      <c r="J222">
        <f>Perhitungan!I$4+Perhitungan!I$3*Return!$B222</f>
        <v>-1.5704148180390944E-3</v>
      </c>
      <c r="K222">
        <f>Perhitungan!J$4+Perhitungan!J$3*Return!$B222</f>
        <v>-3.6292846467102929E-3</v>
      </c>
      <c r="L222">
        <f>Perhitungan!K$4+Perhitungan!K$3*Return!$B222</f>
        <v>-2.3948287863572366E-3</v>
      </c>
      <c r="M222">
        <f>Perhitungan!L$4+Perhitungan!L$3*Return!$B222</f>
        <v>1.3109378439869583E-5</v>
      </c>
      <c r="N222">
        <f>Perhitungan!M$4+Perhitungan!M$3*Return!$B222</f>
        <v>-9.613368572248919E-3</v>
      </c>
      <c r="O222">
        <f>Perhitungan!N$4+Perhitungan!N$3*Return!$B222</f>
        <v>-3.0254052404270803E-3</v>
      </c>
      <c r="P222">
        <f>Perhitungan!O$4+Perhitungan!O$3*Return!$B222</f>
        <v>-6.5054925802725122E-3</v>
      </c>
      <c r="Q222">
        <f>Perhitungan!P$4+Perhitungan!P$3*Return!$B222</f>
        <v>-3.5862132075603764E-3</v>
      </c>
      <c r="R222">
        <f>Perhitungan!Q$4+Perhitungan!Q$3*Return!$B222</f>
        <v>-3.9195833990562541E-3</v>
      </c>
      <c r="S222">
        <f>Perhitungan!R$4+Perhitungan!R$3*Return!$B222</f>
        <v>-2.9555783478241275E-3</v>
      </c>
      <c r="T222">
        <f>Perhitungan!S$4+Perhitungan!S$3*Return!$B222</f>
        <v>-1.8877960153571964E-3</v>
      </c>
      <c r="U222">
        <f>Perhitungan!T$4+Perhitungan!T$3*Return!$B222</f>
        <v>-5.5188812690751144E-3</v>
      </c>
      <c r="V222">
        <f>Perhitungan!U$4+Perhitungan!U$3*Return!$B222</f>
        <v>-4.857736879664603E-3</v>
      </c>
      <c r="W222">
        <f>Perhitungan!V$4+Perhitungan!V$3*Return!$B222</f>
        <v>-7.7381479974100477E-3</v>
      </c>
      <c r="X222">
        <f>Perhitungan!W$4+Perhitungan!W$3*Return!$B222</f>
        <v>-1.0085519987158842E-2</v>
      </c>
      <c r="Y222">
        <f>Perhitungan!X$4+Perhitungan!X$3*Return!$B222</f>
        <v>-5.7844110106167138E-3</v>
      </c>
      <c r="Z222">
        <f>Perhitungan!Y$4+Perhitungan!Y$3*Return!$B222</f>
        <v>-5.1197681990476189E-3</v>
      </c>
      <c r="AA222">
        <f>Perhitungan!Z$4+Perhitungan!Z$3*Return!$B222</f>
        <v>-3.7280373894789604E-3</v>
      </c>
      <c r="AB222">
        <f>Perhitungan!AA$4+Perhitungan!AA$3*Return!$B222</f>
        <v>-6.412780137659552E-3</v>
      </c>
      <c r="AC222">
        <f>Perhitungan!AB$4+Perhitungan!AB$3*Return!$B222</f>
        <v>-3.3985078555736929E-3</v>
      </c>
      <c r="AD222">
        <f>Perhitungan!AC$4+Perhitungan!AC$3*Return!$B222</f>
        <v>-5.4621330404495474E-3</v>
      </c>
      <c r="AE222">
        <f>Perhitungan!AD$4+Perhitungan!AD$3*Return!$B222</f>
        <v>-4.0459341785748209E-3</v>
      </c>
      <c r="AF222">
        <f>Perhitungan!AE$4+Perhitungan!AE$3*Return!$B222</f>
        <v>16.82777067023364</v>
      </c>
    </row>
    <row r="223" spans="1:32" x14ac:dyDescent="0.3">
      <c r="A223" s="2">
        <v>46175</v>
      </c>
      <c r="C223">
        <f>Perhitungan!B$4+Perhitungan!B$3*Return!$B223</f>
        <v>-1.9512334976075966E-2</v>
      </c>
      <c r="D223">
        <f>Perhitungan!C$4+Perhitungan!C$3*Return!$B223</f>
        <v>-1.9278424358729437E-2</v>
      </c>
      <c r="E223">
        <f>Perhitungan!D$4+Perhitungan!D$3*Return!$B223</f>
        <v>-2.0286393136337545E-2</v>
      </c>
      <c r="F223">
        <f>Perhitungan!E$4+Perhitungan!E$3*Return!$B223</f>
        <v>-1.7734141483455011E-2</v>
      </c>
      <c r="G223">
        <f>Perhitungan!F$4+Perhitungan!F$3*Return!$B223</f>
        <v>-1.7126603440638391E-2</v>
      </c>
      <c r="H223">
        <f>Perhitungan!G$4+Perhitungan!G$3*Return!$B223</f>
        <v>-1.3546146574040381E-2</v>
      </c>
      <c r="I223">
        <f>Perhitungan!H$4+Perhitungan!H$3*Return!$B223</f>
        <v>-1.0683700962196814E-2</v>
      </c>
      <c r="J223">
        <f>Perhitungan!I$4+Perhitungan!I$3*Return!$B223</f>
        <v>-6.0369997657400308E-3</v>
      </c>
      <c r="K223">
        <f>Perhitungan!J$4+Perhitungan!J$3*Return!$B223</f>
        <v>-1.8266284362033678E-2</v>
      </c>
      <c r="L223">
        <f>Perhitungan!K$4+Perhitungan!K$3*Return!$B223</f>
        <v>-8.0433135348640522E-3</v>
      </c>
      <c r="M223">
        <f>Perhitungan!L$4+Perhitungan!L$3*Return!$B223</f>
        <v>-1.5073142466735856E-2</v>
      </c>
      <c r="N223">
        <f>Perhitungan!M$4+Perhitungan!M$3*Return!$B223</f>
        <v>-3.1489841090993301E-2</v>
      </c>
      <c r="O223">
        <f>Perhitungan!N$4+Perhitungan!N$3*Return!$B223</f>
        <v>-1.100495797742675E-2</v>
      </c>
      <c r="P223">
        <f>Perhitungan!O$4+Perhitungan!O$3*Return!$B223</f>
        <v>-2.0181019657396482E-2</v>
      </c>
      <c r="Q223">
        <f>Perhitungan!P$4+Perhitungan!P$3*Return!$B223</f>
        <v>-2.0121695633960358E-2</v>
      </c>
      <c r="R223">
        <f>Perhitungan!Q$4+Perhitungan!Q$3*Return!$B223</f>
        <v>-1.302359914898567E-2</v>
      </c>
      <c r="S223">
        <f>Perhitungan!R$4+Perhitungan!R$3*Return!$B223</f>
        <v>-1.1414400344612457E-2</v>
      </c>
      <c r="T223">
        <f>Perhitungan!S$4+Perhitungan!S$3*Return!$B223</f>
        <v>-1.0774162866360057E-2</v>
      </c>
      <c r="U223">
        <f>Perhitungan!T$4+Perhitungan!T$3*Return!$B223</f>
        <v>-2.2555653762398882E-2</v>
      </c>
      <c r="V223">
        <f>Perhitungan!U$4+Perhitungan!U$3*Return!$B223</f>
        <v>-1.9130559699369446E-2</v>
      </c>
      <c r="W223">
        <f>Perhitungan!V$4+Perhitungan!V$3*Return!$B223</f>
        <v>-3.7244922870738897E-2</v>
      </c>
      <c r="X223">
        <f>Perhitungan!W$4+Perhitungan!W$3*Return!$B223</f>
        <v>-2.6595509974325415E-2</v>
      </c>
      <c r="Y223">
        <f>Perhitungan!X$4+Perhitungan!X$3*Return!$B223</f>
        <v>-1.8163007521772658E-2</v>
      </c>
      <c r="Z223">
        <f>Perhitungan!Y$4+Perhitungan!Y$3*Return!$B223</f>
        <v>-1.7191739669883698E-2</v>
      </c>
      <c r="AA223">
        <f>Perhitungan!Z$4+Perhitungan!Z$3*Return!$B223</f>
        <v>-2.1805320592504663E-2</v>
      </c>
      <c r="AB223">
        <f>Perhitungan!AA$4+Perhitungan!AA$3*Return!$B223</f>
        <v>-2.2785368021905106E-2</v>
      </c>
      <c r="AC223">
        <f>Perhitungan!AB$4+Perhitungan!AB$3*Return!$B223</f>
        <v>-1.6807815836565348E-2</v>
      </c>
      <c r="AD223">
        <f>Perhitungan!AC$4+Perhitungan!AC$3*Return!$B223</f>
        <v>-2.0381853998894858E-2</v>
      </c>
      <c r="AE223">
        <f>Perhitungan!AD$4+Perhitungan!AD$3*Return!$B223</f>
        <v>-1.5909101906017728E-2</v>
      </c>
      <c r="AF223">
        <f>Perhitungan!AE$4+Perhitungan!AE$3*Return!$B223</f>
        <v>17.264940923713652</v>
      </c>
    </row>
    <row r="224" spans="1:32" x14ac:dyDescent="0.3">
      <c r="A224" s="1">
        <v>46267</v>
      </c>
      <c r="C224">
        <f>Perhitungan!B$4+Perhitungan!B$3*Return!$B224</f>
        <v>8.8188309752140637E-3</v>
      </c>
      <c r="D224">
        <f>Perhitungan!C$4+Perhitungan!C$3*Return!$B224</f>
        <v>1.3155620312336141E-2</v>
      </c>
      <c r="E224">
        <f>Perhitungan!D$4+Perhitungan!D$3*Return!$B224</f>
        <v>1.1991767533759624E-2</v>
      </c>
      <c r="F224">
        <f>Perhitungan!E$4+Perhitungan!E$3*Return!$B224</f>
        <v>1.0202272726709481E-2</v>
      </c>
      <c r="G224">
        <f>Perhitungan!F$4+Perhitungan!F$3*Return!$B224</f>
        <v>1.258549116712067E-2</v>
      </c>
      <c r="H224">
        <f>Perhitungan!G$4+Perhitungan!G$3*Return!$B224</f>
        <v>8.6436005704660108E-3</v>
      </c>
      <c r="I224">
        <f>Perhitungan!H$4+Perhitungan!H$3*Return!$B224</f>
        <v>3.2946654510674716E-3</v>
      </c>
      <c r="J224">
        <f>Perhitungan!I$4+Perhitungan!I$3*Return!$B224</f>
        <v>3.437538575566973E-3</v>
      </c>
      <c r="K224">
        <f>Perhitungan!J$4+Perhitungan!J$3*Return!$B224</f>
        <v>1.2781779567862604E-2</v>
      </c>
      <c r="L224">
        <f>Perhitungan!K$4+Perhitungan!K$3*Return!$B224</f>
        <v>3.9382755195570681E-3</v>
      </c>
      <c r="M224">
        <f>Perhitungan!L$4+Perhitungan!L$3*Return!$B224</f>
        <v>1.6927876926683117E-2</v>
      </c>
      <c r="N224">
        <f>Perhitungan!M$4+Perhitungan!M$3*Return!$B224</f>
        <v>1.4914622291725851E-2</v>
      </c>
      <c r="O224">
        <f>Perhitungan!N$4+Perhitungan!N$3*Return!$B224</f>
        <v>5.9213020710022308E-3</v>
      </c>
      <c r="P224">
        <f>Perhitungan!O$4+Perhitungan!O$3*Return!$B224</f>
        <v>8.8275645622959541E-3</v>
      </c>
      <c r="Q224">
        <f>Perhitungan!P$4+Perhitungan!P$3*Return!$B224</f>
        <v>1.4953437622281582E-2</v>
      </c>
      <c r="R224">
        <f>Perhitungan!Q$4+Perhitungan!Q$3*Return!$B224</f>
        <v>6.2878764621447959E-3</v>
      </c>
      <c r="S224">
        <f>Perhitungan!R$4+Perhitungan!R$3*Return!$B224</f>
        <v>6.5284876266806747E-3</v>
      </c>
      <c r="T224">
        <f>Perhitungan!S$4+Perhitungan!S$3*Return!$B224</f>
        <v>8.0756350061920064E-3</v>
      </c>
      <c r="U224">
        <f>Perhitungan!T$4+Perhitungan!T$3*Return!$B224</f>
        <v>1.3582818043271175E-2</v>
      </c>
      <c r="V224">
        <f>Perhitungan!U$4+Perhitungan!U$3*Return!$B224</f>
        <v>1.1145010703378751E-2</v>
      </c>
      <c r="W224">
        <f>Perhitungan!V$4+Perhitungan!V$3*Return!$B224</f>
        <v>2.5344969214391253E-2</v>
      </c>
      <c r="X224">
        <f>Perhitungan!W$4+Perhitungan!W$3*Return!$B224</f>
        <v>8.4255486150830484E-3</v>
      </c>
      <c r="Y224">
        <f>Perhitungan!X$4+Perhitungan!X$3*Return!$B224</f>
        <v>8.0945222531583708E-3</v>
      </c>
      <c r="Z224">
        <f>Perhitungan!Y$4+Perhitungan!Y$3*Return!$B224</f>
        <v>8.415375809801319E-3</v>
      </c>
      <c r="AA224">
        <f>Perhitungan!Z$4+Perhitungan!Z$3*Return!$B224</f>
        <v>1.6540286805355551E-2</v>
      </c>
      <c r="AB224">
        <f>Perhitungan!AA$4+Perhitungan!AA$3*Return!$B224</f>
        <v>1.1944232662292916E-2</v>
      </c>
      <c r="AC224">
        <f>Perhitungan!AB$4+Perhitungan!AB$3*Return!$B224</f>
        <v>1.1636063342693011E-2</v>
      </c>
      <c r="AD224">
        <f>Perhitungan!AC$4+Perhitungan!AC$3*Return!$B224</f>
        <v>1.1265919393426273E-2</v>
      </c>
      <c r="AE224">
        <f>Perhitungan!AD$4+Perhitungan!AD$3*Return!$B224</f>
        <v>9.2550982153451911E-3</v>
      </c>
      <c r="AF224">
        <f>Perhitungan!AE$4+Perhitungan!AE$3*Return!$B224</f>
        <v>16.337613585988382</v>
      </c>
    </row>
    <row r="225" spans="1:32" x14ac:dyDescent="0.3">
      <c r="A225" s="2">
        <v>46297</v>
      </c>
      <c r="C225">
        <f>Perhitungan!B$4+Perhitungan!B$3*Return!$B225</f>
        <v>9.0416871075276427E-3</v>
      </c>
      <c r="D225">
        <f>Perhitungan!C$4+Perhitungan!C$3*Return!$B225</f>
        <v>1.3410750149318739E-2</v>
      </c>
      <c r="E225">
        <f>Perhitungan!D$4+Perhitungan!D$3*Return!$B225</f>
        <v>1.2245671169688402E-2</v>
      </c>
      <c r="F225">
        <f>Perhitungan!E$4+Perhitungan!E$3*Return!$B225</f>
        <v>1.0422023697505792E-2</v>
      </c>
      <c r="G225">
        <f>Perhitungan!F$4+Perhitungan!F$3*Return!$B225</f>
        <v>1.281920983929268E-2</v>
      </c>
      <c r="H225">
        <f>Perhitungan!G$4+Perhitungan!G$3*Return!$B225</f>
        <v>8.8181476129048277E-3</v>
      </c>
      <c r="I225">
        <f>Perhitungan!H$4+Perhitungan!H$3*Return!$B225</f>
        <v>3.4046208507244441E-3</v>
      </c>
      <c r="J225">
        <f>Perhitungan!I$4+Perhitungan!I$3*Return!$B225</f>
        <v>3.5120663579332415E-3</v>
      </c>
      <c r="K225">
        <f>Perhitungan!J$4+Perhitungan!J$3*Return!$B225</f>
        <v>1.3026007124721286E-2</v>
      </c>
      <c r="L225">
        <f>Perhitungan!K$4+Perhitungan!K$3*Return!$B225</f>
        <v>4.0325240443170396E-3</v>
      </c>
      <c r="M225">
        <f>Perhitungan!L$4+Perhitungan!L$3*Return!$B225</f>
        <v>1.7179600538212929E-2</v>
      </c>
      <c r="N225">
        <f>Perhitungan!M$4+Perhitungan!M$3*Return!$B225</f>
        <v>1.5279645010852206E-2</v>
      </c>
      <c r="O225">
        <f>Perhitungan!N$4+Perhitungan!N$3*Return!$B225</f>
        <v>6.0544459329743144E-3</v>
      </c>
      <c r="P225">
        <f>Perhitungan!O$4+Perhitungan!O$3*Return!$B225</f>
        <v>9.0557493427673354E-3</v>
      </c>
      <c r="Q225">
        <f>Perhitungan!P$4+Perhitungan!P$3*Return!$B225</f>
        <v>1.5229342558608906E-2</v>
      </c>
      <c r="R225">
        <f>Perhitungan!Q$4+Perhitungan!Q$3*Return!$B225</f>
        <v>6.4397826975381399E-3</v>
      </c>
      <c r="S225">
        <f>Perhitungan!R$4+Perhitungan!R$3*Return!$B225</f>
        <v>6.6696283980380265E-3</v>
      </c>
      <c r="T225">
        <f>Perhitungan!S$4+Perhitungan!S$3*Return!$B225</f>
        <v>8.2239096326578616E-3</v>
      </c>
      <c r="U225">
        <f>Perhitungan!T$4+Perhitungan!T$3*Return!$B225</f>
        <v>1.3867087320016852E-2</v>
      </c>
      <c r="V225">
        <f>Perhitungan!U$4+Perhitungan!U$3*Return!$B225</f>
        <v>1.1383161739419565E-2</v>
      </c>
      <c r="W225">
        <f>Perhitungan!V$4+Perhitungan!V$3*Return!$B225</f>
        <v>2.583730833294353E-2</v>
      </c>
      <c r="X225">
        <f>Perhitungan!W$4+Perhitungan!W$3*Return!$B225</f>
        <v>8.7010281940097106E-3</v>
      </c>
      <c r="Y225">
        <f>Perhitungan!X$4+Perhitungan!X$3*Return!$B225</f>
        <v>8.3010669304868848E-3</v>
      </c>
      <c r="Z225">
        <f>Perhitungan!Y$4+Perhitungan!Y$3*Return!$B225</f>
        <v>8.6168042552568058E-3</v>
      </c>
      <c r="AA225">
        <f>Perhitungan!Z$4+Perhitungan!Z$3*Return!$B225</f>
        <v>1.6841917658480143E-2</v>
      </c>
      <c r="AB225">
        <f>Perhitungan!AA$4+Perhitungan!AA$3*Return!$B225</f>
        <v>1.2217419600613151E-2</v>
      </c>
      <c r="AC225">
        <f>Perhitungan!AB$4+Perhitungan!AB$3*Return!$B225</f>
        <v>1.1859806089912902E-2</v>
      </c>
      <c r="AD225">
        <f>Perhitungan!AC$4+Perhitungan!AC$3*Return!$B225</f>
        <v>1.1514864332250019E-2</v>
      </c>
      <c r="AE225">
        <f>Perhitungan!AD$4+Perhitungan!AD$3*Return!$B225</f>
        <v>9.4530426388628724E-3</v>
      </c>
      <c r="AF225">
        <f>Perhitungan!AE$4+Perhitungan!AE$3*Return!$B225</f>
        <v>16.330319125032222</v>
      </c>
    </row>
    <row r="226" spans="1:32" x14ac:dyDescent="0.3">
      <c r="A226" s="1">
        <v>46328</v>
      </c>
      <c r="C226">
        <f>Perhitungan!B$4+Perhitungan!B$3*Return!$B226</f>
        <v>1.5180931055112454E-2</v>
      </c>
      <c r="D226">
        <f>Perhitungan!C$4+Perhitungan!C$3*Return!$B226</f>
        <v>2.0439070578660901E-2</v>
      </c>
      <c r="E226">
        <f>Perhitungan!D$4+Perhitungan!D$3*Return!$B226</f>
        <v>1.9240212194712506E-2</v>
      </c>
      <c r="F226">
        <f>Perhitungan!E$4+Perhitungan!E$3*Return!$B226</f>
        <v>1.6475726610822188E-2</v>
      </c>
      <c r="G226">
        <f>Perhitungan!F$4+Perhitungan!F$3*Return!$B226</f>
        <v>1.9257695191585295E-2</v>
      </c>
      <c r="H226">
        <f>Perhitungan!G$4+Perhitungan!G$3*Return!$B226</f>
        <v>1.3626572055780438E-2</v>
      </c>
      <c r="I226">
        <f>Perhitungan!H$4+Perhitungan!H$3*Return!$B226</f>
        <v>6.4336737865372754E-3</v>
      </c>
      <c r="J226">
        <f>Perhitungan!I$4+Perhitungan!I$3*Return!$B226</f>
        <v>5.5651587815925907E-3</v>
      </c>
      <c r="K226">
        <f>Perhitungan!J$4+Perhitungan!J$3*Return!$B226</f>
        <v>1.9753991383948809E-2</v>
      </c>
      <c r="L226">
        <f>Perhitungan!K$4+Perhitungan!K$3*Return!$B226</f>
        <v>6.6288837639018917E-3</v>
      </c>
      <c r="M226">
        <f>Perhitungan!L$4+Perhitungan!L$3*Return!$B226</f>
        <v>2.4114086219648355E-2</v>
      </c>
      <c r="N226">
        <f>Perhitungan!M$4+Perhitungan!M$3*Return!$B226</f>
        <v>2.5335296142651374E-2</v>
      </c>
      <c r="O226">
        <f>Perhitungan!N$4+Perhitungan!N$3*Return!$B226</f>
        <v>9.7222949631280697E-3</v>
      </c>
      <c r="P226">
        <f>Perhitungan!O$4+Perhitungan!O$3*Return!$B226</f>
        <v>1.5341786966666887E-2</v>
      </c>
      <c r="Q226">
        <f>Perhitungan!P$4+Perhitungan!P$3*Return!$B226</f>
        <v>2.2829975724372037E-2</v>
      </c>
      <c r="R226">
        <f>Perhitungan!Q$4+Perhitungan!Q$3*Return!$B226</f>
        <v>1.0624497861340496E-2</v>
      </c>
      <c r="S226">
        <f>Perhitungan!R$4+Perhitungan!R$3*Return!$B226</f>
        <v>1.0557776403289389E-2</v>
      </c>
      <c r="T226">
        <f>Perhitungan!S$4+Perhitungan!S$3*Return!$B226</f>
        <v>1.2308581181341262E-2</v>
      </c>
      <c r="U226">
        <f>Perhitungan!T$4+Perhitungan!T$3*Return!$B226</f>
        <v>2.1698141456277062E-2</v>
      </c>
      <c r="V226">
        <f>Perhitungan!U$4+Perhitungan!U$3*Return!$B226</f>
        <v>1.7943749915505073E-2</v>
      </c>
      <c r="W226">
        <f>Perhitungan!V$4+Perhitungan!V$3*Return!$B226</f>
        <v>3.9400273472615988E-2</v>
      </c>
      <c r="X226">
        <f>Perhitungan!W$4+Perhitungan!W$3*Return!$B226</f>
        <v>1.6289943607963903E-2</v>
      </c>
      <c r="Y226">
        <f>Perhitungan!X$4+Perhitungan!X$3*Return!$B226</f>
        <v>1.3990962680856917E-2</v>
      </c>
      <c r="Z226">
        <f>Perhitungan!Y$4+Perhitungan!Y$3*Return!$B226</f>
        <v>1.4165757976189117E-2</v>
      </c>
      <c r="AA226">
        <f>Perhitungan!Z$4+Perhitungan!Z$3*Return!$B226</f>
        <v>2.5151248751260583E-2</v>
      </c>
      <c r="AB226">
        <f>Perhitungan!AA$4+Perhitungan!AA$3*Return!$B226</f>
        <v>1.9743177318071004E-2</v>
      </c>
      <c r="AC226">
        <f>Perhitungan!AB$4+Perhitungan!AB$3*Return!$B226</f>
        <v>1.8023474517725853E-2</v>
      </c>
      <c r="AD226">
        <f>Perhitungan!AC$4+Perhitungan!AC$3*Return!$B226</f>
        <v>1.8372803097897471E-2</v>
      </c>
      <c r="AE226">
        <f>Perhitungan!AD$4+Perhitungan!AD$3*Return!$B226</f>
        <v>1.4906018473196857E-2</v>
      </c>
      <c r="AF226">
        <f>Perhitungan!AE$4+Perhitungan!AE$3*Return!$B226</f>
        <v>16.129371209392325</v>
      </c>
    </row>
    <row r="227" spans="1:32" x14ac:dyDescent="0.3">
      <c r="A227" s="2">
        <v>46358</v>
      </c>
      <c r="C227">
        <f>Perhitungan!B$4+Perhitungan!B$3*Return!$B227</f>
        <v>-4.2934952164953091E-3</v>
      </c>
      <c r="D227">
        <f>Perhitungan!C$4+Perhitungan!C$3*Return!$B227</f>
        <v>-1.8556141061372021E-3</v>
      </c>
      <c r="E227">
        <f>Perhitungan!D$4+Perhitungan!D$3*Return!$B227</f>
        <v>-2.9473201233597831E-3</v>
      </c>
      <c r="F227">
        <f>Perhitungan!E$4+Perhitungan!E$3*Return!$B227</f>
        <v>-2.7273531270299478E-3</v>
      </c>
      <c r="G227">
        <f>Perhitungan!F$4+Perhitungan!F$3*Return!$B227</f>
        <v>-1.1659611029941133E-3</v>
      </c>
      <c r="H227">
        <f>Perhitungan!G$4+Perhitungan!G$3*Return!$B227</f>
        <v>-1.6263333662652759E-3</v>
      </c>
      <c r="I227">
        <f>Perhitungan!H$4+Perhitungan!H$3*Return!$B227</f>
        <v>-3.1748494412276694E-3</v>
      </c>
      <c r="J227">
        <f>Perhitungan!I$4+Perhitungan!I$3*Return!$B227</f>
        <v>-9.4749935265206237E-4</v>
      </c>
      <c r="K227">
        <f>Perhitungan!J$4+Perhitungan!J$3*Return!$B227</f>
        <v>-1.5879905492514306E-3</v>
      </c>
      <c r="L227">
        <f>Perhitungan!K$4+Perhitungan!K$3*Return!$B227</f>
        <v>-1.6070841118361011E-3</v>
      </c>
      <c r="M227">
        <f>Perhitungan!L$4+Perhitungan!L$3*Return!$B227</f>
        <v>2.1170567339963151E-3</v>
      </c>
      <c r="N227">
        <f>Perhitungan!M$4+Perhitungan!M$3*Return!$B227</f>
        <v>-6.5624486368619228E-3</v>
      </c>
      <c r="O227">
        <f>Perhitungan!N$4+Perhitungan!N$3*Return!$B227</f>
        <v>-1.9125669389173326E-3</v>
      </c>
      <c r="P227">
        <f>Perhitungan!O$4+Perhitungan!O$3*Return!$B227</f>
        <v>-4.5982866470137213E-3</v>
      </c>
      <c r="Q227">
        <f>Perhitungan!P$4+Perhitungan!P$3*Return!$B227</f>
        <v>-1.2801543613401088E-3</v>
      </c>
      <c r="R227">
        <f>Perhitungan!Q$4+Perhitungan!Q$3*Return!$B227</f>
        <v>-2.6499260939428309E-3</v>
      </c>
      <c r="S227">
        <f>Perhitungan!R$4+Perhitungan!R$3*Return!$B227</f>
        <v>-1.7759005621217376E-3</v>
      </c>
      <c r="T227">
        <f>Perhitungan!S$4+Perhitungan!S$3*Return!$B227</f>
        <v>-6.4849229508616934E-4</v>
      </c>
      <c r="U227">
        <f>Perhitungan!T$4+Perhitungan!T$3*Return!$B227</f>
        <v>-3.1429118896425644E-3</v>
      </c>
      <c r="V227">
        <f>Perhitungan!U$4+Perhitungan!U$3*Return!$B227</f>
        <v>-2.8672313428339665E-3</v>
      </c>
      <c r="W227">
        <f>Perhitungan!V$4+Perhitungan!V$3*Return!$B227</f>
        <v>-3.6230966511346802E-3</v>
      </c>
      <c r="X227">
        <f>Perhitungan!W$4+Perhitungan!W$3*Return!$B227</f>
        <v>-7.7830163480677034E-3</v>
      </c>
      <c r="Y227">
        <f>Perhitungan!X$4+Perhitungan!X$3*Return!$B227</f>
        <v>-4.058076619382546E-3</v>
      </c>
      <c r="Z227">
        <f>Perhitungan!Y$4+Perhitungan!Y$3*Return!$B227</f>
        <v>-3.4361961154660736E-3</v>
      </c>
      <c r="AA227">
        <f>Perhitungan!Z$4+Perhitungan!Z$3*Return!$B227</f>
        <v>-1.2069570985640734E-3</v>
      </c>
      <c r="AB227">
        <f>Perhitungan!AA$4+Perhitungan!AA$3*Return!$B227</f>
        <v>-4.1294387659132356E-3</v>
      </c>
      <c r="AC227">
        <f>Perhitungan!AB$4+Perhitungan!AB$3*Return!$B227</f>
        <v>-1.528429166978082E-3</v>
      </c>
      <c r="AD227">
        <f>Perhitungan!AC$4+Perhitungan!AC$3*Return!$B227</f>
        <v>-3.3814102884825604E-3</v>
      </c>
      <c r="AE227">
        <f>Perhitungan!AD$4+Perhitungan!AD$3*Return!$B227</f>
        <v>-2.391482123496767E-3</v>
      </c>
      <c r="AF227">
        <f>Perhitungan!AE$4+Perhitungan!AE$3*Return!$B227</f>
        <v>16.766802365569461</v>
      </c>
    </row>
    <row r="228" spans="1:32" x14ac:dyDescent="0.3">
      <c r="A228" s="3" t="s">
        <v>134</v>
      </c>
      <c r="C228">
        <f>Perhitungan!B$4+Perhitungan!B$3*Return!$B228</f>
        <v>-7.1555361037158177E-3</v>
      </c>
      <c r="D228">
        <f>Perhitungan!C$4+Perhitungan!C$3*Return!$B228</f>
        <v>-5.1321316397298974E-3</v>
      </c>
      <c r="E228">
        <f>Perhitungan!D$4+Perhitungan!D$3*Return!$B228</f>
        <v>-6.2080901093505836E-3</v>
      </c>
      <c r="F228">
        <f>Perhitungan!E$4+Perhitungan!E$3*Return!$B228</f>
        <v>-5.5495158240854202E-3</v>
      </c>
      <c r="G228">
        <f>Perhitungan!F$4+Perhitungan!F$3*Return!$B228</f>
        <v>-4.1675046949018919E-3</v>
      </c>
      <c r="H228">
        <f>Perhitungan!G$4+Perhitungan!G$3*Return!$B228</f>
        <v>-3.8679623805406328E-3</v>
      </c>
      <c r="I228">
        <f>Perhitungan!H$4+Perhitungan!H$3*Return!$B228</f>
        <v>-4.5869570925716353E-3</v>
      </c>
      <c r="J228">
        <f>Perhitungan!I$4+Perhitungan!I$3*Return!$B228</f>
        <v>-1.9046260789922576E-3</v>
      </c>
      <c r="K228">
        <f>Perhitungan!J$4+Perhitungan!J$3*Return!$B228</f>
        <v>-4.7244950118343855E-3</v>
      </c>
      <c r="L228">
        <f>Perhitungan!K$4+Perhitungan!K$3*Return!$B228</f>
        <v>-2.8174754464739024E-3</v>
      </c>
      <c r="M228">
        <f>Perhitungan!L$4+Perhitungan!L$3*Return!$B228</f>
        <v>-1.1157161809684209E-3</v>
      </c>
      <c r="N228">
        <f>Perhitungan!M$4+Perhitungan!M$3*Return!$B228</f>
        <v>-1.1250270937547071E-2</v>
      </c>
      <c r="O228">
        <f>Perhitungan!N$4+Perhitungan!N$3*Return!$B228</f>
        <v>-3.6224735629376867E-3</v>
      </c>
      <c r="P228">
        <f>Perhitungan!O$4+Perhitungan!O$3*Return!$B228</f>
        <v>-7.52876096140949E-3</v>
      </c>
      <c r="Q228">
        <f>Perhitungan!P$4+Perhitungan!P$3*Return!$B228</f>
        <v>-4.8234771344539094E-3</v>
      </c>
      <c r="R228">
        <f>Perhitungan!Q$4+Perhitungan!Q$3*Return!$B228</f>
        <v>-4.6007894253935581E-3</v>
      </c>
      <c r="S228">
        <f>Perhitungan!R$4+Perhitungan!R$3*Return!$B228</f>
        <v>-3.58850788992992E-3</v>
      </c>
      <c r="T228">
        <f>Perhitungan!S$4+Perhitungan!S$3*Return!$B228</f>
        <v>-2.5527165095022251E-3</v>
      </c>
      <c r="U228">
        <f>Perhitungan!T$4+Perhitungan!T$3*Return!$B228</f>
        <v>-6.7936541177358537E-3</v>
      </c>
      <c r="V228">
        <f>Perhitungan!U$4+Perhitungan!U$3*Return!$B228</f>
        <v>-5.9256977866635734E-3</v>
      </c>
      <c r="W228">
        <f>Perhitungan!V$4+Perhitungan!V$3*Return!$B228</f>
        <v>-9.9459861002434667E-3</v>
      </c>
      <c r="X228">
        <f>Perhitungan!W$4+Perhitungan!W$3*Return!$B228</f>
        <v>-1.1320876447753016E-2</v>
      </c>
      <c r="Y228">
        <f>Perhitungan!X$4+Perhitungan!X$3*Return!$B228</f>
        <v>-6.7106368402526876E-3</v>
      </c>
      <c r="Z228">
        <f>Perhitungan!Y$4+Perhitungan!Y$3*Return!$B228</f>
        <v>-6.0230508757904942E-3</v>
      </c>
      <c r="AA228">
        <f>Perhitungan!Z$4+Perhitungan!Z$3*Return!$B228</f>
        <v>-5.0806662288790565E-3</v>
      </c>
      <c r="AB228">
        <f>Perhitungan!AA$4+Perhitungan!AA$3*Return!$B228</f>
        <v>-7.6378555153654472E-3</v>
      </c>
      <c r="AC228">
        <f>Perhitungan!AB$4+Perhitungan!AB$3*Return!$B228</f>
        <v>-4.4018564499272604E-3</v>
      </c>
      <c r="AD228">
        <f>Perhitungan!AC$4+Perhitungan!AC$3*Return!$B228</f>
        <v>-6.5784979619670338E-3</v>
      </c>
      <c r="AE228">
        <f>Perhitungan!AD$4+Perhitungan!AD$3*Return!$B228</f>
        <v>-4.9335931599915625E-3</v>
      </c>
      <c r="AF228">
        <f>Perhitungan!AE$4+Perhitungan!AE$3*Return!$B228</f>
        <v>16.860481840708967</v>
      </c>
    </row>
    <row r="229" spans="1:32" x14ac:dyDescent="0.3">
      <c r="A229" s="4" t="s">
        <v>135</v>
      </c>
      <c r="C229">
        <f>Perhitungan!B$4+Perhitungan!B$3*Return!$B229</f>
        <v>8.6072781048848381E-3</v>
      </c>
      <c r="D229">
        <f>Perhitungan!C$4+Perhitungan!C$3*Return!$B229</f>
        <v>1.2913430659487144E-2</v>
      </c>
      <c r="E229">
        <f>Perhitungan!D$4+Perhitungan!D$3*Return!$B229</f>
        <v>1.1750741889052755E-2</v>
      </c>
      <c r="F229">
        <f>Perhitungan!E$4+Perhitungan!E$3*Return!$B229</f>
        <v>9.99366752411995E-3</v>
      </c>
      <c r="G229">
        <f>Perhitungan!F$4+Perhitungan!F$3*Return!$B229</f>
        <v>1.2363626704903622E-2</v>
      </c>
      <c r="H229">
        <f>Perhitungan!G$4+Perhitungan!G$3*Return!$B229</f>
        <v>8.4779065531999723E-3</v>
      </c>
      <c r="I229">
        <f>Perhitungan!H$4+Perhitungan!H$3*Return!$B229</f>
        <v>3.1902869887647212E-3</v>
      </c>
      <c r="J229">
        <f>Perhitungan!I$4+Perhitungan!I$3*Return!$B229</f>
        <v>3.3667908419723188E-3</v>
      </c>
      <c r="K229">
        <f>Perhitungan!J$4+Perhitungan!J$3*Return!$B229</f>
        <v>1.2549939231540838E-2</v>
      </c>
      <c r="L229">
        <f>Perhitungan!K$4+Perhitungan!K$3*Return!$B229</f>
        <v>3.848807279530307E-3</v>
      </c>
      <c r="M229">
        <f>Perhitungan!L$4+Perhitungan!L$3*Return!$B229</f>
        <v>1.6688920735547938E-2</v>
      </c>
      <c r="N229">
        <f>Perhitungan!M$4+Perhitungan!M$3*Return!$B229</f>
        <v>1.4568113523199342E-2</v>
      </c>
      <c r="O229">
        <f>Perhitungan!N$4+Perhitungan!N$3*Return!$B229</f>
        <v>5.7949112650840934E-3</v>
      </c>
      <c r="P229">
        <f>Perhitungan!O$4+Perhitungan!O$3*Return!$B229</f>
        <v>8.6109533128184666E-3</v>
      </c>
      <c r="Q229">
        <f>Perhitungan!P$4+Perhitungan!P$3*Return!$B229</f>
        <v>1.4691526583029061E-2</v>
      </c>
      <c r="R229">
        <f>Perhitungan!Q$4+Perhitungan!Q$3*Return!$B229</f>
        <v>6.1436749102972109E-3</v>
      </c>
      <c r="S229">
        <f>Perhitungan!R$4+Perhitungan!R$3*Return!$B229</f>
        <v>6.3945055145837332E-3</v>
      </c>
      <c r="T229">
        <f>Perhitungan!S$4+Perhitungan!S$3*Return!$B229</f>
        <v>7.9348808680841619E-3</v>
      </c>
      <c r="U229">
        <f>Perhitungan!T$4+Perhitungan!T$3*Return!$B229</f>
        <v>1.3312966902907036E-2</v>
      </c>
      <c r="V229">
        <f>Perhitungan!U$4+Perhitungan!U$3*Return!$B229</f>
        <v>1.0918938686767509E-2</v>
      </c>
      <c r="W229">
        <f>Perhitungan!V$4+Perhitungan!V$3*Return!$B229</f>
        <v>2.4877601533619793E-2</v>
      </c>
      <c r="X229">
        <f>Perhitungan!W$4+Perhitungan!W$3*Return!$B229</f>
        <v>8.1640413591058184E-3</v>
      </c>
      <c r="Y229">
        <f>Perhitungan!X$4+Perhitungan!X$3*Return!$B229</f>
        <v>7.8984535208939718E-3</v>
      </c>
      <c r="Z229">
        <f>Perhitungan!Y$4+Perhitungan!Y$3*Return!$B229</f>
        <v>8.2241638141533728E-3</v>
      </c>
      <c r="AA229">
        <f>Perhitungan!Z$4+Perhitungan!Z$3*Return!$B229</f>
        <v>1.6253954667684898E-2</v>
      </c>
      <c r="AB229">
        <f>Perhitungan!AA$4+Perhitungan!AA$3*Return!$B229</f>
        <v>1.1684901764201326E-2</v>
      </c>
      <c r="AC229">
        <f>Perhitungan!AB$4+Perhitungan!AB$3*Return!$B229</f>
        <v>1.1423668826561359E-2</v>
      </c>
      <c r="AD229">
        <f>Perhitungan!AC$4+Perhitungan!AC$3*Return!$B229</f>
        <v>1.1029600940730556E-2</v>
      </c>
      <c r="AE229">
        <f>Perhitungan!AD$4+Perhitungan!AD$3*Return!$B229</f>
        <v>9.0671935320587298E-3</v>
      </c>
      <c r="AF229">
        <f>Perhitungan!AE$4+Perhitungan!AE$3*Return!$B229</f>
        <v>16.3445380719191</v>
      </c>
    </row>
    <row r="230" spans="1:32" x14ac:dyDescent="0.3">
      <c r="A230" s="3" t="s">
        <v>136</v>
      </c>
      <c r="C230">
        <f>Perhitungan!B$4+Perhitungan!B$3*Return!$B230</f>
        <v>-5.3757761120374198E-3</v>
      </c>
      <c r="D230">
        <f>Perhitungan!C$4+Perhitungan!C$3*Return!$B230</f>
        <v>-3.0946293649163877E-3</v>
      </c>
      <c r="E230">
        <f>Perhitungan!D$4+Perhitungan!D$3*Return!$B230</f>
        <v>-4.1803804462757976E-3</v>
      </c>
      <c r="F230">
        <f>Perhitungan!E$4+Perhitungan!E$3*Return!$B230</f>
        <v>-3.7945540830935103E-3</v>
      </c>
      <c r="G230">
        <f>Perhitungan!F$4+Perhitungan!F$3*Return!$B230</f>
        <v>-2.3009949528471287E-3</v>
      </c>
      <c r="H230">
        <f>Perhitungan!G$4+Perhitungan!G$3*Return!$B230</f>
        <v>-2.4740054829970569E-3</v>
      </c>
      <c r="I230">
        <f>Perhitungan!H$4+Perhitungan!H$3*Return!$B230</f>
        <v>-3.7088380157174732E-3</v>
      </c>
      <c r="J230">
        <f>Perhitungan!I$4+Perhitungan!I$3*Return!$B230</f>
        <v>-1.3094368690432963E-3</v>
      </c>
      <c r="K230">
        <f>Perhitungan!J$4+Perhitungan!J$3*Return!$B230</f>
        <v>-2.7740598586709665E-3</v>
      </c>
      <c r="L230">
        <f>Perhitungan!K$4+Perhitungan!K$3*Return!$B230</f>
        <v>-2.064793651716368E-3</v>
      </c>
      <c r="M230">
        <f>Perhitungan!L$4+Perhitungan!L$3*Return!$B230</f>
        <v>8.9458350480000996E-4</v>
      </c>
      <c r="N230">
        <f>Perhitungan!M$4+Perhitungan!M$3*Return!$B230</f>
        <v>-8.3351488594135999E-3</v>
      </c>
      <c r="O230">
        <f>Perhitungan!N$4+Perhitungan!N$3*Return!$B230</f>
        <v>-2.5591682088717104E-3</v>
      </c>
      <c r="P230">
        <f>Perhitungan!O$4+Perhitungan!O$3*Return!$B230</f>
        <v>-5.7064456462471392E-3</v>
      </c>
      <c r="Q230">
        <f>Perhitungan!P$4+Perhitungan!P$3*Return!$B230</f>
        <v>-2.62006203393965E-3</v>
      </c>
      <c r="R230">
        <f>Perhitungan!Q$4+Perhitungan!Q$3*Return!$B230</f>
        <v>-3.387645154096874E-3</v>
      </c>
      <c r="S230">
        <f>Perhitungan!R$4+Perhitungan!R$3*Return!$B230</f>
        <v>-2.4613381080233259E-3</v>
      </c>
      <c r="T230">
        <f>Perhitungan!S$4+Perhitungan!S$3*Return!$B230</f>
        <v>-1.3685747709492738E-3</v>
      </c>
      <c r="U230">
        <f>Perhitungan!T$4+Perhitungan!T$3*Return!$B230</f>
        <v>-4.5234402341734394E-3</v>
      </c>
      <c r="V230">
        <f>Perhitungan!U$4+Perhitungan!U$3*Return!$B230</f>
        <v>-4.0237905718071235E-3</v>
      </c>
      <c r="W230">
        <f>Perhitungan!V$4+Perhitungan!V$3*Return!$B230</f>
        <v>-6.0140975924388371E-3</v>
      </c>
      <c r="X230">
        <f>Perhitungan!W$4+Perhitungan!W$3*Return!$B230</f>
        <v>-9.1208583104544251E-3</v>
      </c>
      <c r="Y230">
        <f>Perhitungan!X$4+Perhitungan!X$3*Return!$B230</f>
        <v>-5.0611423911335312E-3</v>
      </c>
      <c r="Z230">
        <f>Perhitungan!Y$4+Perhitungan!Y$3*Return!$B230</f>
        <v>-4.4144153642344712E-3</v>
      </c>
      <c r="AA230">
        <f>Perhitungan!Z$4+Perhitungan!Z$3*Return!$B230</f>
        <v>-2.6718003876124233E-3</v>
      </c>
      <c r="AB230">
        <f>Perhitungan!AA$4+Perhitungan!AA$3*Return!$B230</f>
        <v>-5.4561467240303724E-3</v>
      </c>
      <c r="AC230">
        <f>Perhitungan!AB$4+Perhitungan!AB$3*Return!$B230</f>
        <v>-2.6150158285982547E-3</v>
      </c>
      <c r="AD230">
        <f>Perhitungan!AC$4+Perhitungan!AC$3*Return!$B230</f>
        <v>-4.5903891419418353E-3</v>
      </c>
      <c r="AE230">
        <f>Perhitungan!AD$4+Perhitungan!AD$3*Return!$B230</f>
        <v>-3.3527815310034825E-3</v>
      </c>
      <c r="AF230">
        <f>Perhitungan!AE$4+Perhitungan!AE$3*Return!$B230</f>
        <v>16.802227263480813</v>
      </c>
    </row>
    <row r="231" spans="1:32" x14ac:dyDescent="0.3">
      <c r="A231" s="4" t="s">
        <v>137</v>
      </c>
      <c r="C231">
        <f>Perhitungan!B$4+Perhitungan!B$3*Return!$B231</f>
        <v>-1.8789501027750601E-3</v>
      </c>
      <c r="D231">
        <f>Perhitungan!C$4+Perhitungan!C$3*Return!$B231</f>
        <v>9.0860195942644398E-4</v>
      </c>
      <c r="E231">
        <f>Perhitungan!D$4+Perhitungan!D$3*Return!$B231</f>
        <v>-1.9638939005152487E-4</v>
      </c>
      <c r="F231">
        <f>Perhitungan!E$4+Perhitungan!E$3*Return!$B231</f>
        <v>-3.4645102995454796E-4</v>
      </c>
      <c r="G231">
        <f>Perhitungan!F$4+Perhitungan!F$3*Return!$B231</f>
        <v>1.3662747032167403E-3</v>
      </c>
      <c r="H231">
        <f>Perhitungan!G$4+Perhitungan!G$3*Return!$B231</f>
        <v>2.6480467000802898E-4</v>
      </c>
      <c r="I231">
        <f>Perhitungan!H$4+Perhitungan!H$3*Return!$B231</f>
        <v>-1.9835325579420494E-3</v>
      </c>
      <c r="J231">
        <f>Perhitungan!I$4+Perhitungan!I$3*Return!$B231</f>
        <v>-1.4002463395922619E-4</v>
      </c>
      <c r="K231">
        <f>Perhitungan!J$4+Perhitungan!J$3*Return!$B231</f>
        <v>1.0581042560698954E-3</v>
      </c>
      <c r="L231">
        <f>Perhitungan!K$4+Perhitungan!K$3*Return!$B231</f>
        <v>-5.8594409395980795E-4</v>
      </c>
      <c r="M231">
        <f>Perhitungan!L$4+Perhitungan!L$3*Return!$B231</f>
        <v>4.8443678917260728E-3</v>
      </c>
      <c r="N231">
        <f>Perhitungan!M$4+Perhitungan!M$3*Return!$B231</f>
        <v>-2.6075930369125378E-3</v>
      </c>
      <c r="O231">
        <f>Perhitungan!N$4+Perhitungan!N$3*Return!$B231</f>
        <v>-4.7001358393860757E-4</v>
      </c>
      <c r="P231">
        <f>Perhitungan!O$4+Perhitungan!O$3*Return!$B231</f>
        <v>-2.1260080473957132E-3</v>
      </c>
      <c r="Q231">
        <f>Perhitungan!P$4+Perhitungan!P$3*Return!$B231</f>
        <v>1.7091504827511836E-3</v>
      </c>
      <c r="R231">
        <f>Perhitungan!Q$4+Perhitungan!Q$3*Return!$B231</f>
        <v>-1.0040909329137578E-3</v>
      </c>
      <c r="S231">
        <f>Perhitungan!R$4+Perhitungan!R$3*Return!$B231</f>
        <v>-2.4670432107741351E-4</v>
      </c>
      <c r="T231">
        <f>Perhitungan!S$4+Perhitungan!S$3*Return!$B231</f>
        <v>9.5799603038680702E-4</v>
      </c>
      <c r="U231">
        <f>Perhitungan!T$4+Perhitungan!T$3*Return!$B231</f>
        <v>-6.2983210896308626E-5</v>
      </c>
      <c r="V231">
        <f>Perhitungan!U$4+Perhitungan!U$3*Return!$B231</f>
        <v>-2.8697288447283322E-4</v>
      </c>
      <c r="W231">
        <f>Perhitungan!V$4+Perhitungan!V$3*Return!$B231</f>
        <v>1.7111743902428916E-3</v>
      </c>
      <c r="X231">
        <f>Perhitungan!W$4+Perhitungan!W$3*Return!$B231</f>
        <v>-4.7983200584850155E-3</v>
      </c>
      <c r="Y231">
        <f>Perhitungan!X$4+Perhitungan!X$3*Return!$B231</f>
        <v>-1.8202587221090023E-3</v>
      </c>
      <c r="Z231">
        <f>Perhitungan!Y$4+Perhitungan!Y$3*Return!$B231</f>
        <v>-1.2538102699894858E-3</v>
      </c>
      <c r="AA231">
        <f>Perhitungan!Z$4+Perhitungan!Z$3*Return!$B231</f>
        <v>2.0610763856322429E-3</v>
      </c>
      <c r="AB231">
        <f>Perhitungan!AA$4+Perhitungan!AA$3*Return!$B231</f>
        <v>-1.1695821974380708E-3</v>
      </c>
      <c r="AC231">
        <f>Perhitungan!AB$4+Perhitungan!AB$3*Return!$B231</f>
        <v>8.9572201711394302E-4</v>
      </c>
      <c r="AD231">
        <f>Perhitungan!AC$4+Perhitungan!AC$3*Return!$B231</f>
        <v>-6.8420478921241059E-4</v>
      </c>
      <c r="AE231">
        <f>Perhitungan!AD$4+Perhitungan!AD$3*Return!$B231</f>
        <v>-2.4684407548347317E-4</v>
      </c>
      <c r="AF231">
        <f>Perhitungan!AE$4+Perhitungan!AE$3*Return!$B231</f>
        <v>16.687770189626775</v>
      </c>
    </row>
    <row r="232" spans="1:32" x14ac:dyDescent="0.3">
      <c r="A232" s="3" t="s">
        <v>138</v>
      </c>
      <c r="C232">
        <f>Perhitungan!B$4+Perhitungan!B$3*Return!$B232</f>
        <v>1.1269903946513175E-2</v>
      </c>
      <c r="D232">
        <f>Perhitungan!C$4+Perhitungan!C$3*Return!$B232</f>
        <v>1.5961654147295092E-2</v>
      </c>
      <c r="E232">
        <f>Perhitungan!D$4+Perhitungan!D$3*Return!$B232</f>
        <v>1.4784315052550415E-2</v>
      </c>
      <c r="F232">
        <f>Perhitungan!E$4+Perhitungan!E$3*Return!$B232</f>
        <v>1.2619193721181742E-2</v>
      </c>
      <c r="G232">
        <f>Perhitungan!F$4+Perhitungan!F$3*Return!$B232</f>
        <v>1.5156035285882722E-2</v>
      </c>
      <c r="H232">
        <f>Perhitungan!G$4+Perhitungan!G$3*Return!$B232</f>
        <v>1.0563348227847005E-2</v>
      </c>
      <c r="I232">
        <f>Perhitungan!H$4+Perhitungan!H$3*Return!$B232</f>
        <v>4.5040048816215924E-3</v>
      </c>
      <c r="J232">
        <f>Perhitungan!I$4+Perhitungan!I$3*Return!$B232</f>
        <v>4.2572289788437665E-3</v>
      </c>
      <c r="K232">
        <f>Perhitungan!J$4+Perhitungan!J$3*Return!$B232</f>
        <v>1.5467905173867549E-2</v>
      </c>
      <c r="L232">
        <f>Perhitungan!K$4+Perhitungan!K$3*Return!$B232</f>
        <v>4.9748636054479578E-3</v>
      </c>
      <c r="M232">
        <f>Perhitungan!L$4+Perhitungan!L$3*Return!$B232</f>
        <v>1.969644754689991E-2</v>
      </c>
      <c r="N232">
        <f>Perhitungan!M$4+Perhitungan!M$3*Return!$B232</f>
        <v>1.8929307961231209E-2</v>
      </c>
      <c r="O232">
        <f>Perhitungan!N$4+Perhitungan!N$3*Return!$B232</f>
        <v>7.3856787430112121E-3</v>
      </c>
      <c r="P232">
        <f>Perhitungan!O$4+Perhitungan!O$3*Return!$B232</f>
        <v>1.1337244426470569E-2</v>
      </c>
      <c r="Q232">
        <f>Perhitungan!P$4+Perhitungan!P$3*Return!$B232</f>
        <v>1.7987965436523361E-2</v>
      </c>
      <c r="R232">
        <f>Perhitungan!Q$4+Perhitungan!Q$3*Return!$B232</f>
        <v>7.9586102394882778E-3</v>
      </c>
      <c r="S232">
        <f>Perhitungan!R$4+Perhitungan!R$3*Return!$B232</f>
        <v>8.0808179405512173E-3</v>
      </c>
      <c r="T232">
        <f>Perhitungan!S$4+Perhitungan!S$3*Return!$B232</f>
        <v>9.7064266989624216E-3</v>
      </c>
      <c r="U232">
        <f>Perhitungan!T$4+Perhitungan!T$3*Return!$B232</f>
        <v>1.670934067277487E-2</v>
      </c>
      <c r="V232">
        <f>Perhitungan!U$4+Perhitungan!U$3*Return!$B232</f>
        <v>1.3764303973286002E-2</v>
      </c>
      <c r="W232">
        <f>Perhitungan!V$4+Perhitungan!V$3*Return!$B232</f>
        <v>3.0759938475810062E-2</v>
      </c>
      <c r="X232">
        <f>Perhitungan!W$4+Perhitungan!W$3*Return!$B232</f>
        <v>1.1455398155421966E-2</v>
      </c>
      <c r="Y232">
        <f>Perhitungan!X$4+Perhitungan!X$3*Return!$B232</f>
        <v>1.0366194433366843E-2</v>
      </c>
      <c r="Z232">
        <f>Perhitungan!Y$4+Perhitungan!Y$3*Return!$B232</f>
        <v>1.0630777347920263E-2</v>
      </c>
      <c r="AA232">
        <f>Perhitungan!Z$4+Perhitungan!Z$3*Return!$B232</f>
        <v>1.9857759938036935E-2</v>
      </c>
      <c r="AB232">
        <f>Perhitungan!AA$4+Perhitungan!AA$3*Return!$B232</f>
        <v>1.4948866699854395E-2</v>
      </c>
      <c r="AC232">
        <f>Perhitungan!AB$4+Perhitungan!AB$3*Return!$B232</f>
        <v>1.4096887707459515E-2</v>
      </c>
      <c r="AD232">
        <f>Perhitungan!AC$4+Perhitungan!AC$3*Return!$B232</f>
        <v>1.4003928909063075E-2</v>
      </c>
      <c r="AE232">
        <f>Perhitungan!AD$4+Perhitungan!AD$3*Return!$B232</f>
        <v>1.143218089764214E-2</v>
      </c>
      <c r="AF232">
        <f>Perhitungan!AE$4+Perhitungan!AE$3*Return!$B232</f>
        <v>16.257385791023886</v>
      </c>
    </row>
    <row r="233" spans="1:32" x14ac:dyDescent="0.3">
      <c r="A233" s="4" t="s">
        <v>139</v>
      </c>
      <c r="C233">
        <f>Perhitungan!B$4+Perhitungan!B$3*Return!$B233</f>
        <v>-1.3430133478811782E-2</v>
      </c>
      <c r="D233">
        <f>Perhitungan!C$4+Perhitungan!C$3*Return!$B233</f>
        <v>-1.2315407185350236E-2</v>
      </c>
      <c r="E233">
        <f>Perhitungan!D$4+Perhitungan!D$3*Return!$B233</f>
        <v>-1.3356841507783422E-2</v>
      </c>
      <c r="F233">
        <f>Perhitungan!E$4+Perhitungan!E$3*Return!$B233</f>
        <v>-1.1736686220604524E-2</v>
      </c>
      <c r="G233">
        <f>Perhitungan!F$4+Perhitungan!F$3*Return!$B233</f>
        <v>-1.0747940923858399E-2</v>
      </c>
      <c r="H233">
        <f>Perhitungan!G$4+Perhitungan!G$3*Return!$B233</f>
        <v>-8.7823993446368171E-3</v>
      </c>
      <c r="I233">
        <f>Perhitungan!H$4+Perhitungan!H$3*Return!$B233</f>
        <v>-7.6827923065404379E-3</v>
      </c>
      <c r="J233">
        <f>Perhitungan!I$4+Perhitungan!I$3*Return!$B233</f>
        <v>-4.0029835383648049E-3</v>
      </c>
      <c r="K233">
        <f>Perhitungan!J$4+Perhitungan!J$3*Return!$B233</f>
        <v>-1.160081280162405E-2</v>
      </c>
      <c r="L233">
        <f>Perhitungan!K$4+Perhitungan!K$3*Return!$B233</f>
        <v>-5.4710777500150331E-3</v>
      </c>
      <c r="M233">
        <f>Perhitungan!L$4+Perhitungan!L$3*Return!$B233</f>
        <v>-8.2030881808207168E-3</v>
      </c>
      <c r="N233">
        <f>Perhitungan!M$4+Perhitungan!M$3*Return!$B233</f>
        <v>-2.1527621493276253E-2</v>
      </c>
      <c r="O233">
        <f>Perhitungan!N$4+Perhitungan!N$3*Return!$B233</f>
        <v>-7.3711885665017456E-3</v>
      </c>
      <c r="P233">
        <f>Perhitungan!O$4+Perhitungan!O$3*Return!$B233</f>
        <v>-1.3953388409255292E-2</v>
      </c>
      <c r="Q233">
        <f>Perhitungan!P$4+Perhitungan!P$3*Return!$B233</f>
        <v>-1.2591683336738201E-2</v>
      </c>
      <c r="R233">
        <f>Perhitungan!Q$4+Perhitungan!Q$3*Return!$B233</f>
        <v>-8.8777660379043295E-3</v>
      </c>
      <c r="S233">
        <f>Perhitungan!R$4+Perhitungan!R$3*Return!$B233</f>
        <v>-7.5623788545024313E-3</v>
      </c>
      <c r="T233">
        <f>Perhitungan!S$4+Perhitungan!S$3*Return!$B233</f>
        <v>-6.72744382060391E-3</v>
      </c>
      <c r="U233">
        <f>Perhitungan!T$4+Perhitungan!T$3*Return!$B233</f>
        <v>-1.4797361438560459E-2</v>
      </c>
      <c r="V233">
        <f>Perhitungan!U$4+Perhitungan!U$3*Return!$B233</f>
        <v>-1.2630928870524662E-2</v>
      </c>
      <c r="W233">
        <f>Perhitungan!V$4+Perhitungan!V$3*Return!$B233</f>
        <v>-2.380797728197296E-2</v>
      </c>
      <c r="X233">
        <f>Perhitungan!W$4+Perhitungan!W$3*Return!$B233</f>
        <v>-1.9077106554060322E-2</v>
      </c>
      <c r="Y233">
        <f>Perhitungan!X$4+Perhitungan!X$3*Return!$B233</f>
        <v>-1.2525979127455109E-2</v>
      </c>
      <c r="Z233">
        <f>Perhitungan!Y$4+Perhitungan!Y$3*Return!$B233</f>
        <v>-1.1694343749823963E-2</v>
      </c>
      <c r="AA233">
        <f>Perhitungan!Z$4+Perhitungan!Z$3*Return!$B233</f>
        <v>-1.3573195196403546E-2</v>
      </c>
      <c r="AB233">
        <f>Perhitungan!AA$4+Perhitungan!AA$3*Return!$B233</f>
        <v>-1.5329535471843812E-2</v>
      </c>
      <c r="AC233">
        <f>Perhitungan!AB$4+Perhitungan!AB$3*Return!$B233</f>
        <v>-1.0701416797799021E-2</v>
      </c>
      <c r="AD233">
        <f>Perhitungan!AC$4+Perhitungan!AC$3*Return!$B233</f>
        <v>-1.3587635397274317E-2</v>
      </c>
      <c r="AE233">
        <f>Perhitungan!AD$4+Perhitungan!AD$3*Return!$B233</f>
        <v>-1.0506792099257376E-2</v>
      </c>
      <c r="AF233">
        <f>Perhitungan!AE$4+Perhitungan!AE$3*Return!$B233</f>
        <v>17.065860104672748</v>
      </c>
    </row>
    <row r="234" spans="1:32" x14ac:dyDescent="0.3">
      <c r="A234" s="3" t="s">
        <v>140</v>
      </c>
      <c r="C234">
        <f>Perhitungan!B$4+Perhitungan!B$3*Return!$B234</f>
        <v>2.6553673150236071E-3</v>
      </c>
      <c r="D234">
        <f>Perhitungan!C$4+Perhitungan!C$3*Return!$B234</f>
        <v>6.0995727064308107E-3</v>
      </c>
      <c r="E234">
        <f>Perhitungan!D$4+Perhitungan!D$3*Return!$B234</f>
        <v>4.9696325940970371E-3</v>
      </c>
      <c r="F234">
        <f>Perhitungan!E$4+Perhitungan!E$3*Return!$B234</f>
        <v>4.1246875656745932E-3</v>
      </c>
      <c r="G234">
        <f>Perhitungan!F$4+Perhitungan!F$3*Return!$B234</f>
        <v>6.1216055756162669E-3</v>
      </c>
      <c r="H234">
        <f>Perhitungan!G$4+Perhitungan!G$3*Return!$B234</f>
        <v>3.8162065836063698E-3</v>
      </c>
      <c r="I234">
        <f>Perhitungan!H$4+Perhitungan!H$3*Return!$B234</f>
        <v>2.5366270641840249E-4</v>
      </c>
      <c r="J234">
        <f>Perhitungan!I$4+Perhitungan!I$3*Return!$B234</f>
        <v>1.3763465701222448E-3</v>
      </c>
      <c r="K234">
        <f>Perhitungan!J$4+Perhitungan!J$3*Return!$B234</f>
        <v>6.0272529775980644E-3</v>
      </c>
      <c r="L234">
        <f>Perhitungan!K$4+Perhitungan!K$3*Return!$B234</f>
        <v>1.3316729937299335E-3</v>
      </c>
      <c r="M234">
        <f>Perhitungan!L$4+Perhitungan!L$3*Return!$B234</f>
        <v>9.9660342528059102E-3</v>
      </c>
      <c r="N234">
        <f>Perhitungan!M$4+Perhitungan!M$3*Return!$B234</f>
        <v>4.8193009688487394E-3</v>
      </c>
      <c r="O234">
        <f>Perhitungan!N$4+Perhitungan!N$3*Return!$B234</f>
        <v>2.2389831402956292E-3</v>
      </c>
      <c r="P234">
        <f>Perhitungan!O$4+Perhitungan!O$3*Return!$B234</f>
        <v>2.5167281152874083E-3</v>
      </c>
      <c r="Q234">
        <f>Perhitungan!P$4+Perhitungan!P$3*Return!$B234</f>
        <v>7.3228194693657394E-3</v>
      </c>
      <c r="R234">
        <f>Perhitungan!Q$4+Perhitungan!Q$3*Return!$B234</f>
        <v>2.0866523276175256E-3</v>
      </c>
      <c r="S234">
        <f>Perhitungan!R$4+Perhitungan!R$3*Return!$B234</f>
        <v>2.6250006272372905E-3</v>
      </c>
      <c r="T234">
        <f>Perhitungan!S$4+Perhitungan!S$3*Return!$B234</f>
        <v>3.9748491652859463E-3</v>
      </c>
      <c r="U234">
        <f>Perhitungan!T$4+Perhitungan!T$3*Return!$B234</f>
        <v>5.7208698942955889E-3</v>
      </c>
      <c r="V234">
        <f>Perhitungan!U$4+Perhitungan!U$3*Return!$B234</f>
        <v>4.5585405845808506E-3</v>
      </c>
      <c r="W234">
        <f>Perhitungan!V$4+Perhitungan!V$3*Return!$B234</f>
        <v>1.1728497304085834E-2</v>
      </c>
      <c r="X234">
        <f>Perhitungan!W$4+Perhitungan!W$3*Return!$B234</f>
        <v>8.0669444126139477E-4</v>
      </c>
      <c r="Y234">
        <f>Perhitungan!X$4+Perhitungan!X$3*Return!$B234</f>
        <v>2.3821794977488572E-3</v>
      </c>
      <c r="Z234">
        <f>Perhitungan!Y$4+Perhitungan!Y$3*Return!$B234</f>
        <v>2.8445311092092289E-3</v>
      </c>
      <c r="AA234">
        <f>Perhitungan!Z$4+Perhitungan!Z$3*Return!$B234</f>
        <v>8.1981748664757374E-3</v>
      </c>
      <c r="AB234">
        <f>Perhitungan!AA$4+Perhitungan!AA$3*Return!$B234</f>
        <v>4.3887853461462463E-3</v>
      </c>
      <c r="AC234">
        <f>Perhitungan!AB$4+Perhitungan!AB$3*Return!$B234</f>
        <v>5.4480788461275182E-3</v>
      </c>
      <c r="AD234">
        <f>Perhitungan!AC$4+Perhitungan!AC$3*Return!$B234</f>
        <v>4.3809256178477599E-3</v>
      </c>
      <c r="AE234">
        <f>Perhitungan!AD$4+Perhitungan!AD$3*Return!$B234</f>
        <v>3.7806100402929263E-3</v>
      </c>
      <c r="AF234">
        <f>Perhitungan!AE$4+Perhitungan!AE$3*Return!$B234</f>
        <v>16.53935425409211</v>
      </c>
    </row>
    <row r="235" spans="1:32" x14ac:dyDescent="0.3">
      <c r="A235" s="4" t="s">
        <v>141</v>
      </c>
      <c r="C235">
        <f>Perhitungan!B$4+Perhitungan!B$3*Return!$B235</f>
        <v>-1.0615819479969677E-2</v>
      </c>
      <c r="D235">
        <f>Perhitungan!C$4+Perhitungan!C$3*Return!$B235</f>
        <v>-9.0935282794913086E-3</v>
      </c>
      <c r="E235">
        <f>Perhitungan!D$4+Perhitungan!D$3*Return!$B235</f>
        <v>-1.0150447546203711E-2</v>
      </c>
      <c r="F235">
        <f>Perhitungan!E$4+Perhitungan!E$3*Return!$B235</f>
        <v>-8.9615854102710387E-3</v>
      </c>
      <c r="G235">
        <f>Perhitungan!F$4+Perhitungan!F$3*Return!$B235</f>
        <v>-7.7964505427952149E-3</v>
      </c>
      <c r="H235">
        <f>Perhitungan!G$4+Perhitungan!G$3*Return!$B235</f>
        <v>-6.5781513399158038E-3</v>
      </c>
      <c r="I235">
        <f>Perhitungan!H$4+Perhitungan!H$3*Return!$B235</f>
        <v>-6.2942327130019772E-3</v>
      </c>
      <c r="J235">
        <f>Perhitungan!I$4+Perhitungan!I$3*Return!$B235</f>
        <v>-3.0618176882776359E-3</v>
      </c>
      <c r="K235">
        <f>Perhitungan!J$4+Perhitungan!J$3*Return!$B235</f>
        <v>-8.516612133530015E-3</v>
      </c>
      <c r="L235">
        <f>Perhitungan!K$4+Perhitungan!K$3*Return!$B235</f>
        <v>-4.2808706875098884E-3</v>
      </c>
      <c r="M235">
        <f>Perhitungan!L$4+Perhitungan!L$3*Return!$B235</f>
        <v>-5.0242244160551208E-3</v>
      </c>
      <c r="N235">
        <f>Perhitungan!M$4+Perhitungan!M$3*Return!$B235</f>
        <v>-1.6917972489374399E-2</v>
      </c>
      <c r="O235">
        <f>Perhitungan!N$4+Perhitungan!N$3*Return!$B235</f>
        <v>-5.6897960433618189E-3</v>
      </c>
      <c r="P235">
        <f>Perhitungan!O$4+Perhitungan!O$3*Return!$B235</f>
        <v>-1.107178216698367E-2</v>
      </c>
      <c r="Q235">
        <f>Perhitungan!P$4+Perhitungan!P$3*Return!$B235</f>
        <v>-9.1074483884127106E-3</v>
      </c>
      <c r="R235">
        <f>Perhitungan!Q$4+Perhitungan!Q$3*Return!$B235</f>
        <v>-6.9594349588324618E-3</v>
      </c>
      <c r="S235">
        <f>Perhitungan!R$4+Perhitungan!R$3*Return!$B235</f>
        <v>-5.7799982463733633E-3</v>
      </c>
      <c r="T235">
        <f>Perhitungan!S$4+Perhitungan!S$3*Return!$B235</f>
        <v>-4.8549741128878447E-3</v>
      </c>
      <c r="U235">
        <f>Perhitungan!T$4+Perhitungan!T$3*Return!$B235</f>
        <v>-1.1207498343115673E-2</v>
      </c>
      <c r="V235">
        <f>Perhitungan!U$4+Perhitungan!U$3*Return!$B235</f>
        <v>-9.6234648729653163E-3</v>
      </c>
      <c r="W235">
        <f>Perhitungan!V$4+Perhitungan!V$3*Return!$B235</f>
        <v>-1.7590527220650024E-2</v>
      </c>
      <c r="X235">
        <f>Perhitungan!W$4+Perhitungan!W$3*Return!$B235</f>
        <v>-1.5598243184585976E-2</v>
      </c>
      <c r="Y235">
        <f>Perhitungan!X$4+Perhitungan!X$3*Return!$B235</f>
        <v>-9.9176525323670956E-3</v>
      </c>
      <c r="Z235">
        <f>Perhitungan!Y$4+Perhitungan!Y$3*Return!$B235</f>
        <v>-9.1506269226256671E-3</v>
      </c>
      <c r="AA235">
        <f>Perhitungan!Z$4+Perhitungan!Z$3*Return!$B235</f>
        <v>-9.7640833554209633E-3</v>
      </c>
      <c r="AB235">
        <f>Perhitungan!AA$4+Perhitungan!AA$3*Return!$B235</f>
        <v>-1.1879624460493983E-2</v>
      </c>
      <c r="AC235">
        <f>Perhitungan!AB$4+Perhitungan!AB$3*Return!$B235</f>
        <v>-7.8759062807525013E-3</v>
      </c>
      <c r="AD235">
        <f>Perhitungan!AC$4+Perhitungan!AC$3*Return!$B235</f>
        <v>-1.0443861793204327E-2</v>
      </c>
      <c r="AE235">
        <f>Perhitungan!AD$4+Perhitungan!AD$3*Return!$B235</f>
        <v>-8.0070728574521809E-3</v>
      </c>
      <c r="AF235">
        <f>Perhitungan!AE$4+Perhitungan!AE$3*Return!$B235</f>
        <v>16.973742811916203</v>
      </c>
    </row>
    <row r="236" spans="1:32" x14ac:dyDescent="0.3">
      <c r="A236" s="3" t="s">
        <v>142</v>
      </c>
      <c r="C236">
        <f>Perhitungan!B$4+Perhitungan!B$3*Return!$B236</f>
        <v>-1.6151435393038638E-3</v>
      </c>
      <c r="D236">
        <f>Perhitungan!C$4+Perhitungan!C$3*Return!$B236</f>
        <v>1.2106126101301957E-3</v>
      </c>
      <c r="E236">
        <f>Perhitungan!D$4+Perhitungan!D$3*Return!$B236</f>
        <v>1.041697417607587E-4</v>
      </c>
      <c r="F236">
        <f>Perhitungan!E$4+Perhitungan!E$3*Return!$B236</f>
        <v>-8.6320210024215643E-5</v>
      </c>
      <c r="G236">
        <f>Perhitungan!F$4+Perhitungan!F$3*Return!$B236</f>
        <v>1.6429398283118503E-3</v>
      </c>
      <c r="H236">
        <f>Perhitungan!G$4+Perhitungan!G$3*Return!$B236</f>
        <v>4.7142521462491851E-4</v>
      </c>
      <c r="I236">
        <f>Perhitungan!H$4+Perhitungan!H$3*Return!$B236</f>
        <v>-1.8533725492518129E-3</v>
      </c>
      <c r="J236">
        <f>Perhitungan!I$4+Perhitungan!I$3*Return!$B236</f>
        <v>-5.1802165297202083E-5</v>
      </c>
      <c r="K236">
        <f>Perhitungan!J$4+Perhitungan!J$3*Return!$B236</f>
        <v>1.3472093025004674E-3</v>
      </c>
      <c r="L236">
        <f>Perhitungan!K$4+Perhitungan!K$3*Return!$B236</f>
        <v>-4.7437714190406278E-4</v>
      </c>
      <c r="M236">
        <f>Perhitungan!L$4+Perhitungan!L$3*Return!$B236</f>
        <v>5.1423464136219768E-3</v>
      </c>
      <c r="N236">
        <f>Perhitungan!M$4+Perhitungan!M$3*Return!$B236</f>
        <v>-2.1754963827978597E-3</v>
      </c>
      <c r="O236">
        <f>Perhitungan!N$4+Perhitungan!N$3*Return!$B236</f>
        <v>-3.1240416879935764E-4</v>
      </c>
      <c r="P236">
        <f>Perhitungan!O$4+Perhitungan!O$3*Return!$B236</f>
        <v>-1.8558936819185177E-3</v>
      </c>
      <c r="Q236">
        <f>Perhitungan!P$4+Perhitungan!P$3*Return!$B236</f>
        <v>2.0357537148077919E-3</v>
      </c>
      <c r="R236">
        <f>Perhitungan!Q$4+Perhitungan!Q$3*Return!$B236</f>
        <v>-8.2427150630459006E-4</v>
      </c>
      <c r="S236">
        <f>Perhitungan!R$4+Perhitungan!R$3*Return!$B236</f>
        <v>-7.962854231865143E-5</v>
      </c>
      <c r="T236">
        <f>Perhitungan!S$4+Perhitungan!S$3*Return!$B236</f>
        <v>1.1335165298761052E-3</v>
      </c>
      <c r="U236">
        <f>Perhitungan!T$4+Perhitungan!T$3*Return!$B236</f>
        <v>2.7352133228224115E-4</v>
      </c>
      <c r="V236">
        <f>Perhitungan!U$4+Perhitungan!U$3*Return!$B236</f>
        <v>-5.0609363796560364E-6</v>
      </c>
      <c r="W236">
        <f>Perhitungan!V$4+Perhitungan!V$3*Return!$B236</f>
        <v>2.2939821845779276E-3</v>
      </c>
      <c r="X236">
        <f>Perhitungan!W$4+Perhitungan!W$3*Return!$B236</f>
        <v>-4.4722203444287857E-3</v>
      </c>
      <c r="Y236">
        <f>Perhitungan!X$4+Perhitungan!X$3*Return!$B236</f>
        <v>-1.575760888624964E-3</v>
      </c>
      <c r="Z236">
        <f>Perhitungan!Y$4+Perhitungan!Y$3*Return!$B236</f>
        <v>-1.0153687901463951E-3</v>
      </c>
      <c r="AA236">
        <f>Perhitungan!Z$4+Perhitungan!Z$3*Return!$B236</f>
        <v>2.4181327429045624E-3</v>
      </c>
      <c r="AB236">
        <f>Perhitungan!AA$4+Perhitungan!AA$3*Return!$B236</f>
        <v>-8.4619640304551744E-4</v>
      </c>
      <c r="AC236">
        <f>Perhitungan!AB$4+Perhitungan!AB$3*Return!$B236</f>
        <v>1.160578113434553E-3</v>
      </c>
      <c r="AD236">
        <f>Perhitungan!AC$4+Perhitungan!AC$3*Return!$B236</f>
        <v>-3.8951552882342033E-4</v>
      </c>
      <c r="AE236">
        <f>Perhitungan!AD$4+Perhitungan!AD$3*Return!$B236</f>
        <v>-1.2526816252709482E-5</v>
      </c>
      <c r="AF236">
        <f>Perhitungan!AE$4+Perhitungan!AE$3*Return!$B236</f>
        <v>16.679135351279538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C5607-36AC-4CCC-A3B8-7F5E9BFB09E4}">
  <dimension ref="A1:AF237"/>
  <sheetViews>
    <sheetView topLeftCell="A211" workbookViewId="0">
      <selection activeCell="S16" sqref="S16"/>
    </sheetView>
  </sheetViews>
  <sheetFormatPr defaultRowHeight="14.4" x14ac:dyDescent="0.3"/>
  <cols>
    <col min="1" max="1" width="10.5546875" bestFit="1" customWidth="1"/>
    <col min="2" max="2" width="12.6640625" bestFit="1" customWidth="1"/>
  </cols>
  <sheetData>
    <row r="1" spans="1:32" x14ac:dyDescent="0.3">
      <c r="A1" t="s">
        <v>0</v>
      </c>
      <c r="B1" t="s">
        <v>180</v>
      </c>
      <c r="C1" t="s">
        <v>144</v>
      </c>
      <c r="D1" t="s">
        <v>145</v>
      </c>
      <c r="E1" t="s">
        <v>146</v>
      </c>
      <c r="F1" t="s">
        <v>147</v>
      </c>
      <c r="G1" t="s">
        <v>148</v>
      </c>
      <c r="H1" t="s">
        <v>149</v>
      </c>
      <c r="I1" t="s">
        <v>150</v>
      </c>
      <c r="J1" t="s">
        <v>151</v>
      </c>
      <c r="K1" t="s">
        <v>152</v>
      </c>
      <c r="L1" t="s">
        <v>153</v>
      </c>
      <c r="M1" t="s">
        <v>154</v>
      </c>
      <c r="N1" t="s">
        <v>155</v>
      </c>
      <c r="O1" t="s">
        <v>156</v>
      </c>
      <c r="P1" t="s">
        <v>157</v>
      </c>
      <c r="Q1" t="s">
        <v>158</v>
      </c>
      <c r="R1" t="s">
        <v>159</v>
      </c>
      <c r="S1" t="s">
        <v>160</v>
      </c>
      <c r="T1" t="s">
        <v>161</v>
      </c>
      <c r="U1" t="s">
        <v>162</v>
      </c>
      <c r="V1" t="s">
        <v>163</v>
      </c>
      <c r="W1" t="s">
        <v>164</v>
      </c>
      <c r="X1" t="s">
        <v>165</v>
      </c>
      <c r="Y1" t="s">
        <v>166</v>
      </c>
      <c r="Z1" t="s">
        <v>167</v>
      </c>
      <c r="AA1" t="s">
        <v>168</v>
      </c>
      <c r="AB1" t="s">
        <v>169</v>
      </c>
      <c r="AC1" t="s">
        <v>170</v>
      </c>
      <c r="AD1" t="s">
        <v>171</v>
      </c>
      <c r="AE1" t="s">
        <v>172</v>
      </c>
      <c r="AF1" t="s">
        <v>173</v>
      </c>
    </row>
    <row r="2" spans="1:32" x14ac:dyDescent="0.3">
      <c r="A2" s="1">
        <v>45719</v>
      </c>
    </row>
    <row r="3" spans="1:32" x14ac:dyDescent="0.3">
      <c r="A3" s="2">
        <v>45750</v>
      </c>
      <c r="B3">
        <f>('Data Saham'!B3-'Data Saham'!B2)/'Data Saham'!B2</f>
        <v>-2.1360009571051285E-2</v>
      </c>
      <c r="C3">
        <f>Return!C3-'Return Estimasi'!C3</f>
        <v>2.5668908536461144E-2</v>
      </c>
      <c r="D3">
        <f>Return!D3-'Return Estimasi'!D3</f>
        <v>1.9821933128638336E-2</v>
      </c>
      <c r="E3">
        <f>Return!E3-'Return Estimasi'!E3</f>
        <v>8.5823917436674193E-3</v>
      </c>
      <c r="F3">
        <f>Return!F3-'Return Estimasi'!F3</f>
        <v>8.8126105058307612E-3</v>
      </c>
      <c r="G3">
        <f>Return!G3-'Return Estimasi'!G3</f>
        <v>9.2911661962897987E-3</v>
      </c>
      <c r="H3">
        <f>Return!H3-'Return Estimasi'!H3</f>
        <v>1.6054740160029318E-2</v>
      </c>
      <c r="I3">
        <f>Return!I3-'Return Estimasi'!I3</f>
        <v>1.0917941397259996E-2</v>
      </c>
      <c r="J3">
        <f>Return!J3-'Return Estimasi'!J3</f>
        <v>2.7944074149919766E-3</v>
      </c>
      <c r="K3">
        <f>Return!K3-'Return Estimasi'!K3</f>
        <v>-4.950611516487647E-2</v>
      </c>
      <c r="L3">
        <f>Return!L3-'Return Estimasi'!L3</f>
        <v>-3.1298050335655227E-2</v>
      </c>
      <c r="M3">
        <f>Return!M3-'Return Estimasi'!M3</f>
        <v>-1.2781772313675492E-2</v>
      </c>
      <c r="N3">
        <f>Return!N3-'Return Estimasi'!N3</f>
        <v>-3.7981166569762206E-3</v>
      </c>
      <c r="O3">
        <f>Return!O3-'Return Estimasi'!O3</f>
        <v>1.1288597309843613E-2</v>
      </c>
      <c r="P3">
        <f>Return!P3-'Return Estimasi'!P3</f>
        <v>-1.5368909262307284E-2</v>
      </c>
      <c r="Q3">
        <f>Return!Q3-'Return Estimasi'!Q3</f>
        <v>2.0709462060375175E-2</v>
      </c>
      <c r="R3">
        <f>Return!R3-'Return Estimasi'!R3</f>
        <v>1.3347208383078348E-2</v>
      </c>
      <c r="S3">
        <f>Return!S3-'Return Estimasi'!S3</f>
        <v>-2.4484019351551985E-2</v>
      </c>
      <c r="T3">
        <f>Return!T3-'Return Estimasi'!T3</f>
        <v>1.1090035603129201E-2</v>
      </c>
      <c r="U3">
        <f>Return!U3-'Return Estimasi'!U3</f>
        <v>-3.2394316626191369E-2</v>
      </c>
      <c r="V3">
        <f>Return!V3-'Return Estimasi'!V3</f>
        <v>8.4896261339136199E-3</v>
      </c>
      <c r="W3">
        <f>Return!W3-'Return Estimasi'!W3</f>
        <v>1.390351995008058E-2</v>
      </c>
      <c r="X3">
        <f>Return!X3-'Return Estimasi'!X3</f>
        <v>6.9394552726457469E-3</v>
      </c>
      <c r="Y3">
        <f>Return!Y3-'Return Estimasi'!Y3</f>
        <v>3.1314878651535913E-2</v>
      </c>
      <c r="Z3">
        <f>Return!Z3-'Return Estimasi'!Z3</f>
        <v>1.0158160603076841E-2</v>
      </c>
      <c r="AA3">
        <f>Return!AA3-'Return Estimasi'!AA3</f>
        <v>-5.7211225724767903E-3</v>
      </c>
      <c r="AB3">
        <f>Return!AB3-'Return Estimasi'!AB3</f>
        <v>-1.4132655763326497E-2</v>
      </c>
      <c r="AC3">
        <f>Return!AC3-'Return Estimasi'!AC3</f>
        <v>-2.588100763529947E-2</v>
      </c>
      <c r="AD3">
        <f>Return!AD3-'Return Estimasi'!AD3</f>
        <v>-1.5357243109208975E-2</v>
      </c>
      <c r="AE3">
        <f>Return!AE3-'Return Estimasi'!AE3</f>
        <v>1.6330787316900342E-2</v>
      </c>
      <c r="AF3">
        <f>Return!AF3-'Return Estimasi'!AF3</f>
        <v>-17.292675598185731</v>
      </c>
    </row>
    <row r="4" spans="1:32" x14ac:dyDescent="0.3">
      <c r="A4" s="1">
        <v>45780</v>
      </c>
      <c r="B4">
        <f>('Data Saham'!B4-'Data Saham'!B3)/'Data Saham'!B3</f>
        <v>2.3666227822707043E-2</v>
      </c>
      <c r="C4">
        <f>Return!C4-'Return Estimasi'!C4</f>
        <v>-1.7406799885462745E-3</v>
      </c>
      <c r="D4">
        <f>Return!D4-'Return Estimasi'!D4</f>
        <v>2.1865399764307125E-2</v>
      </c>
      <c r="E4">
        <f>Return!E4-'Return Estimasi'!E4</f>
        <v>-1.9105729622483126E-2</v>
      </c>
      <c r="F4">
        <f>Return!F4-'Return Estimasi'!F4</f>
        <v>3.6936301037461004E-2</v>
      </c>
      <c r="G4">
        <f>Return!G4-'Return Estimasi'!G4</f>
        <v>6.4741358046246922E-3</v>
      </c>
      <c r="H4">
        <f>Return!H4-'Return Estimasi'!H4</f>
        <v>2.8401279357210714E-2</v>
      </c>
      <c r="I4">
        <f>Return!I4-'Return Estimasi'!I4</f>
        <v>-2.4713400538078217E-2</v>
      </c>
      <c r="J4">
        <f>Return!J4-'Return Estimasi'!J4</f>
        <v>6.9132678261956846E-3</v>
      </c>
      <c r="K4">
        <f>Return!K4-'Return Estimasi'!K4</f>
        <v>-2.8834991070786548E-2</v>
      </c>
      <c r="L4">
        <f>Return!L4-'Return Estimasi'!L4</f>
        <v>-1.6122984691299526E-3</v>
      </c>
      <c r="M4">
        <f>Return!M4-'Return Estimasi'!M4</f>
        <v>2.3870541689663186E-2</v>
      </c>
      <c r="N4">
        <f>Return!N4-'Return Estimasi'!N4</f>
        <v>-2.427990964424289E-2</v>
      </c>
      <c r="O4">
        <f>Return!O4-'Return Estimasi'!O4</f>
        <v>-1.1818663992413152E-2</v>
      </c>
      <c r="P4">
        <f>Return!P4-'Return Estimasi'!P4</f>
        <v>-2.4299997998409456E-4</v>
      </c>
      <c r="Q4">
        <f>Return!Q4-'Return Estimasi'!Q4</f>
        <v>-4.6516156362000141E-3</v>
      </c>
      <c r="R4">
        <f>Return!R4-'Return Estimasi'!R4</f>
        <v>-3.1034301144688033E-2</v>
      </c>
      <c r="S4">
        <f>Return!S4-'Return Estimasi'!S4</f>
        <v>0.11163308763253206</v>
      </c>
      <c r="T4">
        <f>Return!T4-'Return Estimasi'!T4</f>
        <v>2.9911269197564858E-2</v>
      </c>
      <c r="U4">
        <f>Return!U4-'Return Estimasi'!U4</f>
        <v>9.7531964770561017E-4</v>
      </c>
      <c r="V4">
        <f>Return!V4-'Return Estimasi'!V4</f>
        <v>4.5950271129553161E-2</v>
      </c>
      <c r="W4">
        <f>Return!W4-'Return Estimasi'!W4</f>
        <v>-5.3402222865934025E-2</v>
      </c>
      <c r="X4">
        <f>Return!X4-'Return Estimasi'!X4</f>
        <v>-2.4759640134547511E-2</v>
      </c>
      <c r="Y4">
        <f>Return!Y4-'Return Estimasi'!Y4</f>
        <v>-1.7243037979723982E-2</v>
      </c>
      <c r="Z4">
        <f>Return!Z4-'Return Estimasi'!Z4</f>
        <v>5.2191135003520558E-3</v>
      </c>
      <c r="AA4">
        <f>Return!AA4-'Return Estimasi'!AA4</f>
        <v>2.7082262503975545E-3</v>
      </c>
      <c r="AB4">
        <f>Return!AB4-'Return Estimasi'!AB4</f>
        <v>4.0890520447549525E-2</v>
      </c>
      <c r="AC4">
        <f>Return!AC4-'Return Estimasi'!AC4</f>
        <v>-6.5087418862765922E-3</v>
      </c>
      <c r="AD4">
        <f>Return!AD4-'Return Estimasi'!AD4</f>
        <v>-1.6916132453951696E-2</v>
      </c>
      <c r="AE4">
        <f>Return!AE4-'Return Estimasi'!AE4</f>
        <v>1.3556265814885109E-2</v>
      </c>
      <c r="AF4">
        <f>Return!AF4-'Return Estimasi'!AF4</f>
        <v>-15.983654687410905</v>
      </c>
    </row>
    <row r="5" spans="1:32" x14ac:dyDescent="0.3">
      <c r="A5" s="2">
        <v>45811</v>
      </c>
      <c r="B5">
        <f>('Data Saham'!B5-'Data Saham'!B4)/'Data Saham'!B4</f>
        <v>1.3236059650304794E-2</v>
      </c>
      <c r="C5">
        <f>Return!C5-'Return Estimasi'!C5</f>
        <v>-1.2508238319436123E-2</v>
      </c>
      <c r="D5">
        <f>Return!D5-'Return Estimasi'!D5</f>
        <v>1.4446562571440892E-2</v>
      </c>
      <c r="E5">
        <f>Return!E5-'Return Estimasi'!E5</f>
        <v>-1.0972788838035548E-2</v>
      </c>
      <c r="F5">
        <f>Return!F5-'Return Estimasi'!F5</f>
        <v>1.8046781942182136E-2</v>
      </c>
      <c r="G5">
        <f>Return!G5-'Return Estimasi'!G5</f>
        <v>-3.394971900004793E-2</v>
      </c>
      <c r="H5">
        <f>Return!H5-'Return Estimasi'!H5</f>
        <v>-9.3576138801770951E-3</v>
      </c>
      <c r="I5">
        <f>Return!I5-'Return Estimasi'!I5</f>
        <v>-8.5521483580888961E-3</v>
      </c>
      <c r="J5">
        <f>Return!J5-'Return Estimasi'!J5</f>
        <v>-2.0577423529855549E-2</v>
      </c>
      <c r="K5">
        <f>Return!K5-'Return Estimasi'!K5</f>
        <v>6.5166535968885525E-2</v>
      </c>
      <c r="L5">
        <f>Return!L5-'Return Estimasi'!L5</f>
        <v>7.5168743422378758E-3</v>
      </c>
      <c r="M5">
        <f>Return!M5-'Return Estimasi'!M5</f>
        <v>-1.4871173899182754E-2</v>
      </c>
      <c r="N5">
        <f>Return!N5-'Return Estimasi'!N5</f>
        <v>-1.9786185980846496E-2</v>
      </c>
      <c r="O5">
        <f>Return!O5-'Return Estimasi'!O5</f>
        <v>-1.6334369931887385E-2</v>
      </c>
      <c r="P5">
        <f>Return!P5-'Return Estimasi'!P5</f>
        <v>-2.8109615691349683E-2</v>
      </c>
      <c r="Q5">
        <f>Return!Q5-'Return Estimasi'!Q5</f>
        <v>-2.4892644710869716E-2</v>
      </c>
      <c r="R5">
        <f>Return!R5-'Return Estimasi'!R5</f>
        <v>4.8136597722984044E-2</v>
      </c>
      <c r="S5">
        <f>Return!S5-'Return Estimasi'!S5</f>
        <v>-9.0613153993936782E-2</v>
      </c>
      <c r="T5">
        <f>Return!T5-'Return Estimasi'!T5</f>
        <v>7.9649629713111382E-4</v>
      </c>
      <c r="U5">
        <f>Return!U5-'Return Estimasi'!U5</f>
        <v>1.1686049910475605E-2</v>
      </c>
      <c r="V5">
        <f>Return!V5-'Return Estimasi'!V5</f>
        <v>4.0679103871577339E-2</v>
      </c>
      <c r="W5">
        <f>Return!W5-'Return Estimasi'!W5</f>
        <v>-2.2017304375052775E-3</v>
      </c>
      <c r="X5">
        <f>Return!X5-'Return Estimasi'!X5</f>
        <v>5.268822087819125E-2</v>
      </c>
      <c r="Y5">
        <f>Return!Y5-'Return Estimasi'!Y5</f>
        <v>-1.7307627974082886E-2</v>
      </c>
      <c r="Z5">
        <f>Return!Z5-'Return Estimasi'!Z5</f>
        <v>-1.6592293084635445E-2</v>
      </c>
      <c r="AA5">
        <f>Return!AA5-'Return Estimasi'!AA5</f>
        <v>-1.0756613429796481E-2</v>
      </c>
      <c r="AB5">
        <f>Return!AB5-'Return Estimasi'!AB5</f>
        <v>-1.306174864694927E-2</v>
      </c>
      <c r="AC5">
        <f>Return!AC5-'Return Estimasi'!AC5</f>
        <v>4.6707939506407808E-2</v>
      </c>
      <c r="AD5">
        <f>Return!AD5-'Return Estimasi'!AD5</f>
        <v>9.1061048290548077E-3</v>
      </c>
      <c r="AE5">
        <f>Return!AE5-'Return Estimasi'!AE5</f>
        <v>3.5853544996483973E-2</v>
      </c>
      <c r="AF5">
        <f>Return!AF5-'Return Estimasi'!AF5</f>
        <v>-16.265858229202589</v>
      </c>
    </row>
    <row r="6" spans="1:32" x14ac:dyDescent="0.3">
      <c r="A6" s="1">
        <v>45841</v>
      </c>
      <c r="B6">
        <f>('Data Saham'!B6-'Data Saham'!B5)/'Data Saham'!B5</f>
        <v>2.7425825608014135E-3</v>
      </c>
      <c r="C6">
        <f>Return!C6-'Return Estimasi'!C6</f>
        <v>-6.2877376980440373E-3</v>
      </c>
      <c r="D6">
        <f>Return!D6-'Return Estimasi'!D6</f>
        <v>-3.9323196432273153E-2</v>
      </c>
      <c r="E6">
        <f>Return!E6-'Return Estimasi'!E6</f>
        <v>-8.9210495305416179E-3</v>
      </c>
      <c r="F6">
        <f>Return!F6-'Return Estimasi'!F6</f>
        <v>-1.310628577979378E-2</v>
      </c>
      <c r="G6">
        <f>Return!G6-'Return Estimasi'!G6</f>
        <v>7.8216277341626103E-5</v>
      </c>
      <c r="H6">
        <f>Return!H6-'Return Estimasi'!H6</f>
        <v>3.8246543452245701E-3</v>
      </c>
      <c r="I6">
        <f>Return!I6-'Return Estimasi'!I6</f>
        <v>2.0026527964391496E-2</v>
      </c>
      <c r="J6">
        <f>Return!J6-'Return Estimasi'!J6</f>
        <v>-7.5773328344484556E-3</v>
      </c>
      <c r="K6">
        <f>Return!K6-'Return Estimasi'!K6</f>
        <v>-2.8292923266607442E-2</v>
      </c>
      <c r="L6">
        <f>Return!L6-'Return Estimasi'!L6</f>
        <v>7.998847922570964E-3</v>
      </c>
      <c r="M6">
        <f>Return!M6-'Return Estimasi'!M6</f>
        <v>-4.6993282135821797E-3</v>
      </c>
      <c r="N6">
        <f>Return!N6-'Return Estimasi'!N6</f>
        <v>3.564422419683879E-2</v>
      </c>
      <c r="O6">
        <f>Return!O6-'Return Estimasi'!O6</f>
        <v>2.2415152199194159E-3</v>
      </c>
      <c r="P6">
        <f>Return!P6-'Return Estimasi'!P6</f>
        <v>-5.3171311611492828E-4</v>
      </c>
      <c r="Q6">
        <f>Return!Q6-'Return Estimasi'!Q6</f>
        <v>-4.9226793906800275E-3</v>
      </c>
      <c r="R6">
        <f>Return!R6-'Return Estimasi'!R6</f>
        <v>7.9304558833752179E-3</v>
      </c>
      <c r="S6">
        <f>Return!S6-'Return Estimasi'!S6</f>
        <v>-1.9620429665224554E-2</v>
      </c>
      <c r="T6">
        <f>Return!T6-'Return Estimasi'!T6</f>
        <v>-7.3798207415013053E-3</v>
      </c>
      <c r="U6">
        <f>Return!U6-'Return Estimasi'!U6</f>
        <v>9.6275693671041811E-3</v>
      </c>
      <c r="V6">
        <f>Return!V6-'Return Estimasi'!V6</f>
        <v>-3.7592143521447428E-2</v>
      </c>
      <c r="W6">
        <f>Return!W6-'Return Estimasi'!W6</f>
        <v>-1.3105931881601191E-3</v>
      </c>
      <c r="X6">
        <f>Return!X6-'Return Estimasi'!X6</f>
        <v>2.1120995387045781E-2</v>
      </c>
      <c r="Y6">
        <f>Return!Y6-'Return Estimasi'!Y6</f>
        <v>2.0511631282111864E-2</v>
      </c>
      <c r="Z6">
        <f>Return!Z6-'Return Estimasi'!Z6</f>
        <v>-8.4996810493869757E-3</v>
      </c>
      <c r="AA6">
        <f>Return!AA6-'Return Estimasi'!AA6</f>
        <v>8.3630412053023566E-3</v>
      </c>
      <c r="AB6">
        <f>Return!AB6-'Return Estimasi'!AB6</f>
        <v>4.6768198248781596E-2</v>
      </c>
      <c r="AC6">
        <f>Return!AC6-'Return Estimasi'!AC6</f>
        <v>-3.846674075214402E-2</v>
      </c>
      <c r="AD6">
        <f>Return!AD6-'Return Estimasi'!AD6</f>
        <v>1.3491491519868599E-2</v>
      </c>
      <c r="AE6">
        <f>Return!AE6-'Return Estimasi'!AE6</f>
        <v>7.6974369376133431E-3</v>
      </c>
      <c r="AF6">
        <f>Return!AF6-'Return Estimasi'!AF6</f>
        <v>-16.591315654917004</v>
      </c>
    </row>
    <row r="7" spans="1:32" x14ac:dyDescent="0.3">
      <c r="A7" s="2">
        <v>45933</v>
      </c>
      <c r="B7">
        <f>('Data Saham'!B7-'Data Saham'!B6)/'Data Saham'!B6</f>
        <v>-5.6946955997588854E-3</v>
      </c>
      <c r="C7">
        <f>Return!C7-'Return Estimasi'!C7</f>
        <v>6.5307996335847354E-3</v>
      </c>
      <c r="D7">
        <f>Return!D7-'Return Estimasi'!D7</f>
        <v>-8.7064378478397524E-3</v>
      </c>
      <c r="E7">
        <f>Return!E7-'Return Estimasi'!E7</f>
        <v>-2.1363186499665961E-2</v>
      </c>
      <c r="F7">
        <f>Return!F7-'Return Estimasi'!F7</f>
        <v>-1.4890304439035707E-2</v>
      </c>
      <c r="G7">
        <f>Return!G7-'Return Estimasi'!G7</f>
        <v>-4.7864381087846224E-3</v>
      </c>
      <c r="H7">
        <f>Return!H7-'Return Estimasi'!H7</f>
        <v>-2.9075709432844172E-2</v>
      </c>
      <c r="I7">
        <f>Return!I7-'Return Estimasi'!I7</f>
        <v>9.0180537019987454E-3</v>
      </c>
      <c r="J7">
        <f>Return!J7-'Return Estimasi'!J7</f>
        <v>4.3075011395826063E-2</v>
      </c>
      <c r="K7">
        <f>Return!K7-'Return Estimasi'!K7</f>
        <v>-3.8460152344272198E-2</v>
      </c>
      <c r="L7">
        <f>Return!L7-'Return Estimasi'!L7</f>
        <v>8.8823808425278466E-3</v>
      </c>
      <c r="M7">
        <f>Return!M7-'Return Estimasi'!M7</f>
        <v>-8.5479515547666002E-2</v>
      </c>
      <c r="N7">
        <f>Return!N7-'Return Estimasi'!N7</f>
        <v>-7.4740323858440205E-2</v>
      </c>
      <c r="O7">
        <f>Return!O7-'Return Estimasi'!O7</f>
        <v>-1.3307062330800552E-2</v>
      </c>
      <c r="P7">
        <f>Return!P7-'Return Estimasi'!P7</f>
        <v>-1.180250218578913E-2</v>
      </c>
      <c r="Q7">
        <f>Return!Q7-'Return Estimasi'!Q7</f>
        <v>1.2938916918651639E-2</v>
      </c>
      <c r="R7">
        <f>Return!R7-'Return Estimasi'!R7</f>
        <v>-6.4790569206596454E-2</v>
      </c>
      <c r="S7">
        <f>Return!S7-'Return Estimasi'!S7</f>
        <v>5.1916743423644864E-2</v>
      </c>
      <c r="T7">
        <f>Return!T7-'Return Estimasi'!T7</f>
        <v>3.0438942463787318E-2</v>
      </c>
      <c r="U7">
        <f>Return!U7-'Return Estimasi'!U7</f>
        <v>3.9895062196879279E-2</v>
      </c>
      <c r="V7">
        <f>Return!V7-'Return Estimasi'!V7</f>
        <v>-1.1373931785008893E-2</v>
      </c>
      <c r="W7">
        <f>Return!W7-'Return Estimasi'!W7</f>
        <v>-3.6293186614674393E-3</v>
      </c>
      <c r="X7">
        <f>Return!X7-'Return Estimasi'!X7</f>
        <v>-9.4563311870514075E-4</v>
      </c>
      <c r="Y7">
        <f>Return!Y7-'Return Estimasi'!Y7</f>
        <v>1.4396089365377819E-2</v>
      </c>
      <c r="Z7">
        <f>Return!Z7-'Return Estimasi'!Z7</f>
        <v>1.2921069579919231E-2</v>
      </c>
      <c r="AA7">
        <f>Return!AA7-'Return Estimasi'!AA7</f>
        <v>2.1417229798570258E-2</v>
      </c>
      <c r="AB7">
        <f>Return!AB7-'Return Estimasi'!AB7</f>
        <v>-4.755881155003471E-3</v>
      </c>
      <c r="AC7">
        <f>Return!AC7-'Return Estimasi'!AC7</f>
        <v>3.7746345168152657E-3</v>
      </c>
      <c r="AD7">
        <f>Return!AD7-'Return Estimasi'!AD7</f>
        <v>5.8806262869847761E-3</v>
      </c>
      <c r="AE7">
        <f>Return!AE7-'Return Estimasi'!AE7</f>
        <v>-1.0114061506963331E-2</v>
      </c>
      <c r="AF7">
        <f>Return!AF7-'Return Estimasi'!AF7</f>
        <v>-16.857078606039771</v>
      </c>
    </row>
    <row r="8" spans="1:32" x14ac:dyDescent="0.3">
      <c r="A8" s="1">
        <v>45964</v>
      </c>
      <c r="B8">
        <f>('Data Saham'!B8-'Data Saham'!B7)/'Data Saham'!B7</f>
        <v>-7.935485533197591E-3</v>
      </c>
      <c r="C8">
        <f>Return!C8-'Return Estimasi'!C8</f>
        <v>8.4556075783491086E-3</v>
      </c>
      <c r="D8">
        <f>Return!D8-'Return Estimasi'!D8</f>
        <v>1.4599201000389958E-2</v>
      </c>
      <c r="E8">
        <f>Return!E8-'Return Estimasi'!E8</f>
        <v>1.4058709552164062E-2</v>
      </c>
      <c r="F8">
        <f>Return!F8-'Return Estimasi'!F8</f>
        <v>6.8314727785086524E-3</v>
      </c>
      <c r="G8">
        <f>Return!G8-'Return Estimasi'!G8</f>
        <v>-2.837256080271371E-3</v>
      </c>
      <c r="H8">
        <f>Return!H8-'Return Estimasi'!H8</f>
        <v>1.1175522235428406E-2</v>
      </c>
      <c r="I8">
        <f>Return!I8-'Return Estimasi'!I8</f>
        <v>-1.1281032198227117E-2</v>
      </c>
      <c r="J8">
        <f>Return!J8-'Return Estimasi'!J8</f>
        <v>-3.408444370949397E-2</v>
      </c>
      <c r="K8">
        <f>Return!K8-'Return Estimasi'!K8</f>
        <v>-2.7793318197522749E-2</v>
      </c>
      <c r="L8">
        <f>Return!L8-'Return Estimasi'!L8</f>
        <v>5.4637272867488224E-3</v>
      </c>
      <c r="M8">
        <f>Return!M8-'Return Estimasi'!M8</f>
        <v>2.2718419494271006E-2</v>
      </c>
      <c r="N8">
        <f>Return!N8-'Return Estimasi'!N8</f>
        <v>-5.0906017427495162E-2</v>
      </c>
      <c r="O8">
        <f>Return!O8-'Return Estimasi'!O8</f>
        <v>-1.9169831254057759E-2</v>
      </c>
      <c r="P8">
        <f>Return!P8-'Return Estimasi'!P8</f>
        <v>-1.9711510504506369E-2</v>
      </c>
      <c r="Q8">
        <f>Return!Q8-'Return Estimasi'!Q8</f>
        <v>2.0277320392957437E-3</v>
      </c>
      <c r="R8">
        <f>Return!R8-'Return Estimasi'!R8</f>
        <v>-1.3031556649030262E-2</v>
      </c>
      <c r="S8">
        <f>Return!S8-'Return Estimasi'!S8</f>
        <v>-4.2048298934806431E-2</v>
      </c>
      <c r="T8">
        <f>Return!T8-'Return Estimasi'!T8</f>
        <v>-2.4105232472423879E-2</v>
      </c>
      <c r="U8">
        <f>Return!U8-'Return Estimasi'!U8</f>
        <v>-3.66299769572839E-2</v>
      </c>
      <c r="V8">
        <f>Return!V8-'Return Estimasi'!V8</f>
        <v>9.4291597478681835E-3</v>
      </c>
      <c r="W8">
        <f>Return!W8-'Return Estimasi'!W8</f>
        <v>4.724562059452396E-4</v>
      </c>
      <c r="X8">
        <f>Return!X8-'Return Estimasi'!X8</f>
        <v>5.1759983125349261E-3</v>
      </c>
      <c r="Y8">
        <f>Return!Y8-'Return Estimasi'!Y8</f>
        <v>-4.1264775370930984E-2</v>
      </c>
      <c r="Z8">
        <f>Return!Z8-'Return Estimasi'!Z8</f>
        <v>-7.6166947434953888E-3</v>
      </c>
      <c r="AA8">
        <f>Return!AA8-'Return Estimasi'!AA8</f>
        <v>-3.2948508784927224E-3</v>
      </c>
      <c r="AB8">
        <f>Return!AB8-'Return Estimasi'!AB8</f>
        <v>-4.959198857993332E-2</v>
      </c>
      <c r="AC8">
        <f>Return!AC8-'Return Estimasi'!AC8</f>
        <v>-2.327840709372133E-2</v>
      </c>
      <c r="AD8">
        <f>Return!AD8-'Return Estimasi'!AD8</f>
        <v>-7.4331543272198909E-3</v>
      </c>
      <c r="AE8">
        <f>Return!AE8-'Return Estimasi'!AE8</f>
        <v>-1.8421466236907835E-2</v>
      </c>
      <c r="AF8">
        <f>Return!AF8-'Return Estimasi'!AF8</f>
        <v>-16.931937129491878</v>
      </c>
    </row>
    <row r="9" spans="1:32" x14ac:dyDescent="0.3">
      <c r="A9" s="2">
        <v>45994</v>
      </c>
      <c r="B9">
        <f>('Data Saham'!B9-'Data Saham'!B8)/'Data Saham'!B8</f>
        <v>1.8208483237471006E-2</v>
      </c>
      <c r="C9">
        <f>Return!C9-'Return Estimasi'!C9</f>
        <v>8.4072591031964759E-3</v>
      </c>
      <c r="D9">
        <f>Return!D9-'Return Estimasi'!D9</f>
        <v>7.2961541654644017E-3</v>
      </c>
      <c r="E9">
        <f>Return!E9-'Return Estimasi'!E9</f>
        <v>1.163916490265186E-2</v>
      </c>
      <c r="F9">
        <f>Return!F9-'Return Estimasi'!F9</f>
        <v>2.6645973217816268E-3</v>
      </c>
      <c r="G9">
        <f>Return!G9-'Return Estimasi'!G9</f>
        <v>1.5734283960931433E-2</v>
      </c>
      <c r="H9">
        <f>Return!H9-'Return Estimasi'!H9</f>
        <v>-1.0619636089108174E-2</v>
      </c>
      <c r="I9">
        <f>Return!I9-'Return Estimasi'!I9</f>
        <v>4.2109777690593993E-2</v>
      </c>
      <c r="J9">
        <f>Return!J9-'Return Estimasi'!J9</f>
        <v>2.2320608344973677E-2</v>
      </c>
      <c r="K9">
        <f>Return!K9-'Return Estimasi'!K9</f>
        <v>-1.8461679514913964E-2</v>
      </c>
      <c r="L9">
        <f>Return!L9-'Return Estimasi'!L9</f>
        <v>-3.2280802352215421E-2</v>
      </c>
      <c r="M9">
        <f>Return!M9-'Return Estimasi'!M9</f>
        <v>-6.3347411163553746E-3</v>
      </c>
      <c r="N9">
        <f>Return!N9-'Return Estimasi'!N9</f>
        <v>-8.1366301254757242E-3</v>
      </c>
      <c r="O9">
        <f>Return!O9-'Return Estimasi'!O9</f>
        <v>3.2361536179142621E-2</v>
      </c>
      <c r="P9">
        <f>Return!P9-'Return Estimasi'!P9</f>
        <v>-1.4134364250208616E-2</v>
      </c>
      <c r="Q9">
        <f>Return!Q9-'Return Estimasi'!Q9</f>
        <v>-1.6945266607672878E-2</v>
      </c>
      <c r="R9">
        <f>Return!R9-'Return Estimasi'!R9</f>
        <v>-3.8673510266627915E-4</v>
      </c>
      <c r="S9">
        <f>Return!S9-'Return Estimasi'!S9</f>
        <v>1.7899875169023922E-3</v>
      </c>
      <c r="T9">
        <f>Return!T9-'Return Estimasi'!T9</f>
        <v>-1.1523997074112901E-2</v>
      </c>
      <c r="U9">
        <f>Return!U9-'Return Estimasi'!U9</f>
        <v>-1.590210632471686E-2</v>
      </c>
      <c r="V9">
        <f>Return!V9-'Return Estimasi'!V9</f>
        <v>-3.145152399180675E-2</v>
      </c>
      <c r="W9">
        <f>Return!W9-'Return Estimasi'!W9</f>
        <v>-4.3045097813165643E-2</v>
      </c>
      <c r="X9">
        <f>Return!X9-'Return Estimasi'!X9</f>
        <v>4.6989860007693833E-3</v>
      </c>
      <c r="Y9">
        <f>Return!Y9-'Return Estimasi'!Y9</f>
        <v>2.1584711667405852E-2</v>
      </c>
      <c r="Z9">
        <f>Return!Z9-'Return Estimasi'!Z9</f>
        <v>-2.8137508392262253E-2</v>
      </c>
      <c r="AA9">
        <f>Return!AA9-'Return Estimasi'!AA9</f>
        <v>4.1291224753184669E-2</v>
      </c>
      <c r="AB9">
        <f>Return!AB9-'Return Estimasi'!AB9</f>
        <v>1.9202370954193831E-2</v>
      </c>
      <c r="AC9">
        <f>Return!AC9-'Return Estimasi'!AC9</f>
        <v>-2.4302243055484209E-2</v>
      </c>
      <c r="AD9">
        <f>Return!AD9-'Return Estimasi'!AD9</f>
        <v>-1.3487232719431655E-3</v>
      </c>
      <c r="AE9">
        <f>Return!AE9-'Return Estimasi'!AE9</f>
        <v>-1.3858610346073936E-2</v>
      </c>
      <c r="AF9">
        <f>Return!AF9-'Return Estimasi'!AF9</f>
        <v>-16.162016923565254</v>
      </c>
    </row>
    <row r="10" spans="1:32" x14ac:dyDescent="0.3">
      <c r="A10" s="3" t="s">
        <v>1</v>
      </c>
      <c r="B10">
        <f>('Data Saham'!B10-'Data Saham'!B9)/'Data Saham'!B9</f>
        <v>-2.6436450493920352E-3</v>
      </c>
      <c r="C10">
        <f>Return!C10-'Return Estimasi'!C10</f>
        <v>-1.2528367277753416E-2</v>
      </c>
      <c r="D10">
        <f>Return!D10-'Return Estimasi'!D10</f>
        <v>-2.1719677845663081E-2</v>
      </c>
      <c r="E10">
        <f>Return!E10-'Return Estimasi'!E10</f>
        <v>-2.617813949992881E-2</v>
      </c>
      <c r="F10">
        <f>Return!F10-'Return Estimasi'!F10</f>
        <v>2.3491903750361364E-3</v>
      </c>
      <c r="G10">
        <f>Return!G10-'Return Estimasi'!G10</f>
        <v>-7.3995035469611795E-3</v>
      </c>
      <c r="H10">
        <f>Return!H10-'Return Estimasi'!H10</f>
        <v>-1.5306055954353612E-2</v>
      </c>
      <c r="I10">
        <f>Return!I10-'Return Estimasi'!I10</f>
        <v>9.8506191015693689E-3</v>
      </c>
      <c r="J10">
        <f>Return!J10-'Return Estimasi'!J10</f>
        <v>-2.2592124475352124E-2</v>
      </c>
      <c r="K10">
        <f>Return!K10-'Return Estimasi'!K10</f>
        <v>9.2758148939717025E-3</v>
      </c>
      <c r="L10">
        <f>Return!L10-'Return Estimasi'!L10</f>
        <v>6.8154639767454544E-3</v>
      </c>
      <c r="M10">
        <f>Return!M10-'Return Estimasi'!M10</f>
        <v>-9.0227321389217963E-3</v>
      </c>
      <c r="N10">
        <f>Return!N10-'Return Estimasi'!N10</f>
        <v>1.3453089150648726E-2</v>
      </c>
      <c r="O10">
        <f>Return!O10-'Return Estimasi'!O10</f>
        <v>3.1484768225744066E-2</v>
      </c>
      <c r="P10">
        <f>Return!P10-'Return Estimasi'!P10</f>
        <v>1.4009531977472718E-2</v>
      </c>
      <c r="Q10">
        <f>Return!Q10-'Return Estimasi'!Q10</f>
        <v>-8.0052147267019591E-3</v>
      </c>
      <c r="R10">
        <f>Return!R10-'Return Estimasi'!R10</f>
        <v>1.640720686932759E-2</v>
      </c>
      <c r="S10">
        <f>Return!S10-'Return Estimasi'!S10</f>
        <v>6.1201716711659906E-3</v>
      </c>
      <c r="T10">
        <f>Return!T10-'Return Estimasi'!T10</f>
        <v>3.9333100686980986E-4</v>
      </c>
      <c r="U10">
        <f>Return!U10-'Return Estimasi'!U10</f>
        <v>-1.6197827233259124E-3</v>
      </c>
      <c r="V10">
        <f>Return!V10-'Return Estimasi'!V10</f>
        <v>-1.0390561259728221E-2</v>
      </c>
      <c r="W10">
        <f>Return!W10-'Return Estimasi'!W10</f>
        <v>9.0651534348466407E-3</v>
      </c>
      <c r="X10">
        <f>Return!X10-'Return Estimasi'!X10</f>
        <v>-9.2307906305703236E-2</v>
      </c>
      <c r="Y10">
        <f>Return!Y10-'Return Estimasi'!Y10</f>
        <v>3.7026401755516644E-3</v>
      </c>
      <c r="Z10">
        <f>Return!Z10-'Return Estimasi'!Z10</f>
        <v>-1.2177611533294837E-2</v>
      </c>
      <c r="AA10">
        <f>Return!AA10-'Return Estimasi'!AA10</f>
        <v>-4.0978776915520897E-2</v>
      </c>
      <c r="AB10">
        <f>Return!AB10-'Return Estimasi'!AB10</f>
        <v>-2.0437065857093092E-2</v>
      </c>
      <c r="AC10">
        <f>Return!AC10-'Return Estimasi'!AC10</f>
        <v>-1.3894196896435328E-2</v>
      </c>
      <c r="AD10">
        <f>Return!AD10-'Return Estimasi'!AD10</f>
        <v>8.1076477014209829E-3</v>
      </c>
      <c r="AE10">
        <f>Return!AE10-'Return Estimasi'!AE10</f>
        <v>-7.9994056617975588E-3</v>
      </c>
      <c r="AF10">
        <f>Return!AF10-'Return Estimasi'!AF10</f>
        <v>-16.766083869427078</v>
      </c>
    </row>
    <row r="11" spans="1:32" x14ac:dyDescent="0.3">
      <c r="A11" s="4" t="s">
        <v>2</v>
      </c>
      <c r="B11">
        <f>('Data Saham'!B11-'Data Saham'!B10)/'Data Saham'!B10</f>
        <v>-1.982573690243733E-2</v>
      </c>
      <c r="C11">
        <f>Return!C11-'Return Estimasi'!C11</f>
        <v>-6.4004667933145395E-3</v>
      </c>
      <c r="D11">
        <f>Return!D11-'Return Estimasi'!D11</f>
        <v>5.1552599537428509E-3</v>
      </c>
      <c r="E11">
        <f>Return!E11-'Return Estimasi'!E11</f>
        <v>1.9325762732256793E-2</v>
      </c>
      <c r="F11">
        <f>Return!F11-'Return Estimasi'!F11</f>
        <v>-5.1723293832101475E-3</v>
      </c>
      <c r="G11">
        <f>Return!G11-'Return Estimasi'!G11</f>
        <v>1.212711539630828E-2</v>
      </c>
      <c r="H11">
        <f>Return!H11-'Return Estimasi'!H11</f>
        <v>-1.0370056488472544E-2</v>
      </c>
      <c r="I11">
        <f>Return!I11-'Return Estimasi'!I11</f>
        <v>-1.2459581955780577E-2</v>
      </c>
      <c r="J11">
        <f>Return!J11-'Return Estimasi'!J11</f>
        <v>-1.1368259659965215E-2</v>
      </c>
      <c r="K11">
        <f>Return!K11-'Return Estimasi'!K11</f>
        <v>-1.2148353752492468E-2</v>
      </c>
      <c r="L11">
        <f>Return!L11-'Return Estimasi'!L11</f>
        <v>-4.0654073130183084E-3</v>
      </c>
      <c r="M11">
        <f>Return!M11-'Return Estimasi'!M11</f>
        <v>4.995137895725122E-2</v>
      </c>
      <c r="N11">
        <f>Return!N11-'Return Estimasi'!N11</f>
        <v>3.0108797763707649E-2</v>
      </c>
      <c r="O11">
        <f>Return!O11-'Return Estimasi'!O11</f>
        <v>-2.3605208160386946E-3</v>
      </c>
      <c r="P11">
        <f>Return!P11-'Return Estimasi'!P11</f>
        <v>-9.9780603578021598E-5</v>
      </c>
      <c r="Q11">
        <f>Return!Q11-'Return Estimasi'!Q11</f>
        <v>2.3522268967609304E-2</v>
      </c>
      <c r="R11">
        <f>Return!R11-'Return Estimasi'!R11</f>
        <v>-1.9809194231322474E-2</v>
      </c>
      <c r="S11">
        <f>Return!S11-'Return Estimasi'!S11</f>
        <v>-2.1083068299722542E-2</v>
      </c>
      <c r="T11">
        <f>Return!T11-'Return Estimasi'!T11</f>
        <v>-3.9377694019468341E-3</v>
      </c>
      <c r="U11">
        <f>Return!U11-'Return Estimasi'!U11</f>
        <v>-8.5627818240225709E-3</v>
      </c>
      <c r="V11">
        <f>Return!V11-'Return Estimasi'!V11</f>
        <v>4.1297453079690814E-3</v>
      </c>
      <c r="W11">
        <f>Return!W11-'Return Estimasi'!W11</f>
        <v>1.0382184967559362E-2</v>
      </c>
      <c r="X11">
        <f>Return!X11-'Return Estimasi'!X11</f>
        <v>-4.233985862755793E-3</v>
      </c>
      <c r="Y11">
        <f>Return!Y11-'Return Estimasi'!Y11</f>
        <v>7.1489045910427818E-4</v>
      </c>
      <c r="Z11">
        <f>Return!Z11-'Return Estimasi'!Z11</f>
        <v>-5.3337795605445076E-2</v>
      </c>
      <c r="AA11">
        <f>Return!AA11-'Return Estimasi'!AA11</f>
        <v>2.4008598499608756E-2</v>
      </c>
      <c r="AB11">
        <f>Return!AB11-'Return Estimasi'!AB11</f>
        <v>9.4061012943296857E-3</v>
      </c>
      <c r="AC11">
        <f>Return!AC11-'Return Estimasi'!AC11</f>
        <v>8.3277097053212901E-3</v>
      </c>
      <c r="AD11">
        <f>Return!AD11-'Return Estimasi'!AD11</f>
        <v>3.4824599936460678E-2</v>
      </c>
      <c r="AE11">
        <f>Return!AE11-'Return Estimasi'!AE11</f>
        <v>-6.8236299922610349E-5</v>
      </c>
      <c r="AF11">
        <f>Return!AF11-'Return Estimasi'!AF11</f>
        <v>-17.243330756918176</v>
      </c>
    </row>
    <row r="12" spans="1:32" x14ac:dyDescent="0.3">
      <c r="A12" s="3" t="s">
        <v>3</v>
      </c>
      <c r="B12">
        <f>('Data Saham'!B12-'Data Saham'!B11)/'Data Saham'!B11</f>
        <v>-6.7038797476223003E-3</v>
      </c>
      <c r="C12">
        <f>Return!C12-'Return Estimasi'!C12</f>
        <v>-9.7451821112038185E-3</v>
      </c>
      <c r="D12">
        <f>Return!D12-'Return Estimasi'!D12</f>
        <v>2.6742670112408065E-2</v>
      </c>
      <c r="E12">
        <f>Return!E12-'Return Estimasi'!E12</f>
        <v>-6.1742648984344853E-3</v>
      </c>
      <c r="F12">
        <f>Return!F12-'Return Estimasi'!F12</f>
        <v>-1.6785082517097497E-2</v>
      </c>
      <c r="G12">
        <f>Return!G12-'Return Estimasi'!G12</f>
        <v>4.4214460521856003E-3</v>
      </c>
      <c r="H12">
        <f>Return!H12-'Return Estimasi'!H12</f>
        <v>4.0576122380160708E-3</v>
      </c>
      <c r="I12">
        <f>Return!I12-'Return Estimasi'!I12</f>
        <v>2.3311077629247078E-2</v>
      </c>
      <c r="J12">
        <f>Return!J12-'Return Estimasi'!J12</f>
        <v>1.5922884664135002E-2</v>
      </c>
      <c r="K12">
        <f>Return!K12-'Return Estimasi'!K12</f>
        <v>7.7522854822374863E-3</v>
      </c>
      <c r="L12">
        <f>Return!L12-'Return Estimasi'!L12</f>
        <v>-5.7287697524327427E-3</v>
      </c>
      <c r="M12">
        <f>Return!M12-'Return Estimasi'!M12</f>
        <v>4.2269723513277624E-2</v>
      </c>
      <c r="N12">
        <f>Return!N12-'Return Estimasi'!N12</f>
        <v>8.627374319553005E-2</v>
      </c>
      <c r="O12">
        <f>Return!O12-'Return Estimasi'!O12</f>
        <v>-2.7475201820553645E-3</v>
      </c>
      <c r="P12">
        <f>Return!P12-'Return Estimasi'!P12</f>
        <v>3.7479659899851893E-2</v>
      </c>
      <c r="Q12">
        <f>Return!Q12-'Return Estimasi'!Q12</f>
        <v>9.5480337154098122E-3</v>
      </c>
      <c r="R12">
        <f>Return!R12-'Return Estimasi'!R12</f>
        <v>1.4289648986656888E-2</v>
      </c>
      <c r="S12">
        <f>Return!S12-'Return Estimasi'!S12</f>
        <v>2.2609785501720905E-2</v>
      </c>
      <c r="T12">
        <f>Return!T12-'Return Estimasi'!T12</f>
        <v>-1.6424935270545477E-2</v>
      </c>
      <c r="U12">
        <f>Return!U12-'Return Estimasi'!U12</f>
        <v>7.102520008937423E-3</v>
      </c>
      <c r="V12">
        <f>Return!V12-'Return Estimasi'!V12</f>
        <v>2.8186655241478595E-2</v>
      </c>
      <c r="W12">
        <f>Return!W12-'Return Estimasi'!W12</f>
        <v>4.0706688236349445E-3</v>
      </c>
      <c r="X12">
        <f>Return!X12-'Return Estimasi'!X12</f>
        <v>-1.5377026309670201E-3</v>
      </c>
      <c r="Y12">
        <f>Return!Y12-'Return Estimasi'!Y12</f>
        <v>3.6596069901361945E-2</v>
      </c>
      <c r="Z12">
        <f>Return!Z12-'Return Estimasi'!Z12</f>
        <v>3.1241908070036697E-2</v>
      </c>
      <c r="AA12">
        <f>Return!AA12-'Return Estimasi'!AA12</f>
        <v>-2.1258270746662505E-2</v>
      </c>
      <c r="AB12">
        <f>Return!AB12-'Return Estimasi'!AB12</f>
        <v>-4.5653198395836682E-3</v>
      </c>
      <c r="AC12">
        <f>Return!AC12-'Return Estimasi'!AC12</f>
        <v>3.5414189477028075E-2</v>
      </c>
      <c r="AD12">
        <f>Return!AD12-'Return Estimasi'!AD12</f>
        <v>1.694999315116592E-2</v>
      </c>
      <c r="AE12">
        <f>Return!AE12-'Return Estimasi'!AE12</f>
        <v>-5.1606134758522271E-3</v>
      </c>
      <c r="AF12">
        <f>Return!AF12-'Return Estimasi'!AF12</f>
        <v>-16.844311074881496</v>
      </c>
    </row>
    <row r="13" spans="1:32" x14ac:dyDescent="0.3">
      <c r="A13" s="4" t="s">
        <v>4</v>
      </c>
      <c r="B13">
        <f>('Data Saham'!B13-'Data Saham'!B12)/'Data Saham'!B12</f>
        <v>-3.8405735520206354E-2</v>
      </c>
      <c r="C13">
        <f>Return!C13-'Return Estimasi'!C13</f>
        <v>-2.5458482127821425E-4</v>
      </c>
      <c r="D13">
        <f>Return!D13-'Return Estimasi'!D13</f>
        <v>-2.5800719642118317E-3</v>
      </c>
      <c r="E13">
        <f>Return!E13-'Return Estimasi'!E13</f>
        <v>5.4579298219856395E-3</v>
      </c>
      <c r="F13">
        <f>Return!F13-'Return Estimasi'!F13</f>
        <v>3.0774945597465686E-4</v>
      </c>
      <c r="G13">
        <f>Return!G13-'Return Estimasi'!G13</f>
        <v>3.2980233545343275E-2</v>
      </c>
      <c r="H13">
        <f>Return!H13-'Return Estimasi'!H13</f>
        <v>3.1879546820916566E-2</v>
      </c>
      <c r="I13">
        <f>Return!I13-'Return Estimasi'!I13</f>
        <v>6.7266823420957141E-3</v>
      </c>
      <c r="J13">
        <f>Return!J13-'Return Estimasi'!J13</f>
        <v>-1.6399032620836512E-2</v>
      </c>
      <c r="K13">
        <f>Return!K13-'Return Estimasi'!K13</f>
        <v>2.3813470516366168E-2</v>
      </c>
      <c r="L13">
        <f>Return!L13-'Return Estimasi'!L13</f>
        <v>-4.1023235934026826E-3</v>
      </c>
      <c r="M13">
        <f>Return!M13-'Return Estimasi'!M13</f>
        <v>2.0063493409182055E-2</v>
      </c>
      <c r="N13">
        <f>Return!N13-'Return Estimasi'!N13</f>
        <v>4.2361212540156637E-2</v>
      </c>
      <c r="O13">
        <f>Return!O13-'Return Estimasi'!O13</f>
        <v>1.0200321167139053E-2</v>
      </c>
      <c r="P13">
        <f>Return!P13-'Return Estimasi'!P13</f>
        <v>2.6043889609769152E-2</v>
      </c>
      <c r="Q13">
        <f>Return!Q13-'Return Estimasi'!Q13</f>
        <v>3.0026336258303442E-2</v>
      </c>
      <c r="R13">
        <f>Return!R13-'Return Estimasi'!R13</f>
        <v>-1.9125110944608056E-2</v>
      </c>
      <c r="S13">
        <f>Return!S13-'Return Estimasi'!S13</f>
        <v>2.5617905955128192E-2</v>
      </c>
      <c r="T13">
        <f>Return!T13-'Return Estimasi'!T13</f>
        <v>-8.4363494087911946E-3</v>
      </c>
      <c r="U13">
        <f>Return!U13-'Return Estimasi'!U13</f>
        <v>1.9714344107409701E-2</v>
      </c>
      <c r="V13">
        <f>Return!V13-'Return Estimasi'!V13</f>
        <v>1.9156321778495133E-3</v>
      </c>
      <c r="W13">
        <f>Return!W13-'Return Estimasi'!W13</f>
        <v>-8.4197386771257682E-2</v>
      </c>
      <c r="X13">
        <f>Return!X13-'Return Estimasi'!X13</f>
        <v>9.7263148413935588E-3</v>
      </c>
      <c r="Y13">
        <f>Return!Y13-'Return Estimasi'!Y13</f>
        <v>-4.6015932125540372E-2</v>
      </c>
      <c r="Z13">
        <f>Return!Z13-'Return Estimasi'!Z13</f>
        <v>-2.6055513462204659E-2</v>
      </c>
      <c r="AA13">
        <f>Return!AA13-'Return Estimasi'!AA13</f>
        <v>-3.9926203763106696E-2</v>
      </c>
      <c r="AB13">
        <f>Return!AB13-'Return Estimasi'!AB13</f>
        <v>9.1949125192769682E-2</v>
      </c>
      <c r="AC13">
        <f>Return!AC13-'Return Estimasi'!AC13</f>
        <v>1.7059384792786209E-2</v>
      </c>
      <c r="AD13">
        <f>Return!AD13-'Return Estimasi'!AD13</f>
        <v>-2.7316861394581782E-3</v>
      </c>
      <c r="AE13">
        <f>Return!AE13-'Return Estimasi'!AE13</f>
        <v>-1.9139106711340385E-3</v>
      </c>
      <c r="AF13">
        <f>Return!AF13-'Return Estimasi'!AF13</f>
        <v>-17.81268076020325</v>
      </c>
    </row>
    <row r="14" spans="1:32" x14ac:dyDescent="0.3">
      <c r="A14" s="3" t="s">
        <v>5</v>
      </c>
      <c r="B14">
        <f>('Data Saham'!B14-'Data Saham'!B13)/'Data Saham'!B13</f>
        <v>1.4183588044458007E-2</v>
      </c>
      <c r="C14">
        <f>Return!C14-'Return Estimasi'!C14</f>
        <v>-7.5323262967052608E-3</v>
      </c>
      <c r="D14">
        <f>Return!D14-'Return Estimasi'!D14</f>
        <v>-6.9788806443806927E-3</v>
      </c>
      <c r="E14">
        <f>Return!E14-'Return Estimasi'!E14</f>
        <v>1.9154875303949062E-2</v>
      </c>
      <c r="F14">
        <f>Return!F14-'Return Estimasi'!F14</f>
        <v>-1.6677043104239821E-2</v>
      </c>
      <c r="G14">
        <f>Return!G14-'Return Estimasi'!G14</f>
        <v>-1.0262910386273756E-2</v>
      </c>
      <c r="H14">
        <f>Return!H14-'Return Estimasi'!H14</f>
        <v>-1.3929430964829247E-3</v>
      </c>
      <c r="I14">
        <f>Return!I14-'Return Estimasi'!I14</f>
        <v>-1.3383909848451368E-2</v>
      </c>
      <c r="J14">
        <f>Return!J14-'Return Estimasi'!J14</f>
        <v>1.3653247868902794E-2</v>
      </c>
      <c r="K14">
        <f>Return!K14-'Return Estimasi'!K14</f>
        <v>-1.1887283679511647E-2</v>
      </c>
      <c r="L14">
        <f>Return!L14-'Return Estimasi'!L14</f>
        <v>1.9986381493346909E-3</v>
      </c>
      <c r="M14">
        <f>Return!M14-'Return Estimasi'!M14</f>
        <v>-3.5864173721522619E-3</v>
      </c>
      <c r="N14">
        <f>Return!N14-'Return Estimasi'!N14</f>
        <v>-2.4783195102377881E-2</v>
      </c>
      <c r="O14">
        <f>Return!O14-'Return Estimasi'!O14</f>
        <v>-1.3574732720186911E-2</v>
      </c>
      <c r="P14">
        <f>Return!P14-'Return Estimasi'!P14</f>
        <v>-8.8562918154291674E-4</v>
      </c>
      <c r="Q14">
        <f>Return!Q14-'Return Estimasi'!Q14</f>
        <v>-8.2008416345126945E-3</v>
      </c>
      <c r="R14">
        <f>Return!R14-'Return Estimasi'!R14</f>
        <v>7.3142601642509318E-3</v>
      </c>
      <c r="S14">
        <f>Return!S14-'Return Estimasi'!S14</f>
        <v>2.9245038789052595E-2</v>
      </c>
      <c r="T14">
        <f>Return!T14-'Return Estimasi'!T14</f>
        <v>-1.1736267282707342E-2</v>
      </c>
      <c r="U14">
        <f>Return!U14-'Return Estimasi'!U14</f>
        <v>-6.7341010936370158E-3</v>
      </c>
      <c r="V14">
        <f>Return!V14-'Return Estimasi'!V14</f>
        <v>-1.8556909224575681E-2</v>
      </c>
      <c r="W14">
        <f>Return!W14-'Return Estimasi'!W14</f>
        <v>-6.2563180197064139E-3</v>
      </c>
      <c r="X14">
        <f>Return!X14-'Return Estimasi'!X14</f>
        <v>-1.3419581722563228E-3</v>
      </c>
      <c r="Y14">
        <f>Return!Y14-'Return Estimasi'!Y14</f>
        <v>-4.0943768478378335E-2</v>
      </c>
      <c r="Z14">
        <f>Return!Z14-'Return Estimasi'!Z14</f>
        <v>1.5887061190307035E-2</v>
      </c>
      <c r="AA14">
        <f>Return!AA14-'Return Estimasi'!AA14</f>
        <v>-2.6338458409019352E-2</v>
      </c>
      <c r="AB14">
        <f>Return!AB14-'Return Estimasi'!AB14</f>
        <v>-2.6107673260331164E-2</v>
      </c>
      <c r="AC14">
        <f>Return!AC14-'Return Estimasi'!AC14</f>
        <v>2.4510316088005767E-2</v>
      </c>
      <c r="AD14">
        <f>Return!AD14-'Return Estimasi'!AD14</f>
        <v>2.8473201819874554E-2</v>
      </c>
      <c r="AE14">
        <f>Return!AE14-'Return Estimasi'!AE14</f>
        <v>1.0717622452455869E-2</v>
      </c>
      <c r="AF14">
        <f>Return!AF14-'Return Estimasi'!AF14</f>
        <v>-16.274922426326388</v>
      </c>
    </row>
    <row r="15" spans="1:32" x14ac:dyDescent="0.3">
      <c r="A15" s="4" t="s">
        <v>6</v>
      </c>
      <c r="B15">
        <f>('Data Saham'!B15-'Data Saham'!B14)/'Data Saham'!B14</f>
        <v>1.1092169096561003E-2</v>
      </c>
      <c r="C15">
        <f>Return!C15-'Return Estimasi'!C15</f>
        <v>-1.88288183444928E-3</v>
      </c>
      <c r="D15">
        <f>Return!D15-'Return Estimasi'!D15</f>
        <v>-2.5568093098619536E-2</v>
      </c>
      <c r="E15">
        <f>Return!E15-'Return Estimasi'!E15</f>
        <v>-2.3752780933408303E-2</v>
      </c>
      <c r="F15">
        <f>Return!F15-'Return Estimasi'!F15</f>
        <v>-3.0868020749198314E-2</v>
      </c>
      <c r="G15">
        <f>Return!G15-'Return Estimasi'!G15</f>
        <v>-2.8071125733944165E-2</v>
      </c>
      <c r="H15">
        <f>Return!H15-'Return Estimasi'!H15</f>
        <v>-3.6508512470681369E-3</v>
      </c>
      <c r="I15">
        <f>Return!I15-'Return Estimasi'!I15</f>
        <v>-1.4490850741378599E-2</v>
      </c>
      <c r="J15">
        <f>Return!J15-'Return Estimasi'!J15</f>
        <v>-2.743210156905658E-2</v>
      </c>
      <c r="K15">
        <f>Return!K15-'Return Estimasi'!K15</f>
        <v>-1.1762656883367369E-2</v>
      </c>
      <c r="L15">
        <f>Return!L15-'Return Estimasi'!L15</f>
        <v>7.4925361524328157E-3</v>
      </c>
      <c r="M15">
        <f>Return!M15-'Return Estimasi'!M15</f>
        <v>-2.4913618978628142E-2</v>
      </c>
      <c r="N15">
        <f>Return!N15-'Return Estimasi'!N15</f>
        <v>7.9295652297654319E-4</v>
      </c>
      <c r="O15">
        <f>Return!O15-'Return Estimasi'!O15</f>
        <v>2.1300952719225642E-2</v>
      </c>
      <c r="P15">
        <f>Return!P15-'Return Estimasi'!P15</f>
        <v>-7.8753858277336216E-3</v>
      </c>
      <c r="Q15">
        <f>Return!Q15-'Return Estimasi'!Q15</f>
        <v>-1.3802130280096244E-2</v>
      </c>
      <c r="R15">
        <f>Return!R15-'Return Estimasi'!R15</f>
        <v>5.2598431240952495E-2</v>
      </c>
      <c r="S15">
        <f>Return!S15-'Return Estimasi'!S15</f>
        <v>-5.9395296743204352E-3</v>
      </c>
      <c r="T15">
        <f>Return!T15-'Return Estimasi'!T15</f>
        <v>-2.4191252377132157E-3</v>
      </c>
      <c r="U15">
        <f>Return!U15-'Return Estimasi'!U15</f>
        <v>-3.4279977756539095E-3</v>
      </c>
      <c r="V15">
        <f>Return!V15-'Return Estimasi'!V15</f>
        <v>3.2866055718623229E-3</v>
      </c>
      <c r="W15">
        <f>Return!W15-'Return Estimasi'!W15</f>
        <v>-1.5827829944859234E-2</v>
      </c>
      <c r="X15">
        <f>Return!X15-'Return Estimasi'!X15</f>
        <v>-2.7098061759007154E-3</v>
      </c>
      <c r="Y15">
        <f>Return!Y15-'Return Estimasi'!Y15</f>
        <v>-2.5665823944817461E-2</v>
      </c>
      <c r="Z15">
        <f>Return!Z15-'Return Estimasi'!Z15</f>
        <v>-0.15883535120012807</v>
      </c>
      <c r="AA15">
        <f>Return!AA15-'Return Estimasi'!AA15</f>
        <v>-4.9116215777187527E-2</v>
      </c>
      <c r="AB15">
        <f>Return!AB15-'Return Estimasi'!AB15</f>
        <v>-2.299938904397987E-2</v>
      </c>
      <c r="AC15">
        <f>Return!AC15-'Return Estimasi'!AC15</f>
        <v>4.0392470005763431E-2</v>
      </c>
      <c r="AD15">
        <f>Return!AD15-'Return Estimasi'!AD15</f>
        <v>-1.5227111825562994E-2</v>
      </c>
      <c r="AE15">
        <f>Return!AE15-'Return Estimasi'!AE15</f>
        <v>-3.474489714614841E-2</v>
      </c>
      <c r="AF15">
        <f>Return!AF15-'Return Estimasi'!AF15</f>
        <v>-16.392743567431339</v>
      </c>
    </row>
    <row r="16" spans="1:32" x14ac:dyDescent="0.3">
      <c r="A16" s="3" t="s">
        <v>7</v>
      </c>
      <c r="B16">
        <f>('Data Saham'!B16-'Data Saham'!B15)/'Data Saham'!B15</f>
        <v>-1.9350734212204609E-2</v>
      </c>
      <c r="C16">
        <f>Return!C16-'Return Estimasi'!C16</f>
        <v>-3.8455267643366861E-2</v>
      </c>
      <c r="D16">
        <f>Return!D16-'Return Estimasi'!D16</f>
        <v>2.8775006627709314E-2</v>
      </c>
      <c r="E16">
        <f>Return!E16-'Return Estimasi'!E16</f>
        <v>-2.6593647517888258E-2</v>
      </c>
      <c r="F16">
        <f>Return!F16-'Return Estimasi'!F16</f>
        <v>-5.9480002024976039E-2</v>
      </c>
      <c r="G16">
        <f>Return!G16-'Return Estimasi'!G16</f>
        <v>-1.7658370344998009E-2</v>
      </c>
      <c r="H16">
        <f>Return!H16-'Return Estimasi'!H16</f>
        <v>4.0167033609427819E-2</v>
      </c>
      <c r="I16">
        <f>Return!I16-'Return Estimasi'!I16</f>
        <v>7.7078860564874872E-3</v>
      </c>
      <c r="J16">
        <f>Return!J16-'Return Estimasi'!J16</f>
        <v>-1.4988604641690741E-3</v>
      </c>
      <c r="K16">
        <f>Return!K16-'Return Estimasi'!K16</f>
        <v>1.6895113726141851E-2</v>
      </c>
      <c r="L16">
        <f>Return!L16-'Return Estimasi'!L16</f>
        <v>-1.1044779413672753E-2</v>
      </c>
      <c r="M16">
        <f>Return!M16-'Return Estimasi'!M16</f>
        <v>-2.2814277521214316E-2</v>
      </c>
      <c r="N16">
        <f>Return!N16-'Return Estimasi'!N16</f>
        <v>-9.0210501968073509E-3</v>
      </c>
      <c r="O16">
        <f>Return!O16-'Return Estimasi'!O16</f>
        <v>1.0257446286962631E-2</v>
      </c>
      <c r="P16">
        <f>Return!P16-'Return Estimasi'!P16</f>
        <v>2.8515302850140145E-2</v>
      </c>
      <c r="Q16">
        <f>Return!Q16-'Return Estimasi'!Q16</f>
        <v>1.4167391841802962E-2</v>
      </c>
      <c r="R16">
        <f>Return!R16-'Return Estimasi'!R16</f>
        <v>3.9693685348438291E-2</v>
      </c>
      <c r="S16">
        <f>Return!S16-'Return Estimasi'!S16</f>
        <v>6.1775470348395768E-3</v>
      </c>
      <c r="T16">
        <f>Return!T16-'Return Estimasi'!T16</f>
        <v>2.4229052929647509E-3</v>
      </c>
      <c r="U16">
        <f>Return!U16-'Return Estimasi'!U16</f>
        <v>-3.6818101512649692E-2</v>
      </c>
      <c r="V16">
        <f>Return!V16-'Return Estimasi'!V16</f>
        <v>2.884322832733555E-2</v>
      </c>
      <c r="W16">
        <f>Return!W16-'Return Estimasi'!W16</f>
        <v>7.1517812606206793E-2</v>
      </c>
      <c r="X16">
        <f>Return!X16-'Return Estimasi'!X16</f>
        <v>2.504888061656357E-2</v>
      </c>
      <c r="Y16">
        <f>Return!Y16-'Return Estimasi'!Y16</f>
        <v>-7.2198477461742183E-2</v>
      </c>
      <c r="Z16">
        <f>Return!Z16-'Return Estimasi'!Z16</f>
        <v>6.1598666631693336E-3</v>
      </c>
      <c r="AA16">
        <f>Return!AA16-'Return Estimasi'!AA16</f>
        <v>-7.1254843632750781E-3</v>
      </c>
      <c r="AB16">
        <f>Return!AB16-'Return Estimasi'!AB16</f>
        <v>2.1251610272567074E-2</v>
      </c>
      <c r="AC16">
        <f>Return!AC16-'Return Estimasi'!AC16</f>
        <v>1.6627645025875919E-3</v>
      </c>
      <c r="AD16">
        <f>Return!AD16-'Return Estimasi'!AD16</f>
        <v>-1.1166555278031613E-2</v>
      </c>
      <c r="AE16">
        <f>Return!AE16-'Return Estimasi'!AE16</f>
        <v>-3.3850869250856438E-2</v>
      </c>
      <c r="AF16">
        <f>Return!AF16-'Return Estimasi'!AF16</f>
        <v>-17.293607769341442</v>
      </c>
    </row>
    <row r="17" spans="1:32" x14ac:dyDescent="0.3">
      <c r="A17" s="4" t="s">
        <v>8</v>
      </c>
      <c r="B17">
        <f>('Data Saham'!B17-'Data Saham'!B16)/'Data Saham'!B16</f>
        <v>-1.5493322339721777E-2</v>
      </c>
      <c r="C17">
        <f>Return!C17-'Return Estimasi'!C17</f>
        <v>2.1276800082967978E-2</v>
      </c>
      <c r="D17">
        <f>Return!D17-'Return Estimasi'!D17</f>
        <v>-1.0271594661605384E-2</v>
      </c>
      <c r="E17">
        <f>Return!E17-'Return Estimasi'!E17</f>
        <v>2.6423682573612044E-2</v>
      </c>
      <c r="F17">
        <f>Return!F17-'Return Estimasi'!F17</f>
        <v>-2.9505359076293855E-5</v>
      </c>
      <c r="G17">
        <f>Return!G17-'Return Estimasi'!G17</f>
        <v>2.0997471402080095E-2</v>
      </c>
      <c r="H17">
        <f>Return!H17-'Return Estimasi'!H17</f>
        <v>-2.1020747261624458E-2</v>
      </c>
      <c r="I17">
        <f>Return!I17-'Return Estimasi'!I17</f>
        <v>-5.7528567305616552E-3</v>
      </c>
      <c r="J17">
        <f>Return!J17-'Return Estimasi'!J17</f>
        <v>-2.0579120631611922E-2</v>
      </c>
      <c r="K17">
        <f>Return!K17-'Return Estimasi'!K17</f>
        <v>-1.4513882252699574E-2</v>
      </c>
      <c r="L17">
        <f>Return!L17-'Return Estimasi'!L17</f>
        <v>-2.0583460319248285E-2</v>
      </c>
      <c r="M17">
        <f>Return!M17-'Return Estimasi'!M17</f>
        <v>1.3071789886815741E-2</v>
      </c>
      <c r="N17">
        <f>Return!N17-'Return Estimasi'!N17</f>
        <v>2.1950845615908675E-3</v>
      </c>
      <c r="O17">
        <f>Return!O17-'Return Estimasi'!O17</f>
        <v>-1.4624197727948259E-3</v>
      </c>
      <c r="P17">
        <f>Return!P17-'Return Estimasi'!P17</f>
        <v>-2.258801124515232E-2</v>
      </c>
      <c r="Q17">
        <f>Return!Q17-'Return Estimasi'!Q17</f>
        <v>1.4470475143950995E-2</v>
      </c>
      <c r="R17">
        <f>Return!R17-'Return Estimasi'!R17</f>
        <v>-3.4806761563816683E-3</v>
      </c>
      <c r="S17">
        <f>Return!S17-'Return Estimasi'!S17</f>
        <v>-9.3336571503320771E-3</v>
      </c>
      <c r="T17">
        <f>Return!T17-'Return Estimasi'!T17</f>
        <v>7.7371291025341094E-3</v>
      </c>
      <c r="U17">
        <f>Return!U17-'Return Estimasi'!U17</f>
        <v>6.3902922062323189E-2</v>
      </c>
      <c r="V17">
        <f>Return!V17-'Return Estimasi'!V17</f>
        <v>6.6023599238625537E-3</v>
      </c>
      <c r="W17">
        <f>Return!W17-'Return Estimasi'!W17</f>
        <v>-3.7125123184577898E-2</v>
      </c>
      <c r="X17">
        <f>Return!X17-'Return Estimasi'!X17</f>
        <v>1.6407547318169298E-2</v>
      </c>
      <c r="Y17">
        <f>Return!Y17-'Return Estimasi'!Y17</f>
        <v>-4.7923212161761548E-2</v>
      </c>
      <c r="Z17">
        <f>Return!Z17-'Return Estimasi'!Z17</f>
        <v>1.3065983264864791E-2</v>
      </c>
      <c r="AA17">
        <f>Return!AA17-'Return Estimasi'!AA17</f>
        <v>2.3627169232521488E-2</v>
      </c>
      <c r="AB17">
        <f>Return!AB17-'Return Estimasi'!AB17</f>
        <v>4.8441398903994633E-3</v>
      </c>
      <c r="AC17">
        <f>Return!AC17-'Return Estimasi'!AC17</f>
        <v>-1.8595001050547878E-3</v>
      </c>
      <c r="AD17">
        <f>Return!AD17-'Return Estimasi'!AD17</f>
        <v>-5.4425471747032161E-3</v>
      </c>
      <c r="AE17">
        <f>Return!AE17-'Return Estimasi'!AE17</f>
        <v>-2.7918020322293492E-2</v>
      </c>
      <c r="AF17">
        <f>Return!AF17-'Return Estimasi'!AF17</f>
        <v>-17.135940353058714</v>
      </c>
    </row>
    <row r="18" spans="1:32" x14ac:dyDescent="0.3">
      <c r="A18" s="3" t="s">
        <v>9</v>
      </c>
      <c r="B18">
        <f>('Data Saham'!B18-'Data Saham'!B17)/'Data Saham'!B17</f>
        <v>1.2075530495583608E-2</v>
      </c>
      <c r="C18">
        <f>Return!C18-'Return Estimasi'!C18</f>
        <v>3.8450345022059233E-3</v>
      </c>
      <c r="D18">
        <f>Return!D18-'Return Estimasi'!D18</f>
        <v>3.9573553415997782E-2</v>
      </c>
      <c r="E18">
        <f>Return!E18-'Return Estimasi'!E18</f>
        <v>5.0885627246983714E-2</v>
      </c>
      <c r="F18">
        <f>Return!F18-'Return Estimasi'!F18</f>
        <v>3.8268885355700583E-2</v>
      </c>
      <c r="G18">
        <f>Return!G18-'Return Estimasi'!G18</f>
        <v>-8.204241302482344E-3</v>
      </c>
      <c r="H18">
        <f>Return!H18-'Return Estimasi'!H18</f>
        <v>-1.7105615762848463E-2</v>
      </c>
      <c r="I18">
        <f>Return!I18-'Return Estimasi'!I18</f>
        <v>-8.0487672969132961E-3</v>
      </c>
      <c r="J18">
        <f>Return!J18-'Return Estimasi'!J18</f>
        <v>-3.4090294733705997E-3</v>
      </c>
      <c r="K18">
        <f>Return!K18-'Return Estimasi'!K18</f>
        <v>-1.5545498091735537E-2</v>
      </c>
      <c r="L18">
        <f>Return!L18-'Return Estimasi'!L18</f>
        <v>2.2383491641191584E-2</v>
      </c>
      <c r="M18">
        <f>Return!M18-'Return Estimasi'!M18</f>
        <v>-1.054227695256447E-2</v>
      </c>
      <c r="N18">
        <f>Return!N18-'Return Estimasi'!N18</f>
        <v>-1.1057518082918312E-2</v>
      </c>
      <c r="O18">
        <f>Return!O18-'Return Estimasi'!O18</f>
        <v>-2.2263813190998526E-2</v>
      </c>
      <c r="P18">
        <f>Return!P18-'Return Estimasi'!P18</f>
        <v>-8.7402770700404503E-3</v>
      </c>
      <c r="Q18">
        <f>Return!Q18-'Return Estimasi'!Q18</f>
        <v>-2.8122232028646471E-2</v>
      </c>
      <c r="R18">
        <f>Return!R18-'Return Estimasi'!R18</f>
        <v>2.0919553475866656E-2</v>
      </c>
      <c r="S18">
        <f>Return!S18-'Return Estimasi'!S18</f>
        <v>-6.4744970670940951E-3</v>
      </c>
      <c r="T18">
        <f>Return!T18-'Return Estimasi'!T18</f>
        <v>-2.0645178160268146E-2</v>
      </c>
      <c r="U18">
        <f>Return!U18-'Return Estimasi'!U18</f>
        <v>0.11715655407415432</v>
      </c>
      <c r="V18">
        <f>Return!V18-'Return Estimasi'!V18</f>
        <v>-5.5473028912545541E-3</v>
      </c>
      <c r="W18">
        <f>Return!W18-'Return Estimasi'!W18</f>
        <v>-4.0423810372542578E-2</v>
      </c>
      <c r="X18">
        <f>Return!X18-'Return Estimasi'!X18</f>
        <v>2.8209510915127543E-2</v>
      </c>
      <c r="Y18">
        <f>Return!Y18-'Return Estimasi'!Y18</f>
        <v>1.9457014725986869E-2</v>
      </c>
      <c r="Z18">
        <f>Return!Z18-'Return Estimasi'!Z18</f>
        <v>1.661676585351473E-3</v>
      </c>
      <c r="AA18">
        <f>Return!AA18-'Return Estimasi'!AA18</f>
        <v>1.928938171711634E-2</v>
      </c>
      <c r="AB18">
        <f>Return!AB18-'Return Estimasi'!AB18</f>
        <v>-2.433973050087062E-2</v>
      </c>
      <c r="AC18">
        <f>Return!AC18-'Return Estimasi'!AC18</f>
        <v>-3.2979046489369231E-2</v>
      </c>
      <c r="AD18">
        <f>Return!AD18-'Return Estimasi'!AD18</f>
        <v>-5.8796852296857573E-3</v>
      </c>
      <c r="AE18">
        <f>Return!AE18-'Return Estimasi'!AE18</f>
        <v>-3.2622187993048462E-3</v>
      </c>
      <c r="AF18">
        <f>Return!AF18-'Return Estimasi'!AF18</f>
        <v>-16.305681712898576</v>
      </c>
    </row>
    <row r="19" spans="1:32" x14ac:dyDescent="0.3">
      <c r="A19" s="4" t="s">
        <v>10</v>
      </c>
      <c r="B19">
        <f>('Data Saham'!B19-'Data Saham'!B18)/'Data Saham'!B18</f>
        <v>3.7965751601284202E-2</v>
      </c>
      <c r="C19">
        <f>Return!C19-'Return Estimasi'!C19</f>
        <v>2.8033283047684571E-2</v>
      </c>
      <c r="D19">
        <f>Return!D19-'Return Estimasi'!D19</f>
        <v>1.411353697967279E-2</v>
      </c>
      <c r="E19">
        <f>Return!E19-'Return Estimasi'!E19</f>
        <v>4.9265597582672897E-2</v>
      </c>
      <c r="F19">
        <f>Return!F19-'Return Estimasi'!F19</f>
        <v>5.7695903534760562E-2</v>
      </c>
      <c r="G19">
        <f>Return!G19-'Return Estimasi'!G19</f>
        <v>6.9156108322425899E-3</v>
      </c>
      <c r="H19">
        <f>Return!H19-'Return Estimasi'!H19</f>
        <v>6.2627667024622163E-3</v>
      </c>
      <c r="I19">
        <f>Return!I19-'Return Estimasi'!I19</f>
        <v>2.6421534220222882E-3</v>
      </c>
      <c r="J19">
        <f>Return!J19-'Return Estimasi'!J19</f>
        <v>7.5360178729393205E-3</v>
      </c>
      <c r="K19">
        <f>Return!K19-'Return Estimasi'!K19</f>
        <v>1.738085367448923E-2</v>
      </c>
      <c r="L19">
        <f>Return!L19-'Return Estimasi'!L19</f>
        <v>8.964206647794461E-3</v>
      </c>
      <c r="M19">
        <f>Return!M19-'Return Estimasi'!M19</f>
        <v>-1.070168618292669E-2</v>
      </c>
      <c r="N19">
        <f>Return!N19-'Return Estimasi'!N19</f>
        <v>2.2872593977865022E-2</v>
      </c>
      <c r="O19">
        <f>Return!O19-'Return Estimasi'!O19</f>
        <v>1.4176218438175625E-2</v>
      </c>
      <c r="P19">
        <f>Return!P19-'Return Estimasi'!P19</f>
        <v>8.0925785033324898E-3</v>
      </c>
      <c r="Q19">
        <f>Return!Q19-'Return Estimasi'!Q19</f>
        <v>-3.3412499152242162E-2</v>
      </c>
      <c r="R19">
        <f>Return!R19-'Return Estimasi'!R19</f>
        <v>-5.2225858627186775E-2</v>
      </c>
      <c r="S19">
        <f>Return!S19-'Return Estimasi'!S19</f>
        <v>-2.3774539201884097E-3</v>
      </c>
      <c r="T19">
        <f>Return!T19-'Return Estimasi'!T19</f>
        <v>5.3173973004472311E-3</v>
      </c>
      <c r="U19">
        <f>Return!U19-'Return Estimasi'!U19</f>
        <v>5.3775542522644444E-2</v>
      </c>
      <c r="V19">
        <f>Return!V19-'Return Estimasi'!V19</f>
        <v>-5.2467353138213983E-3</v>
      </c>
      <c r="W19">
        <f>Return!W19-'Return Estimasi'!W19</f>
        <v>-2.0024766709313011E-2</v>
      </c>
      <c r="X19">
        <f>Return!X19-'Return Estimasi'!X19</f>
        <v>-6.2242653352073782E-2</v>
      </c>
      <c r="Y19">
        <f>Return!Y19-'Return Estimasi'!Y19</f>
        <v>4.623921022434925E-2</v>
      </c>
      <c r="Z19">
        <f>Return!Z19-'Return Estimasi'!Z19</f>
        <v>1.2636207041301362E-3</v>
      </c>
      <c r="AA19">
        <f>Return!AA19-'Return Estimasi'!AA19</f>
        <v>-3.119969751803385E-2</v>
      </c>
      <c r="AB19">
        <f>Return!AB19-'Return Estimasi'!AB19</f>
        <v>1.153120313901889E-2</v>
      </c>
      <c r="AC19">
        <f>Return!AC19-'Return Estimasi'!AC19</f>
        <v>9.9173216733573558E-3</v>
      </c>
      <c r="AD19">
        <f>Return!AD19-'Return Estimasi'!AD19</f>
        <v>-4.4345538135131535E-3</v>
      </c>
      <c r="AE19">
        <f>Return!AE19-'Return Estimasi'!AE19</f>
        <v>-5.4033140968519217E-3</v>
      </c>
      <c r="AF19">
        <f>Return!AF19-'Return Estimasi'!AF19</f>
        <v>-15.578915188601737</v>
      </c>
    </row>
    <row r="20" spans="1:32" x14ac:dyDescent="0.3">
      <c r="A20" s="3" t="s">
        <v>11</v>
      </c>
      <c r="B20">
        <f>('Data Saham'!B20-'Data Saham'!B19)/'Data Saham'!B19</f>
        <v>5.9112904720998553E-3</v>
      </c>
      <c r="C20">
        <f>Return!C20-'Return Estimasi'!C20</f>
        <v>-6.3711351898782728E-3</v>
      </c>
      <c r="D20">
        <f>Return!D20-'Return Estimasi'!D20</f>
        <v>5.5037864429115305E-3</v>
      </c>
      <c r="E20">
        <f>Return!E20-'Return Estimasi'!E20</f>
        <v>3.8467738406316541E-3</v>
      </c>
      <c r="F20">
        <f>Return!F20-'Return Estimasi'!F20</f>
        <v>-7.2499323649515219E-3</v>
      </c>
      <c r="G20">
        <f>Return!G20-'Return Estimasi'!G20</f>
        <v>-1.9238079942516383E-2</v>
      </c>
      <c r="H20">
        <f>Return!H20-'Return Estimasi'!H20</f>
        <v>2.0570356703294507E-2</v>
      </c>
      <c r="I20">
        <f>Return!I20-'Return Estimasi'!I20</f>
        <v>-3.618511906910675E-2</v>
      </c>
      <c r="J20">
        <f>Return!J20-'Return Estimasi'!J20</f>
        <v>2.3632487447746636E-2</v>
      </c>
      <c r="K20">
        <f>Return!K20-'Return Estimasi'!K20</f>
        <v>-4.1681870142833526E-3</v>
      </c>
      <c r="L20">
        <f>Return!L20-'Return Estimasi'!L20</f>
        <v>-1.6629046458701508E-3</v>
      </c>
      <c r="M20">
        <f>Return!M20-'Return Estimasi'!M20</f>
        <v>-1.9941613188066077E-2</v>
      </c>
      <c r="N20">
        <f>Return!N20-'Return Estimasi'!N20</f>
        <v>-1.989525821916404E-2</v>
      </c>
      <c r="O20">
        <f>Return!O20-'Return Estimasi'!O20</f>
        <v>5.1889597255352958E-4</v>
      </c>
      <c r="P20">
        <f>Return!P20-'Return Estimasi'!P20</f>
        <v>-4.1413910028970179E-2</v>
      </c>
      <c r="Q20">
        <f>Return!Q20-'Return Estimasi'!Q20</f>
        <v>5.0408599821048766E-3</v>
      </c>
      <c r="R20">
        <f>Return!R20-'Return Estimasi'!R20</f>
        <v>2.9197662743600541E-2</v>
      </c>
      <c r="S20">
        <f>Return!S20-'Return Estimasi'!S20</f>
        <v>-2.3210318412052518E-2</v>
      </c>
      <c r="T20">
        <f>Return!T20-'Return Estimasi'!T20</f>
        <v>-4.4959528071714695E-3</v>
      </c>
      <c r="U20">
        <f>Return!U20-'Return Estimasi'!U20</f>
        <v>-4.3083556189259534E-2</v>
      </c>
      <c r="V20">
        <f>Return!V20-'Return Estimasi'!V20</f>
        <v>-3.267850727438315E-3</v>
      </c>
      <c r="W20">
        <f>Return!W20-'Return Estimasi'!W20</f>
        <v>3.0658848934999129E-2</v>
      </c>
      <c r="X20">
        <f>Return!X20-'Return Estimasi'!X20</f>
        <v>-1.0824627181805137E-2</v>
      </c>
      <c r="Y20">
        <f>Return!Y20-'Return Estimasi'!Y20</f>
        <v>1.6792427239352932E-2</v>
      </c>
      <c r="Z20">
        <f>Return!Z20-'Return Estimasi'!Z20</f>
        <v>-4.2013979609087024E-2</v>
      </c>
      <c r="AA20">
        <f>Return!AA20-'Return Estimasi'!AA20</f>
        <v>9.609683352338869E-3</v>
      </c>
      <c r="AB20">
        <f>Return!AB20-'Return Estimasi'!AB20</f>
        <v>-5.3488869620961109E-3</v>
      </c>
      <c r="AC20">
        <f>Return!AC20-'Return Estimasi'!AC20</f>
        <v>-6.2344113643794273E-3</v>
      </c>
      <c r="AD20">
        <f>Return!AD20-'Return Estimasi'!AD20</f>
        <v>-1.5378914181236013E-4</v>
      </c>
      <c r="AE20">
        <f>Return!AE20-'Return Estimasi'!AE20</f>
        <v>-2.7464781407657814E-2</v>
      </c>
      <c r="AF20">
        <f>Return!AF20-'Return Estimasi'!AF20</f>
        <v>-16.539692267617838</v>
      </c>
    </row>
    <row r="21" spans="1:32" x14ac:dyDescent="0.3">
      <c r="A21" s="2">
        <v>45873</v>
      </c>
      <c r="B21">
        <f>('Data Saham'!B21-'Data Saham'!B20)/'Data Saham'!B20</f>
        <v>-7.9021659995514956E-2</v>
      </c>
      <c r="C21">
        <f>Return!C21-'Return Estimasi'!C21</f>
        <v>-1.5776457206842273E-2</v>
      </c>
      <c r="D21">
        <f>Return!D21-'Return Estimasi'!D21</f>
        <v>-2.4709118740080499E-2</v>
      </c>
      <c r="E21">
        <f>Return!E21-'Return Estimasi'!E21</f>
        <v>-2.4664798744410729E-2</v>
      </c>
      <c r="F21">
        <f>Return!F21-'Return Estimasi'!F21</f>
        <v>1.7514416846258873E-2</v>
      </c>
      <c r="G21">
        <f>Return!G21-'Return Estimasi'!G21</f>
        <v>1.9776776712946371E-2</v>
      </c>
      <c r="H21">
        <f>Return!H21-'Return Estimasi'!H21</f>
        <v>-3.6719203689317761E-2</v>
      </c>
      <c r="I21">
        <f>Return!I21-'Return Estimasi'!I21</f>
        <v>-1.1327125623940504E-2</v>
      </c>
      <c r="J21">
        <f>Return!J21-'Return Estimasi'!J21</f>
        <v>3.6844340389714264E-2</v>
      </c>
      <c r="K21">
        <f>Return!K21-'Return Estimasi'!K21</f>
        <v>-3.5334070850166474E-2</v>
      </c>
      <c r="L21">
        <f>Return!L21-'Return Estimasi'!L21</f>
        <v>-1.9828443871265991E-2</v>
      </c>
      <c r="M21">
        <f>Return!M21-'Return Estimasi'!M21</f>
        <v>-7.2175021691966143E-2</v>
      </c>
      <c r="N21">
        <f>Return!N21-'Return Estimasi'!N21</f>
        <v>-3.3458088785511417E-2</v>
      </c>
      <c r="O21">
        <f>Return!O21-'Return Estimasi'!O21</f>
        <v>-2.9859254430663063E-2</v>
      </c>
      <c r="P21">
        <f>Return!P21-'Return Estimasi'!P21</f>
        <v>-1.7726902977379708E-2</v>
      </c>
      <c r="Q21">
        <f>Return!Q21-'Return Estimasi'!Q21</f>
        <v>4.6942598705582858E-2</v>
      </c>
      <c r="R21">
        <f>Return!R21-'Return Estimasi'!R21</f>
        <v>-2.3375670618694874E-2</v>
      </c>
      <c r="S21">
        <f>Return!S21-'Return Estimasi'!S21</f>
        <v>-5.0309962052034231E-2</v>
      </c>
      <c r="T21">
        <f>Return!T21-'Return Estimasi'!T21</f>
        <v>-1.3169330283132011E-2</v>
      </c>
      <c r="U21">
        <f>Return!U21-'Return Estimasi'!U21</f>
        <v>-6.082871196369917E-2</v>
      </c>
      <c r="V21">
        <f>Return!V21-'Return Estimasi'!V21</f>
        <v>-7.3929000156085681E-2</v>
      </c>
      <c r="W21">
        <f>Return!W21-'Return Estimasi'!W21</f>
        <v>5.6168592799779496E-2</v>
      </c>
      <c r="X21">
        <f>Return!X21-'Return Estimasi'!X21</f>
        <v>-2.5746562144767351E-2</v>
      </c>
      <c r="Y21">
        <f>Return!Y21-'Return Estimasi'!Y21</f>
        <v>5.4752207734184356E-2</v>
      </c>
      <c r="Z21">
        <f>Return!Z21-'Return Estimasi'!Z21</f>
        <v>-3.7610962557019324E-2</v>
      </c>
      <c r="AA21">
        <f>Return!AA21-'Return Estimasi'!AA21</f>
        <v>-5.8661723948862821E-2</v>
      </c>
      <c r="AB21">
        <f>Return!AB21-'Return Estimasi'!AB21</f>
        <v>-6.0494197822023171E-2</v>
      </c>
      <c r="AC21">
        <f>Return!AC21-'Return Estimasi'!AC21</f>
        <v>-5.1869035480452755E-2</v>
      </c>
      <c r="AD21">
        <f>Return!AD21-'Return Estimasi'!AD21</f>
        <v>-3.0357897466880876E-2</v>
      </c>
      <c r="AE21">
        <f>Return!AE21-'Return Estimasi'!AE21</f>
        <v>-2.2028299886122593E-2</v>
      </c>
      <c r="AF21">
        <f>Return!AF21-'Return Estimasi'!AF21</f>
        <v>-18.941700434934393</v>
      </c>
    </row>
    <row r="22" spans="1:32" x14ac:dyDescent="0.3">
      <c r="A22" s="1">
        <v>45904</v>
      </c>
      <c r="B22">
        <f>('Data Saham'!B22-'Data Saham'!B21)/'Data Saham'!B21</f>
        <v>-4.694686915248901E-3</v>
      </c>
      <c r="C22">
        <f>Return!C22-'Return Estimasi'!C22</f>
        <v>2.4964410334812264E-2</v>
      </c>
      <c r="D22">
        <f>Return!D22-'Return Estimasi'!D22</f>
        <v>6.8627693743182399E-4</v>
      </c>
      <c r="E22">
        <f>Return!E22-'Return Estimasi'!E22</f>
        <v>1.3082962441104249E-2</v>
      </c>
      <c r="F22">
        <f>Return!F22-'Return Estimasi'!F22</f>
        <v>6.567848658152328E-3</v>
      </c>
      <c r="G22">
        <f>Return!G22-'Return Estimasi'!G22</f>
        <v>1.5711890550485372E-2</v>
      </c>
      <c r="H22">
        <f>Return!H22-'Return Estimasi'!H22</f>
        <v>3.395586408956662E-2</v>
      </c>
      <c r="I22">
        <f>Return!I22-'Return Estimasi'!I22</f>
        <v>-9.031701270311901E-3</v>
      </c>
      <c r="J22">
        <f>Return!J22-'Return Estimasi'!J22</f>
        <v>-7.1508231226643751E-2</v>
      </c>
      <c r="K22">
        <f>Return!K22-'Return Estimasi'!K22</f>
        <v>6.1379918722385789E-3</v>
      </c>
      <c r="L22">
        <f>Return!L22-'Return Estimasi'!L22</f>
        <v>4.5718052309322667E-2</v>
      </c>
      <c r="M22">
        <f>Return!M22-'Return Estimasi'!M22</f>
        <v>5.3011220745497023E-2</v>
      </c>
      <c r="N22">
        <f>Return!N22-'Return Estimasi'!N22</f>
        <v>-0.13872095882005644</v>
      </c>
      <c r="O22">
        <f>Return!O22-'Return Estimasi'!O22</f>
        <v>3.3877897639843085E-2</v>
      </c>
      <c r="P22">
        <f>Return!P22-'Return Estimasi'!P22</f>
        <v>2.3400857995797303E-2</v>
      </c>
      <c r="Q22">
        <f>Return!Q22-'Return Estimasi'!Q22</f>
        <v>2.5713831570259953E-2</v>
      </c>
      <c r="R22">
        <f>Return!R22-'Return Estimasi'!R22</f>
        <v>5.0982793897704659E-2</v>
      </c>
      <c r="S22">
        <f>Return!S22-'Return Estimasi'!S22</f>
        <v>2.0236761376101566E-2</v>
      </c>
      <c r="T22">
        <f>Return!T22-'Return Estimasi'!T22</f>
        <v>-6.3500327244770853E-3</v>
      </c>
      <c r="U22">
        <f>Return!U22-'Return Estimasi'!U22</f>
        <v>-7.0320191169109231E-2</v>
      </c>
      <c r="V22">
        <f>Return!V22-'Return Estimasi'!V22</f>
        <v>2.672819689595227E-2</v>
      </c>
      <c r="W22">
        <f>Return!W22-'Return Estimasi'!W22</f>
        <v>-6.3099348299992419E-2</v>
      </c>
      <c r="X22">
        <f>Return!X22-'Return Estimasi'!X22</f>
        <v>-6.2678158355276653E-2</v>
      </c>
      <c r="Y22">
        <f>Return!Y22-'Return Estimasi'!Y22</f>
        <v>2.5039938378063765E-2</v>
      </c>
      <c r="Z22">
        <f>Return!Z22-'Return Estimasi'!Z22</f>
        <v>3.1348648401744429E-2</v>
      </c>
      <c r="AA22">
        <f>Return!AA22-'Return Estimasi'!AA22</f>
        <v>-4.0405790792414097E-2</v>
      </c>
      <c r="AB22">
        <f>Return!AB22-'Return Estimasi'!AB22</f>
        <v>-5.0518995073682758E-2</v>
      </c>
      <c r="AC22">
        <f>Return!AC22-'Return Estimasi'!AC22</f>
        <v>-1.2960792593202082E-2</v>
      </c>
      <c r="AD22">
        <f>Return!AD22-'Return Estimasi'!AD22</f>
        <v>4.9210737861600396E-3</v>
      </c>
      <c r="AE22">
        <f>Return!AE22-'Return Estimasi'!AE22</f>
        <v>3.6157199204128196E-3</v>
      </c>
      <c r="AF22">
        <f>Return!AF22-'Return Estimasi'!AF22</f>
        <v>-16.777194598465286</v>
      </c>
    </row>
    <row r="23" spans="1:32" x14ac:dyDescent="0.3">
      <c r="A23" s="2">
        <v>45934</v>
      </c>
      <c r="B23">
        <f>('Data Saham'!B23-'Data Saham'!B22)/'Data Saham'!B22</f>
        <v>4.792735912761259E-2</v>
      </c>
      <c r="C23">
        <f>Return!C23-'Return Estimasi'!C23</f>
        <v>-1.674923337119584E-3</v>
      </c>
      <c r="D23">
        <f>Return!D23-'Return Estimasi'!D23</f>
        <v>-1.4821665926593869E-3</v>
      </c>
      <c r="E23">
        <f>Return!E23-'Return Estimasi'!E23</f>
        <v>1.9897689401150692E-2</v>
      </c>
      <c r="F23">
        <f>Return!F23-'Return Estimasi'!F23</f>
        <v>1.3970101726391758E-2</v>
      </c>
      <c r="G23">
        <f>Return!G23-'Return Estimasi'!G23</f>
        <v>-3.186236520525499E-2</v>
      </c>
      <c r="H23">
        <f>Return!H23-'Return Estimasi'!H23</f>
        <v>-1.3216765475609904E-2</v>
      </c>
      <c r="I23">
        <f>Return!I23-'Return Estimasi'!I23</f>
        <v>2.5939209290333342E-2</v>
      </c>
      <c r="J23">
        <f>Return!J23-'Return Estimasi'!J23</f>
        <v>4.6217156143987054E-2</v>
      </c>
      <c r="K23">
        <f>Return!K23-'Return Estimasi'!K23</f>
        <v>-1.613484843946926E-2</v>
      </c>
      <c r="L23">
        <f>Return!L23-'Return Estimasi'!L23</f>
        <v>5.0275795823255844E-3</v>
      </c>
      <c r="M23">
        <f>Return!M23-'Return Estimasi'!M23</f>
        <v>5.3467766004167E-2</v>
      </c>
      <c r="N23">
        <f>Return!N23-'Return Estimasi'!N23</f>
        <v>0.10785986565491043</v>
      </c>
      <c r="O23">
        <f>Return!O23-'Return Estimasi'!O23</f>
        <v>1.5999089571013397E-2</v>
      </c>
      <c r="P23">
        <f>Return!P23-'Return Estimasi'!P23</f>
        <v>6.0154482556667513E-2</v>
      </c>
      <c r="Q23">
        <f>Return!Q23-'Return Estimasi'!Q23</f>
        <v>-3.9641546337674062E-2</v>
      </c>
      <c r="R23">
        <f>Return!R23-'Return Estimasi'!R23</f>
        <v>8.9775803199659762E-3</v>
      </c>
      <c r="S23">
        <f>Return!S23-'Return Estimasi'!S23</f>
        <v>6.120188472802518E-3</v>
      </c>
      <c r="T23">
        <f>Return!T23-'Return Estimasi'!T23</f>
        <v>1.9363525815841446E-2</v>
      </c>
      <c r="U23">
        <f>Return!U23-'Return Estimasi'!U23</f>
        <v>-1.9264096040279892E-2</v>
      </c>
      <c r="V23">
        <f>Return!V23-'Return Estimasi'!V23</f>
        <v>1.6863523660804895E-2</v>
      </c>
      <c r="W23">
        <f>Return!W23-'Return Estimasi'!W23</f>
        <v>-1.5257412834642214E-3</v>
      </c>
      <c r="X23">
        <f>Return!X23-'Return Estimasi'!X23</f>
        <v>0.17583384849355921</v>
      </c>
      <c r="Y23">
        <f>Return!Y23-'Return Estimasi'!Y23</f>
        <v>6.9722510504969762E-2</v>
      </c>
      <c r="Z23">
        <f>Return!Z23-'Return Estimasi'!Z23</f>
        <v>4.6077595014217175E-2</v>
      </c>
      <c r="AA23">
        <f>Return!AA23-'Return Estimasi'!AA23</f>
        <v>0.10098398649119124</v>
      </c>
      <c r="AB23">
        <f>Return!AB23-'Return Estimasi'!AB23</f>
        <v>8.4737240782378931E-2</v>
      </c>
      <c r="AC23">
        <f>Return!AC23-'Return Estimasi'!AC23</f>
        <v>-2.1466457807445757E-3</v>
      </c>
      <c r="AD23">
        <f>Return!AD23-'Return Estimasi'!AD23</f>
        <v>-5.7993763115518557E-3</v>
      </c>
      <c r="AE23">
        <f>Return!AE23-'Return Estimasi'!AE23</f>
        <v>1.4748961857744061E-2</v>
      </c>
      <c r="AF23">
        <f>Return!AF23-'Return Estimasi'!AF23</f>
        <v>-15.265276721413915</v>
      </c>
    </row>
    <row r="24" spans="1:32" x14ac:dyDescent="0.3">
      <c r="A24" s="1">
        <v>45965</v>
      </c>
      <c r="B24">
        <f>('Data Saham'!B24-'Data Saham'!B23)/'Data Saham'!B23</f>
        <v>1.3127556355750584E-3</v>
      </c>
      <c r="C24">
        <f>Return!C24-'Return Estimasi'!C24</f>
        <v>6.5905220963029167E-3</v>
      </c>
      <c r="D24">
        <f>Return!D24-'Return Estimasi'!D24</f>
        <v>-4.7210932346256979E-2</v>
      </c>
      <c r="E24">
        <f>Return!E24-'Return Estimasi'!E24</f>
        <v>1.3563798268239328E-2</v>
      </c>
      <c r="F24">
        <f>Return!F24-'Return Estimasi'!F24</f>
        <v>2.9514481005016833E-2</v>
      </c>
      <c r="G24">
        <f>Return!G24-'Return Estimasi'!G24</f>
        <v>-1.1311021401721679E-2</v>
      </c>
      <c r="H24">
        <f>Return!H24-'Return Estimasi'!H24</f>
        <v>-1.3358332598113094E-3</v>
      </c>
      <c r="I24">
        <f>Return!I24-'Return Estimasi'!I24</f>
        <v>-6.1911587744942678E-3</v>
      </c>
      <c r="J24">
        <f>Return!J24-'Return Estimasi'!J24</f>
        <v>-2.5052263559891902E-2</v>
      </c>
      <c r="K24">
        <f>Return!K24-'Return Estimasi'!K24</f>
        <v>6.2668337607409662E-3</v>
      </c>
      <c r="L24">
        <f>Return!L24-'Return Estimasi'!L24</f>
        <v>5.3782001404938237E-3</v>
      </c>
      <c r="M24">
        <f>Return!M24-'Return Estimasi'!M24</f>
        <v>3.0420860531900684E-2</v>
      </c>
      <c r="N24">
        <f>Return!N24-'Return Estimasi'!N24</f>
        <v>7.0039928180753844E-2</v>
      </c>
      <c r="O24">
        <f>Return!O24-'Return Estimasi'!O24</f>
        <v>1.9007875501935882E-2</v>
      </c>
      <c r="P24">
        <f>Return!P24-'Return Estimasi'!P24</f>
        <v>-8.9828820061898379E-3</v>
      </c>
      <c r="Q24">
        <f>Return!Q24-'Return Estimasi'!Q24</f>
        <v>-3.8489835016875806E-2</v>
      </c>
      <c r="R24">
        <f>Return!R24-'Return Estimasi'!R24</f>
        <v>3.0639672954235239E-2</v>
      </c>
      <c r="S24">
        <f>Return!S24-'Return Estimasi'!S24</f>
        <v>-1.4973408855890265E-2</v>
      </c>
      <c r="T24">
        <f>Return!T24-'Return Estimasi'!T24</f>
        <v>-1.4558171211010391E-2</v>
      </c>
      <c r="U24">
        <f>Return!U24-'Return Estimasi'!U24</f>
        <v>-1.0940565257411231E-2</v>
      </c>
      <c r="V24">
        <f>Return!V24-'Return Estimasi'!V24</f>
        <v>1.1192452792341317E-3</v>
      </c>
      <c r="W24">
        <f>Return!W24-'Return Estimasi'!W24</f>
        <v>1.0534985962079205E-2</v>
      </c>
      <c r="X24">
        <f>Return!X24-'Return Estimasi'!X24</f>
        <v>-4.2346580619586204E-2</v>
      </c>
      <c r="Y24">
        <f>Return!Y24-'Return Estimasi'!Y24</f>
        <v>-3.4381606627040318E-2</v>
      </c>
      <c r="Z24">
        <f>Return!Z24-'Return Estimasi'!Z24</f>
        <v>-1.5982163831136167E-2</v>
      </c>
      <c r="AA24">
        <f>Return!AA24-'Return Estimasi'!AA24</f>
        <v>1.9617514747859364E-2</v>
      </c>
      <c r="AB24">
        <f>Return!AB24-'Return Estimasi'!AB24</f>
        <v>1.2651189457771616E-2</v>
      </c>
      <c r="AC24">
        <f>Return!AC24-'Return Estimasi'!AC24</f>
        <v>5.4833202959036478E-3</v>
      </c>
      <c r="AD24">
        <f>Return!AD24-'Return Estimasi'!AD24</f>
        <v>4.621148198318388E-3</v>
      </c>
      <c r="AE24">
        <f>Return!AE24-'Return Estimasi'!AE24</f>
        <v>5.1298090670113027E-3</v>
      </c>
      <c r="AF24">
        <f>Return!AF24-'Return Estimasi'!AF24</f>
        <v>-16.649300353665634</v>
      </c>
    </row>
    <row r="25" spans="1:32" x14ac:dyDescent="0.3">
      <c r="A25" s="4" t="s">
        <v>12</v>
      </c>
      <c r="B25">
        <f>('Data Saham'!B25-'Data Saham'!B24)/'Data Saham'!B24</f>
        <v>1.6973186867936963E-2</v>
      </c>
      <c r="C25">
        <f>Return!C25-'Return Estimasi'!C25</f>
        <v>2.1651384069360236E-3</v>
      </c>
      <c r="D25">
        <f>Return!D25-'Return Estimasi'!D25</f>
        <v>-1.3453744126498829E-3</v>
      </c>
      <c r="E25">
        <f>Return!E25-'Return Estimasi'!E25</f>
        <v>-8.5315219389230965E-2</v>
      </c>
      <c r="F25">
        <f>Return!F25-'Return Estimasi'!F25</f>
        <v>2.2179856334470931E-2</v>
      </c>
      <c r="G25">
        <f>Return!G25-'Return Estimasi'!G25</f>
        <v>2.6010288021747215E-2</v>
      </c>
      <c r="H25">
        <f>Return!H25-'Return Estimasi'!H25</f>
        <v>3.4837244867858774E-2</v>
      </c>
      <c r="I25">
        <f>Return!I25-'Return Estimasi'!I25</f>
        <v>3.4973953426957194E-2</v>
      </c>
      <c r="J25">
        <f>Return!J25-'Return Estimasi'!J25</f>
        <v>2.7792750147027239E-2</v>
      </c>
      <c r="K25">
        <f>Return!K25-'Return Estimasi'!K25</f>
        <v>1.185569961458758E-2</v>
      </c>
      <c r="L25">
        <f>Return!L25-'Return Estimasi'!L25</f>
        <v>5.4147638122845183E-2</v>
      </c>
      <c r="M25">
        <f>Return!M25-'Return Estimasi'!M25</f>
        <v>6.1256678892050699E-2</v>
      </c>
      <c r="N25">
        <f>Return!N25-'Return Estimasi'!N25</f>
        <v>8.1782482000188936E-2</v>
      </c>
      <c r="O25">
        <f>Return!O25-'Return Estimasi'!O25</f>
        <v>2.9590857886172994E-2</v>
      </c>
      <c r="P25">
        <f>Return!P25-'Return Estimasi'!P25</f>
        <v>1.6363874881785367E-2</v>
      </c>
      <c r="Q25">
        <f>Return!Q25-'Return Estimasi'!Q25</f>
        <v>-2.460181169739268E-2</v>
      </c>
      <c r="R25">
        <f>Return!R25-'Return Estimasi'!R25</f>
        <v>4.1750043555448535E-2</v>
      </c>
      <c r="S25">
        <f>Return!S25-'Return Estimasi'!S25</f>
        <v>3.9404773594169176E-2</v>
      </c>
      <c r="T25">
        <f>Return!T25-'Return Estimasi'!T25</f>
        <v>4.3166570586775463E-2</v>
      </c>
      <c r="U25">
        <f>Return!U25-'Return Estimasi'!U25</f>
        <v>0.13069227248119542</v>
      </c>
      <c r="V25">
        <f>Return!V25-'Return Estimasi'!V25</f>
        <v>2.1063608363867212E-2</v>
      </c>
      <c r="W25">
        <f>Return!W25-'Return Estimasi'!W25</f>
        <v>1.0661897722383573E-2</v>
      </c>
      <c r="X25">
        <f>Return!X25-'Return Estimasi'!X25</f>
        <v>1.0288922738914144E-2</v>
      </c>
      <c r="Y25">
        <f>Return!Y25-'Return Estimasi'!Y25</f>
        <v>-3.0014156790517429E-2</v>
      </c>
      <c r="Z25">
        <f>Return!Z25-'Return Estimasi'!Z25</f>
        <v>6.5094935300923265E-2</v>
      </c>
      <c r="AA25">
        <f>Return!AA25-'Return Estimasi'!AA25</f>
        <v>2.0026581320482992E-2</v>
      </c>
      <c r="AB25">
        <f>Return!AB25-'Return Estimasi'!AB25</f>
        <v>2.196415671096353E-2</v>
      </c>
      <c r="AC25">
        <f>Return!AC25-'Return Estimasi'!AC25</f>
        <v>-8.0819245777178639E-3</v>
      </c>
      <c r="AD25">
        <f>Return!AD25-'Return Estimasi'!AD25</f>
        <v>2.2173270132914234E-2</v>
      </c>
      <c r="AE25">
        <f>Return!AE25-'Return Estimasi'!AE25</f>
        <v>5.3750544919083383E-2</v>
      </c>
      <c r="AF25">
        <f>Return!AF25-'Return Estimasi'!AF25</f>
        <v>-16.139409865019605</v>
      </c>
    </row>
    <row r="26" spans="1:32" x14ac:dyDescent="0.3">
      <c r="A26" s="3" t="s">
        <v>13</v>
      </c>
      <c r="B26">
        <f>('Data Saham'!B26-'Data Saham'!B25)/'Data Saham'!B25</f>
        <v>1.1487755396858272E-2</v>
      </c>
      <c r="C26">
        <f>Return!C26-'Return Estimasi'!C26</f>
        <v>1.2604642264431885E-2</v>
      </c>
      <c r="D26">
        <f>Return!D26-'Return Estimasi'!D26</f>
        <v>-1.2480017193268239E-2</v>
      </c>
      <c r="E26">
        <f>Return!E26-'Return Estimasi'!E26</f>
        <v>-1.9740464119472147E-2</v>
      </c>
      <c r="F26">
        <f>Return!F26-'Return Estimasi'!F26</f>
        <v>-6.8961014863783129E-2</v>
      </c>
      <c r="G26">
        <f>Return!G26-'Return Estimasi'!G26</f>
        <v>-3.7361337581818463E-3</v>
      </c>
      <c r="H26">
        <f>Return!H26-'Return Estimasi'!H26</f>
        <v>-2.0351772186186848E-2</v>
      </c>
      <c r="I26">
        <f>Return!I26-'Return Estimasi'!I26</f>
        <v>1.1524349806051035E-2</v>
      </c>
      <c r="J26">
        <f>Return!J26-'Return Estimasi'!J26</f>
        <v>2.1321220141907182E-2</v>
      </c>
      <c r="K26">
        <f>Return!K26-'Return Estimasi'!K26</f>
        <v>7.694981816857167E-3</v>
      </c>
      <c r="L26">
        <f>Return!L26-'Return Estimasi'!L26</f>
        <v>-7.7209563568525008E-3</v>
      </c>
      <c r="M26">
        <f>Return!M26-'Return Estimasi'!M26</f>
        <v>1.3214887251995419E-4</v>
      </c>
      <c r="N26">
        <f>Return!N26-'Return Estimasi'!N26</f>
        <v>-2.0892458947410434E-2</v>
      </c>
      <c r="O26">
        <f>Return!O26-'Return Estimasi'!O26</f>
        <v>2.1870297343382111E-2</v>
      </c>
      <c r="P26">
        <f>Return!P26-'Return Estimasi'!P26</f>
        <v>-8.2233139923369204E-3</v>
      </c>
      <c r="Q26">
        <f>Return!Q26-'Return Estimasi'!Q26</f>
        <v>-2.3355240559008984E-2</v>
      </c>
      <c r="R26">
        <f>Return!R26-'Return Estimasi'!R26</f>
        <v>-4.2175939833708875E-2</v>
      </c>
      <c r="S26">
        <f>Return!S26-'Return Estimasi'!S26</f>
        <v>-2.2358439884906909E-2</v>
      </c>
      <c r="T26">
        <f>Return!T26-'Return Estimasi'!T26</f>
        <v>-3.2073236474865853E-2</v>
      </c>
      <c r="U26">
        <f>Return!U26-'Return Estimasi'!U26</f>
        <v>3.4301111194750787E-3</v>
      </c>
      <c r="V26">
        <f>Return!V26-'Return Estimasi'!V26</f>
        <v>-2.7880994186542255E-3</v>
      </c>
      <c r="W26">
        <f>Return!W26-'Return Estimasi'!W26</f>
        <v>-9.6527287547598338E-3</v>
      </c>
      <c r="X26">
        <f>Return!X26-'Return Estimasi'!X26</f>
        <v>-3.0951871792566803E-2</v>
      </c>
      <c r="Y26">
        <f>Return!Y26-'Return Estimasi'!Y26</f>
        <v>-4.9022230692137903E-2</v>
      </c>
      <c r="Z26">
        <f>Return!Z26-'Return Estimasi'!Z26</f>
        <v>-7.2032921436373659E-2</v>
      </c>
      <c r="AA26">
        <f>Return!AA26-'Return Estimasi'!AA26</f>
        <v>-1.2065074887653605E-2</v>
      </c>
      <c r="AB26">
        <f>Return!AB26-'Return Estimasi'!AB26</f>
        <v>-2.3720812972143738E-2</v>
      </c>
      <c r="AC26">
        <f>Return!AC26-'Return Estimasi'!AC26</f>
        <v>-1.1043575613000735E-2</v>
      </c>
      <c r="AD26">
        <f>Return!AD26-'Return Estimasi'!AD26</f>
        <v>5.1001119299055164E-3</v>
      </c>
      <c r="AE26">
        <f>Return!AE26-'Return Estimasi'!AE26</f>
        <v>-8.730926399487509E-3</v>
      </c>
      <c r="AF26">
        <f>Return!AF26-'Return Estimasi'!AF26</f>
        <v>-16.350977489764531</v>
      </c>
    </row>
    <row r="27" spans="1:32" x14ac:dyDescent="0.3">
      <c r="A27" s="4" t="s">
        <v>14</v>
      </c>
      <c r="B27">
        <f>('Data Saham'!B27-'Data Saham'!B26)/'Data Saham'!B26</f>
        <v>-6.4625998186808578E-3</v>
      </c>
      <c r="C27">
        <f>Return!C27-'Return Estimasi'!C27</f>
        <v>-4.4713887117202554E-3</v>
      </c>
      <c r="D27">
        <f>Return!D27-'Return Estimasi'!D27</f>
        <v>-5.6680423247786674E-3</v>
      </c>
      <c r="E27">
        <f>Return!E27-'Return Estimasi'!E27</f>
        <v>-1.073730539058812E-2</v>
      </c>
      <c r="F27">
        <f>Return!F27-'Return Estimasi'!F27</f>
        <v>-3.6472162215844275E-2</v>
      </c>
      <c r="G27">
        <f>Return!G27-'Return Estimasi'!G27</f>
        <v>1.6448985688044808E-2</v>
      </c>
      <c r="H27">
        <f>Return!H27-'Return Estimasi'!H27</f>
        <v>-1.4585209293379767E-2</v>
      </c>
      <c r="I27">
        <f>Return!I27-'Return Estimasi'!I27</f>
        <v>-1.6875545639380082E-2</v>
      </c>
      <c r="J27">
        <f>Return!J27-'Return Estimasi'!J27</f>
        <v>1.5614921746883191E-2</v>
      </c>
      <c r="K27">
        <f>Return!K27-'Return Estimasi'!K27</f>
        <v>4.7627229588071834E-3</v>
      </c>
      <c r="L27">
        <f>Return!L27-'Return Estimasi'!L27</f>
        <v>-1.2163552109079839E-3</v>
      </c>
      <c r="M27">
        <f>Return!M27-'Return Estimasi'!M27</f>
        <v>3.6101354014055891E-2</v>
      </c>
      <c r="N27">
        <f>Return!N27-'Return Estimasi'!N27</f>
        <v>8.1789597086663959E-4</v>
      </c>
      <c r="O27">
        <f>Return!O27-'Return Estimasi'!O27</f>
        <v>-5.2587631207588019E-3</v>
      </c>
      <c r="P27">
        <f>Return!P27-'Return Estimasi'!P27</f>
        <v>-1.1483141249829352E-2</v>
      </c>
      <c r="Q27">
        <f>Return!Q27-'Return Estimasi'!Q27</f>
        <v>1.408325327465421E-2</v>
      </c>
      <c r="R27">
        <f>Return!R27-'Return Estimasi'!R27</f>
        <v>5.4833771712017185E-2</v>
      </c>
      <c r="S27">
        <f>Return!S27-'Return Estimasi'!S27</f>
        <v>5.9635412577672287E-3</v>
      </c>
      <c r="T27">
        <f>Return!T27-'Return Estimasi'!T27</f>
        <v>2.7575925334218217E-2</v>
      </c>
      <c r="U27">
        <f>Return!U27-'Return Estimasi'!U27</f>
        <v>-1.3161850367600677E-2</v>
      </c>
      <c r="V27">
        <f>Return!V27-'Return Estimasi'!V27</f>
        <v>-2.032399144547542E-2</v>
      </c>
      <c r="W27">
        <f>Return!W27-'Return Estimasi'!W27</f>
        <v>4.5484042849483305E-2</v>
      </c>
      <c r="X27">
        <f>Return!X27-'Return Estimasi'!X27</f>
        <v>6.6020913848320595E-3</v>
      </c>
      <c r="Y27">
        <f>Return!Y27-'Return Estimasi'!Y27</f>
        <v>-5.3353187406923935E-2</v>
      </c>
      <c r="Z27">
        <f>Return!Z27-'Return Estimasi'!Z27</f>
        <v>-1.0074452606280324E-2</v>
      </c>
      <c r="AA27">
        <f>Return!AA27-'Return Estimasi'!AA27</f>
        <v>5.1278792805384103E-3</v>
      </c>
      <c r="AB27">
        <f>Return!AB27-'Return Estimasi'!AB27</f>
        <v>2.0338844204733326E-2</v>
      </c>
      <c r="AC27">
        <f>Return!AC27-'Return Estimasi'!AC27</f>
        <v>-1.0830297579624748E-2</v>
      </c>
      <c r="AD27">
        <f>Return!AD27-'Return Estimasi'!AD27</f>
        <v>-1.915573157472053E-2</v>
      </c>
      <c r="AE27">
        <f>Return!AE27-'Return Estimasi'!AE27</f>
        <v>-6.3990597674465129E-3</v>
      </c>
      <c r="AF27">
        <f>Return!AF27-'Return Estimasi'!AF27</f>
        <v>-16.897126571618777</v>
      </c>
    </row>
    <row r="28" spans="1:32" x14ac:dyDescent="0.3">
      <c r="A28" s="3" t="s">
        <v>15</v>
      </c>
      <c r="B28">
        <f>('Data Saham'!B28-'Data Saham'!B27)/'Data Saham'!B27</f>
        <v>5.9718283450910939E-3</v>
      </c>
      <c r="C28">
        <f>Return!C28-'Return Estimasi'!C28</f>
        <v>-5.4073256883823166E-4</v>
      </c>
      <c r="D28">
        <f>Return!D28-'Return Estimasi'!D28</f>
        <v>-9.7954715303538061E-3</v>
      </c>
      <c r="E28">
        <f>Return!E28-'Return Estimasi'!E28</f>
        <v>-1.2400691489270595E-2</v>
      </c>
      <c r="F28">
        <f>Return!F28-'Return Estimasi'!F28</f>
        <v>-1.9582414178150712E-2</v>
      </c>
      <c r="G28">
        <f>Return!G28-'Return Estimasi'!G28</f>
        <v>2.1228272607417706E-2</v>
      </c>
      <c r="H28">
        <f>Return!H28-'Return Estimasi'!H28</f>
        <v>-1.0746522696794977E-2</v>
      </c>
      <c r="I28">
        <f>Return!I28-'Return Estimasi'!I28</f>
        <v>3.3480589119709775E-2</v>
      </c>
      <c r="J28">
        <f>Return!J28-'Return Estimasi'!J28</f>
        <v>-1.516917448655633E-2</v>
      </c>
      <c r="K28">
        <f>Return!K28-'Return Estimasi'!K28</f>
        <v>-6.9425663286042938E-3</v>
      </c>
      <c r="L28">
        <f>Return!L28-'Return Estimasi'!L28</f>
        <v>6.445184722754467E-3</v>
      </c>
      <c r="M28">
        <f>Return!M28-'Return Estimasi'!M28</f>
        <v>-5.1983084543898508E-4</v>
      </c>
      <c r="N28">
        <f>Return!N28-'Return Estimasi'!N28</f>
        <v>0.15635684051109477</v>
      </c>
      <c r="O28">
        <f>Return!O28-'Return Estimasi'!O28</f>
        <v>2.5603373448245675E-4</v>
      </c>
      <c r="P28">
        <f>Return!P28-'Return Estimasi'!P28</f>
        <v>3.54630349308852E-2</v>
      </c>
      <c r="Q28">
        <f>Return!Q28-'Return Estimasi'!Q28</f>
        <v>-1.2923063000344362E-2</v>
      </c>
      <c r="R28">
        <f>Return!R28-'Return Estimasi'!R28</f>
        <v>-4.6480666040821988E-2</v>
      </c>
      <c r="S28">
        <f>Return!S28-'Return Estimasi'!S28</f>
        <v>-7.8488021382835879E-3</v>
      </c>
      <c r="T28">
        <f>Return!T28-'Return Estimasi'!T28</f>
        <v>-2.4042746301233028E-2</v>
      </c>
      <c r="U28">
        <f>Return!U28-'Return Estimasi'!U28</f>
        <v>-6.7862511626213418E-3</v>
      </c>
      <c r="V28">
        <f>Return!V28-'Return Estimasi'!V28</f>
        <v>-5.4510804177097319E-3</v>
      </c>
      <c r="W28">
        <f>Return!W28-'Return Estimasi'!W28</f>
        <v>3.4371525042758887E-2</v>
      </c>
      <c r="X28">
        <f>Return!X28-'Return Estimasi'!X28</f>
        <v>2.9455552184244997E-3</v>
      </c>
      <c r="Y28">
        <f>Return!Y28-'Return Estimasi'!Y28</f>
        <v>-5.9872061034355918E-4</v>
      </c>
      <c r="Z28">
        <f>Return!Z28-'Return Estimasi'!Z28</f>
        <v>-3.6386327667205433E-2</v>
      </c>
      <c r="AA28">
        <f>Return!AA28-'Return Estimasi'!AA28</f>
        <v>-5.6656199967673139E-3</v>
      </c>
      <c r="AB28">
        <f>Return!AB28-'Return Estimasi'!AB28</f>
        <v>-5.4126323484307362E-3</v>
      </c>
      <c r="AC28">
        <f>Return!AC28-'Return Estimasi'!AC28</f>
        <v>4.0225008454067172E-2</v>
      </c>
      <c r="AD28">
        <f>Return!AD28-'Return Estimasi'!AD28</f>
        <v>2.1141107733936654E-2</v>
      </c>
      <c r="AE28">
        <f>Return!AE28-'Return Estimasi'!AE28</f>
        <v>1.8466041773831994E-2</v>
      </c>
      <c r="AF28">
        <f>Return!AF28-'Return Estimasi'!AF28</f>
        <v>-16.481341306936482</v>
      </c>
    </row>
    <row r="29" spans="1:32" x14ac:dyDescent="0.3">
      <c r="A29" s="4" t="s">
        <v>16</v>
      </c>
      <c r="B29">
        <f>('Data Saham'!B29-'Data Saham'!B28)/'Data Saham'!B28</f>
        <v>1.1959734524957509E-3</v>
      </c>
      <c r="C29">
        <f>Return!C29-'Return Estimasi'!C29</f>
        <v>-2.2917602723946617E-2</v>
      </c>
      <c r="D29">
        <f>Return!D29-'Return Estimasi'!D29</f>
        <v>-7.8537540627098019E-3</v>
      </c>
      <c r="E29">
        <f>Return!E29-'Return Estimasi'!E29</f>
        <v>9.266278999174129E-4</v>
      </c>
      <c r="F29">
        <f>Return!F29-'Return Estimasi'!F29</f>
        <v>-1.327927197086726E-2</v>
      </c>
      <c r="G29">
        <f>Return!G29-'Return Estimasi'!G29</f>
        <v>5.1479580095735236E-3</v>
      </c>
      <c r="H29">
        <f>Return!H29-'Return Estimasi'!H29</f>
        <v>7.1637882862121824E-3</v>
      </c>
      <c r="I29">
        <f>Return!I29-'Return Estimasi'!I29</f>
        <v>-3.3586456483591333E-3</v>
      </c>
      <c r="J29">
        <f>Return!J29-'Return Estimasi'!J29</f>
        <v>6.5655810545889462E-3</v>
      </c>
      <c r="K29">
        <f>Return!K29-'Return Estimasi'!K29</f>
        <v>3.3101635280405025E-4</v>
      </c>
      <c r="L29">
        <f>Return!L29-'Return Estimasi'!L29</f>
        <v>-0.10579671921566518</v>
      </c>
      <c r="M29">
        <f>Return!M29-'Return Estimasi'!M29</f>
        <v>6.8274481543152951E-2</v>
      </c>
      <c r="N29">
        <f>Return!N29-'Return Estimasi'!N29</f>
        <v>3.092724160130084E-2</v>
      </c>
      <c r="O29">
        <f>Return!O29-'Return Estimasi'!O29</f>
        <v>2.6980435070812687E-3</v>
      </c>
      <c r="P29">
        <f>Return!P29-'Return Estimasi'!P29</f>
        <v>8.2856874401815678E-4</v>
      </c>
      <c r="Q29">
        <f>Return!Q29-'Return Estimasi'!Q29</f>
        <v>-3.0800858323734359E-2</v>
      </c>
      <c r="R29">
        <f>Return!R29-'Return Estimasi'!R29</f>
        <v>2.0973698298983618E-2</v>
      </c>
      <c r="S29">
        <f>Return!S29-'Return Estimasi'!S29</f>
        <v>-1.9423734659282862E-2</v>
      </c>
      <c r="T29">
        <f>Return!T29-'Return Estimasi'!T29</f>
        <v>-5.4039878947530581E-2</v>
      </c>
      <c r="U29">
        <f>Return!U29-'Return Estimasi'!U29</f>
        <v>-3.4206409004778109E-2</v>
      </c>
      <c r="V29">
        <f>Return!V29-'Return Estimasi'!V29</f>
        <v>2.9304069896979108E-2</v>
      </c>
      <c r="W29">
        <f>Return!W29-'Return Estimasi'!W29</f>
        <v>-4.5105728500367597E-3</v>
      </c>
      <c r="X29">
        <f>Return!X29-'Return Estimasi'!X29</f>
        <v>2.7041490352936501E-2</v>
      </c>
      <c r="Y29">
        <f>Return!Y29-'Return Estimasi'!Y29</f>
        <v>-1.2109238831483685E-2</v>
      </c>
      <c r="Z29">
        <f>Return!Z29-'Return Estimasi'!Z29</f>
        <v>1.2820369624379954E-2</v>
      </c>
      <c r="AA29">
        <f>Return!AA29-'Return Estimasi'!AA29</f>
        <v>3.5231462457795074E-3</v>
      </c>
      <c r="AB29">
        <f>Return!AB29-'Return Estimasi'!AB29</f>
        <v>-1.2883735557645543E-2</v>
      </c>
      <c r="AC29">
        <f>Return!AC29-'Return Estimasi'!AC29</f>
        <v>3.4869132740767257E-2</v>
      </c>
      <c r="AD29">
        <f>Return!AD29-'Return Estimasi'!AD29</f>
        <v>9.5780033371765435E-3</v>
      </c>
      <c r="AE29">
        <f>Return!AE29-'Return Estimasi'!AE29</f>
        <v>-1.2114606179919116E-2</v>
      </c>
      <c r="AF29">
        <f>Return!AF29-'Return Estimasi'!AF29</f>
        <v>-16.640342122513729</v>
      </c>
    </row>
    <row r="30" spans="1:32" x14ac:dyDescent="0.3">
      <c r="A30" s="3" t="s">
        <v>17</v>
      </c>
      <c r="B30">
        <f>('Data Saham'!B30-'Data Saham'!B29)/'Data Saham'!B29</f>
        <v>1.4319024134459232E-2</v>
      </c>
      <c r="C30">
        <f>Return!C30-'Return Estimasi'!C30</f>
        <v>1.3435673301369909E-2</v>
      </c>
      <c r="D30">
        <f>Return!D30-'Return Estimasi'!D30</f>
        <v>-1.2501809235401343E-2</v>
      </c>
      <c r="E30">
        <f>Return!E30-'Return Estimasi'!E30</f>
        <v>9.7709183865244027E-3</v>
      </c>
      <c r="F30">
        <f>Return!F30-'Return Estimasi'!F30</f>
        <v>-7.0059588477440708E-3</v>
      </c>
      <c r="G30">
        <f>Return!G30-'Return Estimasi'!G30</f>
        <v>-2.2299251289573899E-2</v>
      </c>
      <c r="H30">
        <f>Return!H30-'Return Estimasi'!H30</f>
        <v>-2.0524625916747113E-2</v>
      </c>
      <c r="I30">
        <f>Return!I30-'Return Estimasi'!I30</f>
        <v>-1.1312439397585063E-2</v>
      </c>
      <c r="J30">
        <f>Return!J30-'Return Estimasi'!J30</f>
        <v>-2.4461665712636117E-2</v>
      </c>
      <c r="K30">
        <f>Return!K30-'Return Estimasi'!K30</f>
        <v>2.6750953245690528E-2</v>
      </c>
      <c r="L30">
        <f>Return!L30-'Return Estimasi'!L30</f>
        <v>2.0471451510663081E-3</v>
      </c>
      <c r="M30">
        <f>Return!M30-'Return Estimasi'!M30</f>
        <v>2.8838545239509801E-2</v>
      </c>
      <c r="N30">
        <f>Return!N30-'Return Estimasi'!N30</f>
        <v>-3.5630609705119817E-2</v>
      </c>
      <c r="O30">
        <f>Return!O30-'Return Estimasi'!O30</f>
        <v>-9.9979118286729531E-3</v>
      </c>
      <c r="P30">
        <f>Return!P30-'Return Estimasi'!P30</f>
        <v>-1.3676921225524649E-3</v>
      </c>
      <c r="Q30">
        <f>Return!Q30-'Return Estimasi'!Q30</f>
        <v>-2.6667723645208766E-2</v>
      </c>
      <c r="R30">
        <f>Return!R30-'Return Estimasi'!R30</f>
        <v>-2.7951527948447255E-2</v>
      </c>
      <c r="S30">
        <f>Return!S30-'Return Estimasi'!S30</f>
        <v>-3.4137308171358467E-2</v>
      </c>
      <c r="T30">
        <f>Return!T30-'Return Estimasi'!T30</f>
        <v>-0.10903864118978507</v>
      </c>
      <c r="U30">
        <f>Return!U30-'Return Estimasi'!U30</f>
        <v>5.5797685656152465E-2</v>
      </c>
      <c r="V30">
        <f>Return!V30-'Return Estimasi'!V30</f>
        <v>-7.6547873714304911E-3</v>
      </c>
      <c r="W30">
        <f>Return!W30-'Return Estimasi'!W30</f>
        <v>-2.2878149819698268E-2</v>
      </c>
      <c r="X30">
        <f>Return!X30-'Return Estimasi'!X30</f>
        <v>1.7204619902160309E-2</v>
      </c>
      <c r="Y30">
        <f>Return!Y30-'Return Estimasi'!Y30</f>
        <v>-2.272148778963639E-2</v>
      </c>
      <c r="Z30">
        <f>Return!Z30-'Return Estimasi'!Z30</f>
        <v>2.4721416398915588E-3</v>
      </c>
      <c r="AA30">
        <f>Return!AA30-'Return Estimasi'!AA30</f>
        <v>-1.9033232418854698E-2</v>
      </c>
      <c r="AB30">
        <f>Return!AB30-'Return Estimasi'!AB30</f>
        <v>-1.4202092468396285E-2</v>
      </c>
      <c r="AC30">
        <f>Return!AC30-'Return Estimasi'!AC30</f>
        <v>-2.7770986668053096E-2</v>
      </c>
      <c r="AD30">
        <f>Return!AD30-'Return Estimasi'!AD30</f>
        <v>1.7288823140916558E-2</v>
      </c>
      <c r="AE30">
        <f>Return!AE30-'Return Estimasi'!AE30</f>
        <v>2.8881640307513765E-2</v>
      </c>
      <c r="AF30">
        <f>Return!AF30-'Return Estimasi'!AF30</f>
        <v>-16.277325673610989</v>
      </c>
    </row>
    <row r="31" spans="1:32" x14ac:dyDescent="0.3">
      <c r="A31" s="4" t="s">
        <v>18</v>
      </c>
      <c r="B31">
        <f>('Data Saham'!B31-'Data Saham'!B30)/'Data Saham'!B30</f>
        <v>1.4699607082607428E-2</v>
      </c>
      <c r="C31">
        <f>Return!C31-'Return Estimasi'!C31</f>
        <v>1.5482960440607025E-2</v>
      </c>
      <c r="D31">
        <f>Return!D31-'Return Estimasi'!D31</f>
        <v>2.0174173007302891E-2</v>
      </c>
      <c r="E31">
        <f>Return!E31-'Return Estimasi'!E31</f>
        <v>2.3672880003648214E-2</v>
      </c>
      <c r="F31">
        <f>Return!F31-'Return Estimasi'!F31</f>
        <v>2.2571867545947762E-2</v>
      </c>
      <c r="G31">
        <f>Return!G31-'Return Estimasi'!G31</f>
        <v>1.6512548698999426E-2</v>
      </c>
      <c r="H31">
        <f>Return!H31-'Return Estimasi'!H31</f>
        <v>6.5353753363444744E-3</v>
      </c>
      <c r="I31">
        <f>Return!I31-'Return Estimasi'!I31</f>
        <v>1.7114981475275209E-2</v>
      </c>
      <c r="J31">
        <f>Return!J31-'Return Estimasi'!J31</f>
        <v>1.6670503442331945E-2</v>
      </c>
      <c r="K31">
        <f>Return!K31-'Return Estimasi'!K31</f>
        <v>-3.1116006153729642E-2</v>
      </c>
      <c r="L31">
        <f>Return!L31-'Return Estimasi'!L31</f>
        <v>-5.9753064721614433E-3</v>
      </c>
      <c r="M31">
        <f>Return!M31-'Return Estimasi'!M31</f>
        <v>-7.4172127542203647E-2</v>
      </c>
      <c r="N31">
        <f>Return!N31-'Return Estimasi'!N31</f>
        <v>-7.5524016473447253E-2</v>
      </c>
      <c r="O31">
        <f>Return!O31-'Return Estimasi'!O31</f>
        <v>1.6663562215460035E-2</v>
      </c>
      <c r="P31">
        <f>Return!P31-'Return Estimasi'!P31</f>
        <v>7.4702996668349533E-3</v>
      </c>
      <c r="Q31">
        <f>Return!Q31-'Return Estimasi'!Q31</f>
        <v>-1.2876591342598106E-2</v>
      </c>
      <c r="R31">
        <f>Return!R31-'Return Estimasi'!R31</f>
        <v>5.8900465346421786E-2</v>
      </c>
      <c r="S31">
        <f>Return!S31-'Return Estimasi'!S31</f>
        <v>2.6665856358912464E-2</v>
      </c>
      <c r="T31">
        <f>Return!T31-'Return Estimasi'!T31</f>
        <v>-6.6031657876815305E-3</v>
      </c>
      <c r="U31">
        <f>Return!U31-'Return Estimasi'!U31</f>
        <v>-1.241226894640237E-2</v>
      </c>
      <c r="V31">
        <f>Return!V31-'Return Estimasi'!V31</f>
        <v>-1.2376878515097136E-2</v>
      </c>
      <c r="W31">
        <f>Return!W31-'Return Estimasi'!W31</f>
        <v>-2.3642820729897776E-2</v>
      </c>
      <c r="X31">
        <f>Return!X31-'Return Estimasi'!X31</f>
        <v>1.6042853673334408E-2</v>
      </c>
      <c r="Y31">
        <f>Return!Y31-'Return Estimasi'!Y31</f>
        <v>3.7015839996526828E-2</v>
      </c>
      <c r="Z31">
        <f>Return!Z31-'Return Estimasi'!Z31</f>
        <v>3.3012787615644003E-2</v>
      </c>
      <c r="AA31">
        <f>Return!AA31-'Return Estimasi'!AA31</f>
        <v>-3.7591647429827901E-2</v>
      </c>
      <c r="AB31">
        <f>Return!AB31-'Return Estimasi'!AB31</f>
        <v>-1.9446122161940124E-3</v>
      </c>
      <c r="AC31">
        <f>Return!AC31-'Return Estimasi'!AC31</f>
        <v>6.7926508015196674E-4</v>
      </c>
      <c r="AD31">
        <f>Return!AD31-'Return Estimasi'!AD31</f>
        <v>6.1133722927730737E-3</v>
      </c>
      <c r="AE31">
        <f>Return!AE31-'Return Estimasi'!AE31</f>
        <v>-5.7169777767980901E-3</v>
      </c>
      <c r="AF31">
        <f>Return!AF31-'Return Estimasi'!AF31</f>
        <v>-16.254790850943422</v>
      </c>
    </row>
    <row r="32" spans="1:32" x14ac:dyDescent="0.3">
      <c r="A32" s="3" t="s">
        <v>19</v>
      </c>
      <c r="B32">
        <f>('Data Saham'!B32-'Data Saham'!B31)/'Data Saham'!B31</f>
        <v>-3.1502566931650802E-3</v>
      </c>
      <c r="C32">
        <f>Return!C32-'Return Estimasi'!C32</f>
        <v>-2.4308133760367986E-2</v>
      </c>
      <c r="D32">
        <f>Return!D32-'Return Estimasi'!D32</f>
        <v>-6.0639609281811536E-3</v>
      </c>
      <c r="E32">
        <f>Return!E32-'Return Estimasi'!E32</f>
        <v>9.6536788879062786E-4</v>
      </c>
      <c r="F32">
        <f>Return!F32-'Return Estimasi'!F32</f>
        <v>7.5975764982308775E-3</v>
      </c>
      <c r="G32">
        <f>Return!G32-'Return Estimasi'!G32</f>
        <v>1.2201455866527166E-3</v>
      </c>
      <c r="H32">
        <f>Return!H32-'Return Estimasi'!H32</f>
        <v>-8.7066442680826407E-3</v>
      </c>
      <c r="I32">
        <f>Return!I32-'Return Estimasi'!I32</f>
        <v>3.1237724277211359E-2</v>
      </c>
      <c r="J32">
        <f>Return!J32-'Return Estimasi'!J32</f>
        <v>-1.2640664575252916E-2</v>
      </c>
      <c r="K32">
        <f>Return!K32-'Return Estimasi'!K32</f>
        <v>1.5158124887881779E-2</v>
      </c>
      <c r="L32">
        <f>Return!L32-'Return Estimasi'!L32</f>
        <v>-9.5818279861197998E-3</v>
      </c>
      <c r="M32">
        <f>Return!M32-'Return Estimasi'!M32</f>
        <v>3.6588644944236748E-2</v>
      </c>
      <c r="N32">
        <f>Return!N32-'Return Estimasi'!N32</f>
        <v>3.2124781177749896E-2</v>
      </c>
      <c r="O32">
        <f>Return!O32-'Return Estimasi'!O32</f>
        <v>3.401340537125494E-2</v>
      </c>
      <c r="P32">
        <f>Return!P32-'Return Estimasi'!P32</f>
        <v>-4.4397209174846172E-3</v>
      </c>
      <c r="Q32">
        <f>Return!Q32-'Return Estimasi'!Q32</f>
        <v>-8.1345538313219168E-3</v>
      </c>
      <c r="R32">
        <f>Return!R32-'Return Estimasi'!R32</f>
        <v>-9.0336065190473151E-3</v>
      </c>
      <c r="S32">
        <f>Return!S32-'Return Estimasi'!S32</f>
        <v>2.3288335727072389E-2</v>
      </c>
      <c r="T32">
        <f>Return!T32-'Return Estimasi'!T32</f>
        <v>6.4968212315132286E-3</v>
      </c>
      <c r="U32">
        <f>Return!U32-'Return Estimasi'!U32</f>
        <v>-4.634321413994719E-3</v>
      </c>
      <c r="V32">
        <f>Return!V32-'Return Estimasi'!V32</f>
        <v>2.9224434095495256E-3</v>
      </c>
      <c r="W32">
        <f>Return!W32-'Return Estimasi'!W32</f>
        <v>-9.1659870515826899E-3</v>
      </c>
      <c r="X32">
        <f>Return!X32-'Return Estimasi'!X32</f>
        <v>6.0710318651228883E-2</v>
      </c>
      <c r="Y32">
        <f>Return!Y32-'Return Estimasi'!Y32</f>
        <v>1.9105961183287827E-2</v>
      </c>
      <c r="Z32">
        <f>Return!Z32-'Return Estimasi'!Z32</f>
        <v>-6.4180955481568241E-3</v>
      </c>
      <c r="AA32">
        <f>Return!AA32-'Return Estimasi'!AA32</f>
        <v>-1.3483261507166014E-2</v>
      </c>
      <c r="AB32">
        <f>Return!AB32-'Return Estimasi'!AB32</f>
        <v>4.1927734282985437E-3</v>
      </c>
      <c r="AC32">
        <f>Return!AC32-'Return Estimasi'!AC32</f>
        <v>1.5803008686174993E-3</v>
      </c>
      <c r="AD32">
        <f>Return!AD32-'Return Estimasi'!AD32</f>
        <v>1.3147862638288866E-2</v>
      </c>
      <c r="AE32">
        <f>Return!AE32-'Return Estimasi'!AE32</f>
        <v>-8.4321923814335668E-3</v>
      </c>
      <c r="AF32">
        <f>Return!AF32-'Return Estimasi'!AF32</f>
        <v>-16.750949627116622</v>
      </c>
    </row>
    <row r="33" spans="1:32" x14ac:dyDescent="0.3">
      <c r="A33" s="4" t="s">
        <v>20</v>
      </c>
      <c r="B33">
        <f>('Data Saham'!B33-'Data Saham'!B32)/'Data Saham'!B32</f>
        <v>9.8949418460478472E-3</v>
      </c>
      <c r="C33">
        <f>Return!C33-'Return Estimasi'!C33</f>
        <v>7.8887765510887164E-3</v>
      </c>
      <c r="D33">
        <f>Return!D33-'Return Estimasi'!D33</f>
        <v>-8.2327054697055573E-3</v>
      </c>
      <c r="E33">
        <f>Return!E33-'Return Estimasi'!E33</f>
        <v>-7.7156032872811812E-3</v>
      </c>
      <c r="F33">
        <f>Return!F33-'Return Estimasi'!F33</f>
        <v>-1.0769696941881797E-3</v>
      </c>
      <c r="G33">
        <f>Return!G33-'Return Estimasi'!G33</f>
        <v>-2.1938535874696255E-2</v>
      </c>
      <c r="H33">
        <f>Return!H33-'Return Estimasi'!H33</f>
        <v>1.1758153529547366E-2</v>
      </c>
      <c r="I33">
        <f>Return!I33-'Return Estimasi'!I33</f>
        <v>-2.3284339915895041E-3</v>
      </c>
      <c r="J33">
        <f>Return!J33-'Return Estimasi'!J33</f>
        <v>2.8251855975944914E-2</v>
      </c>
      <c r="K33">
        <f>Return!K33-'Return Estimasi'!K33</f>
        <v>-7.9689668324763614E-3</v>
      </c>
      <c r="L33">
        <f>Return!L33-'Return Estimasi'!L33</f>
        <v>-8.4249429639126272E-4</v>
      </c>
      <c r="M33">
        <f>Return!M33-'Return Estimasi'!M33</f>
        <v>-1.9367022178339525E-2</v>
      </c>
      <c r="N33">
        <f>Return!N33-'Return Estimasi'!N33</f>
        <v>3.1771270360765706E-2</v>
      </c>
      <c r="O33">
        <f>Return!O33-'Return Estimasi'!O33</f>
        <v>-3.0175031153078059E-2</v>
      </c>
      <c r="P33">
        <f>Return!P33-'Return Estimasi'!P33</f>
        <v>1.1526229697765015E-2</v>
      </c>
      <c r="Q33">
        <f>Return!Q33-'Return Estimasi'!Q33</f>
        <v>-7.7442380515384034E-3</v>
      </c>
      <c r="R33">
        <f>Return!R33-'Return Estimasi'!R33</f>
        <v>-2.4715848499603142E-2</v>
      </c>
      <c r="S33">
        <f>Return!S33-'Return Estimasi'!S33</f>
        <v>2.7422065202400297E-2</v>
      </c>
      <c r="T33">
        <f>Return!T33-'Return Estimasi'!T33</f>
        <v>2.2129060200088459E-2</v>
      </c>
      <c r="U33">
        <f>Return!U33-'Return Estimasi'!U33</f>
        <v>1.6583178240552183E-2</v>
      </c>
      <c r="V33">
        <f>Return!V33-'Return Estimasi'!V33</f>
        <v>-6.8830645751320838E-3</v>
      </c>
      <c r="W33">
        <f>Return!W33-'Return Estimasi'!W33</f>
        <v>-4.0626389578767852E-2</v>
      </c>
      <c r="X33">
        <f>Return!X33-'Return Estimasi'!X33</f>
        <v>-1.4372976698285963E-2</v>
      </c>
      <c r="Y33">
        <f>Return!Y33-'Return Estimasi'!Y33</f>
        <v>2.3277136311475502E-2</v>
      </c>
      <c r="Z33">
        <f>Return!Z33-'Return Estimasi'!Z33</f>
        <v>4.3354673696089335E-2</v>
      </c>
      <c r="AA33">
        <f>Return!AA33-'Return Estimasi'!AA33</f>
        <v>-6.3990734097100288E-3</v>
      </c>
      <c r="AB33">
        <f>Return!AB33-'Return Estimasi'!AB33</f>
        <v>4.0456393545669204E-2</v>
      </c>
      <c r="AC33">
        <f>Return!AC33-'Return Estimasi'!AC33</f>
        <v>6.1758644190774786E-2</v>
      </c>
      <c r="AD33">
        <f>Return!AD33-'Return Estimasi'!AD33</f>
        <v>3.419091136925391E-2</v>
      </c>
      <c r="AE33">
        <f>Return!AE33-'Return Estimasi'!AE33</f>
        <v>1.9956862971467218E-2</v>
      </c>
      <c r="AF33">
        <f>Return!AF33-'Return Estimasi'!AF33</f>
        <v>-16.33849516369612</v>
      </c>
    </row>
    <row r="34" spans="1:32" x14ac:dyDescent="0.3">
      <c r="A34" s="3" t="s">
        <v>21</v>
      </c>
      <c r="B34">
        <f>('Data Saham'!B34-'Data Saham'!B33)/'Data Saham'!B33</f>
        <v>6.5953776957951554E-3</v>
      </c>
      <c r="C34">
        <f>Return!C34-'Return Estimasi'!C34</f>
        <v>1.6322631758204077E-2</v>
      </c>
      <c r="D34">
        <f>Return!D34-'Return Estimasi'!D34</f>
        <v>1.9069034263996816E-2</v>
      </c>
      <c r="E34">
        <f>Return!E34-'Return Estimasi'!E34</f>
        <v>-2.4498182468898665E-3</v>
      </c>
      <c r="F34">
        <f>Return!F34-'Return Estimasi'!F34</f>
        <v>-7.8573775366122985E-3</v>
      </c>
      <c r="G34">
        <f>Return!G34-'Return Estimasi'!G34</f>
        <v>-2.2943877019322267E-2</v>
      </c>
      <c r="H34">
        <f>Return!H34-'Return Estimasi'!H34</f>
        <v>1.2829548512918306E-3</v>
      </c>
      <c r="I34">
        <f>Return!I34-'Return Estimasi'!I34</f>
        <v>-9.3002307197035707E-4</v>
      </c>
      <c r="J34">
        <f>Return!J34-'Return Estimasi'!J34</f>
        <v>-8.5237469133554351E-3</v>
      </c>
      <c r="K34">
        <f>Return!K34-'Return Estimasi'!K34</f>
        <v>3.1087463250483944E-3</v>
      </c>
      <c r="L34">
        <f>Return!L34-'Return Estimasi'!L34</f>
        <v>-3.0426385625863792E-3</v>
      </c>
      <c r="M34">
        <f>Return!M34-'Return Estimasi'!M34</f>
        <v>-1.6187339935085636E-2</v>
      </c>
      <c r="N34">
        <f>Return!N34-'Return Estimasi'!N34</f>
        <v>-1.8969399623904686E-2</v>
      </c>
      <c r="O34">
        <f>Return!O34-'Return Estimasi'!O34</f>
        <v>-1.1753633120913714E-2</v>
      </c>
      <c r="P34">
        <f>Return!P34-'Return Estimasi'!P34</f>
        <v>1.4097674054718651E-2</v>
      </c>
      <c r="Q34">
        <f>Return!Q34-'Return Estimasi'!Q34</f>
        <v>-9.0199727167197211E-3</v>
      </c>
      <c r="R34">
        <f>Return!R34-'Return Estimasi'!R34</f>
        <v>1.3107970549727253E-2</v>
      </c>
      <c r="S34">
        <f>Return!S34-'Return Estimasi'!S34</f>
        <v>5.5565845355224639E-3</v>
      </c>
      <c r="T34">
        <f>Return!T34-'Return Estimasi'!T34</f>
        <v>5.4101844341317873E-2</v>
      </c>
      <c r="U34">
        <f>Return!U34-'Return Estimasi'!U34</f>
        <v>-1.9007935617132925E-2</v>
      </c>
      <c r="V34">
        <f>Return!V34-'Return Estimasi'!V34</f>
        <v>-1.4681469767599183E-2</v>
      </c>
      <c r="W34">
        <f>Return!W34-'Return Estimasi'!W34</f>
        <v>-8.0903191631159395E-3</v>
      </c>
      <c r="X34">
        <f>Return!X34-'Return Estimasi'!X34</f>
        <v>1.01569966284169E-2</v>
      </c>
      <c r="Y34">
        <f>Return!Y34-'Return Estimasi'!Y34</f>
        <v>-2.757612718580264E-2</v>
      </c>
      <c r="Z34">
        <f>Return!Z34-'Return Estimasi'!Z34</f>
        <v>-2.3131181777156673E-2</v>
      </c>
      <c r="AA34">
        <f>Return!AA34-'Return Estimasi'!AA34</f>
        <v>-1.0053574007559771E-2</v>
      </c>
      <c r="AB34">
        <f>Return!AB34-'Return Estimasi'!AB34</f>
        <v>-2.9878743386664873E-2</v>
      </c>
      <c r="AC34">
        <f>Return!AC34-'Return Estimasi'!AC34</f>
        <v>-4.0157704083008554E-2</v>
      </c>
      <c r="AD34">
        <f>Return!AD34-'Return Estimasi'!AD34</f>
        <v>-1.0520536794677793E-2</v>
      </c>
      <c r="AE34">
        <f>Return!AE34-'Return Estimasi'!AE34</f>
        <v>-4.9982106589715842E-3</v>
      </c>
      <c r="AF34">
        <f>Return!AF34-'Return Estimasi'!AF34</f>
        <v>-16.516106007619918</v>
      </c>
    </row>
    <row r="35" spans="1:32" x14ac:dyDescent="0.3">
      <c r="A35" s="4" t="s">
        <v>22</v>
      </c>
      <c r="B35">
        <f>('Data Saham'!B35-'Data Saham'!B34)/'Data Saham'!B34</f>
        <v>3.8837002098774309E-3</v>
      </c>
      <c r="C35">
        <f>Return!C35-'Return Estimasi'!C35</f>
        <v>-7.3949172288463906E-3</v>
      </c>
      <c r="D35">
        <f>Return!D35-'Return Estimasi'!D35</f>
        <v>-2.3981480669409559E-3</v>
      </c>
      <c r="E35">
        <f>Return!E35-'Return Estimasi'!E35</f>
        <v>1.873924049321336E-4</v>
      </c>
      <c r="F35">
        <f>Return!F35-'Return Estimasi'!F35</f>
        <v>-1.5112760630570833E-2</v>
      </c>
      <c r="G35">
        <f>Return!G35-'Return Estimasi'!G35</f>
        <v>6.6023176313727647E-3</v>
      </c>
      <c r="H35">
        <f>Return!H35-'Return Estimasi'!H35</f>
        <v>-2.1470425669778474E-2</v>
      </c>
      <c r="I35">
        <f>Return!I35-'Return Estimasi'!I35</f>
        <v>2.2946504294434737E-2</v>
      </c>
      <c r="J35">
        <f>Return!J35-'Return Estimasi'!J35</f>
        <v>9.0451913231891484E-3</v>
      </c>
      <c r="K35">
        <f>Return!K35-'Return Estimasi'!K35</f>
        <v>-4.9768833418247444E-3</v>
      </c>
      <c r="L35">
        <f>Return!L35-'Return Estimasi'!L35</f>
        <v>-2.0588334062296319E-3</v>
      </c>
      <c r="M35">
        <f>Return!M35-'Return Estimasi'!M35</f>
        <v>1.4590752688491472E-2</v>
      </c>
      <c r="N35">
        <f>Return!N35-'Return Estimasi'!N35</f>
        <v>3.2895160716572586E-2</v>
      </c>
      <c r="O35">
        <f>Return!O35-'Return Estimasi'!O35</f>
        <v>4.1815928857396809E-3</v>
      </c>
      <c r="P35">
        <f>Return!P35-'Return Estimasi'!P35</f>
        <v>4.2712432636985466E-2</v>
      </c>
      <c r="Q35">
        <f>Return!Q35-'Return Estimasi'!Q35</f>
        <v>8.1495019756949415E-3</v>
      </c>
      <c r="R35">
        <f>Return!R35-'Return Estimasi'!R35</f>
        <v>-1.4333366281359633E-3</v>
      </c>
      <c r="S35">
        <f>Return!S35-'Return Estimasi'!S35</f>
        <v>-6.5022897812857519E-3</v>
      </c>
      <c r="T35">
        <f>Return!T35-'Return Estimasi'!T35</f>
        <v>-2.4557311377614143E-2</v>
      </c>
      <c r="U35">
        <f>Return!U35-'Return Estimasi'!U35</f>
        <v>-8.3893401085738326E-3</v>
      </c>
      <c r="V35">
        <f>Return!V35-'Return Estimasi'!V35</f>
        <v>-1.3359632254945412E-2</v>
      </c>
      <c r="W35">
        <f>Return!W35-'Return Estimasi'!W35</f>
        <v>-9.6110537719870139E-3</v>
      </c>
      <c r="X35">
        <f>Return!X35-'Return Estimasi'!X35</f>
        <v>3.3711416681695486E-2</v>
      </c>
      <c r="Y35">
        <f>Return!Y35-'Return Estimasi'!Y35</f>
        <v>2.3015928185634832E-2</v>
      </c>
      <c r="Z35">
        <f>Return!Z35-'Return Estimasi'!Z35</f>
        <v>5.6274196035870534E-2</v>
      </c>
      <c r="AA35">
        <f>Return!AA35-'Return Estimasi'!AA35</f>
        <v>5.340181070460602E-4</v>
      </c>
      <c r="AB35">
        <f>Return!AB35-'Return Estimasi'!AB35</f>
        <v>3.3371498148225084E-2</v>
      </c>
      <c r="AC35">
        <f>Return!AC35-'Return Estimasi'!AC35</f>
        <v>-1.1382361648088641E-2</v>
      </c>
      <c r="AD35">
        <f>Return!AD35-'Return Estimasi'!AD35</f>
        <v>-1.2569526806890916E-2</v>
      </c>
      <c r="AE35">
        <f>Return!AE35-'Return Estimasi'!AE35</f>
        <v>7.7658930650426131E-3</v>
      </c>
      <c r="AF35">
        <f>Return!AF35-'Return Estimasi'!AF35</f>
        <v>-16.570726145111415</v>
      </c>
    </row>
    <row r="36" spans="1:32" x14ac:dyDescent="0.3">
      <c r="A36" s="3" t="s">
        <v>23</v>
      </c>
      <c r="B36">
        <f>('Data Saham'!B36-'Data Saham'!B35)/'Data Saham'!B35</f>
        <v>2.6240613535474517E-3</v>
      </c>
      <c r="C36">
        <f>Return!C36-'Return Estimasi'!C36</f>
        <v>1.0846419092291702E-2</v>
      </c>
      <c r="D36">
        <f>Return!D36-'Return Estimasi'!D36</f>
        <v>-3.7636066571079007E-3</v>
      </c>
      <c r="E36">
        <f>Return!E36-'Return Estimasi'!E36</f>
        <v>-1.2766351118341668E-2</v>
      </c>
      <c r="F36">
        <f>Return!F36-'Return Estimasi'!F36</f>
        <v>7.5491857133299818E-3</v>
      </c>
      <c r="G36">
        <f>Return!G36-'Return Estimasi'!G36</f>
        <v>1.5323339383507873E-2</v>
      </c>
      <c r="H36">
        <f>Return!H36-'Return Estimasi'!H36</f>
        <v>-2.2180557363002829E-3</v>
      </c>
      <c r="I36">
        <f>Return!I36-'Return Estimasi'!I36</f>
        <v>9.6419766416727202E-3</v>
      </c>
      <c r="J36">
        <f>Return!J36-'Return Estimasi'!J36</f>
        <v>6.5972695672047207E-2</v>
      </c>
      <c r="K36">
        <f>Return!K36-'Return Estimasi'!K36</f>
        <v>-3.7911080880849001E-3</v>
      </c>
      <c r="L36">
        <f>Return!L36-'Return Estimasi'!L36</f>
        <v>-2.7363082086613554E-3</v>
      </c>
      <c r="M36">
        <f>Return!M36-'Return Estimasi'!M36</f>
        <v>-1.2248411530475347E-2</v>
      </c>
      <c r="N36">
        <f>Return!N36-'Return Estimasi'!N36</f>
        <v>-3.0546924311864107E-2</v>
      </c>
      <c r="O36">
        <f>Return!O36-'Return Estimasi'!O36</f>
        <v>-2.1368756578300455E-2</v>
      </c>
      <c r="P36">
        <f>Return!P36-'Return Estimasi'!P36</f>
        <v>-3.4325775798948771E-2</v>
      </c>
      <c r="Q36">
        <f>Return!Q36-'Return Estimasi'!Q36</f>
        <v>4.5930345280984974E-3</v>
      </c>
      <c r="R36">
        <f>Return!R36-'Return Estimasi'!R36</f>
        <v>8.2637532866697908E-2</v>
      </c>
      <c r="S36">
        <f>Return!S36-'Return Estimasi'!S36</f>
        <v>6.3982598075883079E-2</v>
      </c>
      <c r="T36">
        <f>Return!T36-'Return Estimasi'!T36</f>
        <v>-1.6167383778024E-2</v>
      </c>
      <c r="U36">
        <f>Return!U36-'Return Estimasi'!U36</f>
        <v>1.6413146552769462E-2</v>
      </c>
      <c r="V36">
        <f>Return!V36-'Return Estimasi'!V36</f>
        <v>-1.2754964220474487E-3</v>
      </c>
      <c r="W36">
        <f>Return!W36-'Return Estimasi'!W36</f>
        <v>-2.0465678731057514E-2</v>
      </c>
      <c r="X36">
        <f>Return!X36-'Return Estimasi'!X36</f>
        <v>1.784462588496958E-2</v>
      </c>
      <c r="Y36">
        <f>Return!Y36-'Return Estimasi'!Y36</f>
        <v>3.3001764317711298E-2</v>
      </c>
      <c r="Z36">
        <f>Return!Z36-'Return Estimasi'!Z36</f>
        <v>-1.9348878277588563E-2</v>
      </c>
      <c r="AA36">
        <f>Return!AA36-'Return Estimasi'!AA36</f>
        <v>1.9436277883257873E-3</v>
      </c>
      <c r="AB36">
        <f>Return!AB36-'Return Estimasi'!AB36</f>
        <v>-1.8874886707673083E-3</v>
      </c>
      <c r="AC36">
        <f>Return!AC36-'Return Estimasi'!AC36</f>
        <v>3.5449517906232155E-3</v>
      </c>
      <c r="AD36">
        <f>Return!AD36-'Return Estimasi'!AD36</f>
        <v>7.2442059628332811E-3</v>
      </c>
      <c r="AE36">
        <f>Return!AE36-'Return Estimasi'!AE36</f>
        <v>8.6137775590777906E-3</v>
      </c>
      <c r="AF36">
        <f>Return!AF36-'Return Estimasi'!AF36</f>
        <v>-16.589567674686137</v>
      </c>
    </row>
    <row r="37" spans="1:32" x14ac:dyDescent="0.3">
      <c r="A37" s="2">
        <v>45693</v>
      </c>
      <c r="B37">
        <f>('Data Saham'!B37-'Data Saham'!B36)/'Data Saham'!B36</f>
        <v>7.2323804935574476E-3</v>
      </c>
      <c r="C37">
        <f>Return!C37-'Return Estimasi'!C37</f>
        <v>1.2423784985570837E-2</v>
      </c>
      <c r="D37">
        <f>Return!D37-'Return Estimasi'!D37</f>
        <v>-5.0314390367275485E-4</v>
      </c>
      <c r="E37">
        <f>Return!E37-'Return Estimasi'!E37</f>
        <v>7.1600701606336246E-3</v>
      </c>
      <c r="F37">
        <f>Return!F37-'Return Estimasi'!F37</f>
        <v>-1.2312887868154206E-3</v>
      </c>
      <c r="G37">
        <f>Return!G37-'Return Estimasi'!G37</f>
        <v>7.0184061160648466E-3</v>
      </c>
      <c r="H37">
        <f>Return!H37-'Return Estimasi'!H37</f>
        <v>-7.4017818067579032E-3</v>
      </c>
      <c r="I37">
        <f>Return!I37-'Return Estimasi'!I37</f>
        <v>-3.2037000003219115E-2</v>
      </c>
      <c r="J37">
        <f>Return!J37-'Return Estimasi'!J37</f>
        <v>-3.9517771111389433E-2</v>
      </c>
      <c r="K37">
        <f>Return!K37-'Return Estimasi'!K37</f>
        <v>-1.6023938162309428E-2</v>
      </c>
      <c r="L37">
        <f>Return!L37-'Return Estimasi'!L37</f>
        <v>-4.4155516899917809E-3</v>
      </c>
      <c r="M37">
        <f>Return!M37-'Return Estimasi'!M37</f>
        <v>4.3167041661648073E-2</v>
      </c>
      <c r="N37">
        <f>Return!N37-'Return Estimasi'!N37</f>
        <v>4.0151731123480531E-3</v>
      </c>
      <c r="O37">
        <f>Return!O37-'Return Estimasi'!O37</f>
        <v>-3.3058478405045E-2</v>
      </c>
      <c r="P37">
        <f>Return!P37-'Return Estimasi'!P37</f>
        <v>2.1835185425275593E-2</v>
      </c>
      <c r="Q37">
        <f>Return!Q37-'Return Estimasi'!Q37</f>
        <v>2.2860739853975236E-2</v>
      </c>
      <c r="R37">
        <f>Return!R37-'Return Estimasi'!R37</f>
        <v>-4.0024072382454694E-2</v>
      </c>
      <c r="S37">
        <f>Return!S37-'Return Estimasi'!S37</f>
        <v>-1.7255660101628202E-3</v>
      </c>
      <c r="T37">
        <f>Return!T37-'Return Estimasi'!T37</f>
        <v>-4.3712515551777548E-2</v>
      </c>
      <c r="U37">
        <f>Return!U37-'Return Estimasi'!U37</f>
        <v>-3.4987361305990908E-2</v>
      </c>
      <c r="V37">
        <f>Return!V37-'Return Estimasi'!V37</f>
        <v>-3.3042264966589015E-3</v>
      </c>
      <c r="W37">
        <f>Return!W37-'Return Estimasi'!W37</f>
        <v>-2.5430029465804676E-3</v>
      </c>
      <c r="X37">
        <f>Return!X37-'Return Estimasi'!X37</f>
        <v>-1.5082375712349281E-2</v>
      </c>
      <c r="Y37">
        <f>Return!Y37-'Return Estimasi'!Y37</f>
        <v>-2.2678328058384174E-2</v>
      </c>
      <c r="Z37">
        <f>Return!Z37-'Return Estimasi'!Z37</f>
        <v>-3.2615511398115429E-2</v>
      </c>
      <c r="AA37">
        <f>Return!AA37-'Return Estimasi'!AA37</f>
        <v>-3.2772187567080134E-2</v>
      </c>
      <c r="AB37">
        <f>Return!AB37-'Return Estimasi'!AB37</f>
        <v>-4.2034090711780651E-2</v>
      </c>
      <c r="AC37">
        <f>Return!AC37-'Return Estimasi'!AC37</f>
        <v>6.4193790986758837E-3</v>
      </c>
      <c r="AD37">
        <f>Return!AD37-'Return Estimasi'!AD37</f>
        <v>-3.8930881590581605E-2</v>
      </c>
      <c r="AE37">
        <f>Return!AE37-'Return Estimasi'!AE37</f>
        <v>-1.0719823955790526E-2</v>
      </c>
      <c r="AF37">
        <f>Return!AF37-'Return Estimasi'!AF37</f>
        <v>-16.465704794933956</v>
      </c>
    </row>
    <row r="38" spans="1:32" x14ac:dyDescent="0.3">
      <c r="A38" s="1">
        <v>45782</v>
      </c>
      <c r="B38">
        <f>('Data Saham'!B38-'Data Saham'!B37)/'Data Saham'!B37</f>
        <v>2.379789105495707E-3</v>
      </c>
      <c r="C38">
        <f>Return!C38-'Return Estimasi'!C38</f>
        <v>-4.0507243484339504E-4</v>
      </c>
      <c r="D38">
        <f>Return!D38-'Return Estimasi'!D38</f>
        <v>-8.6780325323345207E-3</v>
      </c>
      <c r="E38">
        <f>Return!E38-'Return Estimasi'!E38</f>
        <v>1.6264232266581559E-3</v>
      </c>
      <c r="F38">
        <f>Return!F38-'Return Estimasi'!F38</f>
        <v>4.7520525619756514E-4</v>
      </c>
      <c r="G38">
        <f>Return!G38-'Return Estimasi'!G38</f>
        <v>3.7010606157619262E-3</v>
      </c>
      <c r="H38">
        <f>Return!H38-'Return Estimasi'!H38</f>
        <v>-4.1413965127731663E-3</v>
      </c>
      <c r="I38">
        <f>Return!I38-'Return Estimasi'!I38</f>
        <v>1.9038432631911205E-2</v>
      </c>
      <c r="J38">
        <f>Return!J38-'Return Estimasi'!J38</f>
        <v>-1.3610813574447095E-2</v>
      </c>
      <c r="K38">
        <f>Return!K38-'Return Estimasi'!K38</f>
        <v>-1.6823759120011224E-2</v>
      </c>
      <c r="L38">
        <f>Return!L38-'Return Estimasi'!L38</f>
        <v>4.175812291215583E-3</v>
      </c>
      <c r="M38">
        <f>Return!M38-'Return Estimasi'!M38</f>
        <v>5.6761873385531708E-3</v>
      </c>
      <c r="N38">
        <f>Return!N38-'Return Estimasi'!N38</f>
        <v>-7.0506354983128315E-3</v>
      </c>
      <c r="O38">
        <f>Return!O38-'Return Estimasi'!O38</f>
        <v>-3.952663932080951E-3</v>
      </c>
      <c r="P38">
        <f>Return!P38-'Return Estimasi'!P38</f>
        <v>-8.7596356357768548E-3</v>
      </c>
      <c r="Q38">
        <f>Return!Q38-'Return Estimasi'!Q38</f>
        <v>-1.3545872089433192E-2</v>
      </c>
      <c r="R38">
        <f>Return!R38-'Return Estimasi'!R38</f>
        <v>5.6481444882109606E-2</v>
      </c>
      <c r="S38">
        <f>Return!S38-'Return Estimasi'!S38</f>
        <v>-2.018717024068354E-2</v>
      </c>
      <c r="T38">
        <f>Return!T38-'Return Estimasi'!T38</f>
        <v>-5.3347855990163451E-3</v>
      </c>
      <c r="U38">
        <f>Return!U38-'Return Estimasi'!U38</f>
        <v>1.0865534868565101E-3</v>
      </c>
      <c r="V38">
        <f>Return!V38-'Return Estimasi'!V38</f>
        <v>-1.0561102242492959E-3</v>
      </c>
      <c r="W38">
        <f>Return!W38-'Return Estimasi'!W38</f>
        <v>1.3110457846382616E-2</v>
      </c>
      <c r="X38">
        <f>Return!X38-'Return Estimasi'!X38</f>
        <v>2.2055288176763659E-2</v>
      </c>
      <c r="Y38">
        <f>Return!Y38-'Return Estimasi'!Y38</f>
        <v>2.8005296886049975E-2</v>
      </c>
      <c r="Z38">
        <f>Return!Z38-'Return Estimasi'!Z38</f>
        <v>8.8047818294639951E-3</v>
      </c>
      <c r="AA38">
        <f>Return!AA38-'Return Estimasi'!AA38</f>
        <v>-5.152450445773729E-3</v>
      </c>
      <c r="AB38">
        <f>Return!AB38-'Return Estimasi'!AB38</f>
        <v>1.056484794713102E-2</v>
      </c>
      <c r="AC38">
        <f>Return!AC38-'Return Estimasi'!AC38</f>
        <v>-1.6794273528574721E-2</v>
      </c>
      <c r="AD38">
        <f>Return!AD38-'Return Estimasi'!AD38</f>
        <v>2.6840935552539524E-2</v>
      </c>
      <c r="AE38">
        <f>Return!AE38-'Return Estimasi'!AE38</f>
        <v>1.4007611976206227E-2</v>
      </c>
      <c r="AF38">
        <f>Return!AF38-'Return Estimasi'!AF38</f>
        <v>-16.591504863665513</v>
      </c>
    </row>
    <row r="39" spans="1:32" x14ac:dyDescent="0.3">
      <c r="A39" s="2">
        <v>45813</v>
      </c>
      <c r="B39">
        <f>('Data Saham'!B39-'Data Saham'!B38)/'Data Saham'!B38</f>
        <v>9.697085019650319E-3</v>
      </c>
      <c r="C39">
        <f>Return!C39-'Return Estimasi'!C39</f>
        <v>-1.1194990338648228E-3</v>
      </c>
      <c r="D39">
        <f>Return!D39-'Return Estimasi'!D39</f>
        <v>-5.5377543270087202E-3</v>
      </c>
      <c r="E39">
        <f>Return!E39-'Return Estimasi'!E39</f>
        <v>-9.5669590576149648E-3</v>
      </c>
      <c r="F39">
        <f>Return!F39-'Return Estimasi'!F39</f>
        <v>-1.5229516806501159E-2</v>
      </c>
      <c r="G39">
        <f>Return!G39-'Return Estimasi'!G39</f>
        <v>-1.776085878808354E-2</v>
      </c>
      <c r="H39">
        <f>Return!H39-'Return Estimasi'!H39</f>
        <v>-1.3252807176411582E-2</v>
      </c>
      <c r="I39">
        <f>Return!I39-'Return Estimasi'!I39</f>
        <v>4.4518496388577869E-3</v>
      </c>
      <c r="J39">
        <f>Return!J39-'Return Estimasi'!J39</f>
        <v>-1.2594210866787803E-2</v>
      </c>
      <c r="K39">
        <f>Return!K39-'Return Estimasi'!K39</f>
        <v>-2.3848626135615399E-3</v>
      </c>
      <c r="L39">
        <f>Return!L39-'Return Estimasi'!L39</f>
        <v>7.1658901976193543E-3</v>
      </c>
      <c r="M39">
        <f>Return!M39-'Return Estimasi'!M39</f>
        <v>8.0303698276473615E-2</v>
      </c>
      <c r="N39">
        <f>Return!N39-'Return Estimasi'!N39</f>
        <v>4.8095195536317789E-2</v>
      </c>
      <c r="O39">
        <f>Return!O39-'Return Estimasi'!O39</f>
        <v>-1.0784732436598908E-2</v>
      </c>
      <c r="P39">
        <f>Return!P39-'Return Estimasi'!P39</f>
        <v>-1.5269063723444019E-2</v>
      </c>
      <c r="Q39">
        <f>Return!Q39-'Return Estimasi'!Q39</f>
        <v>-2.1409423326727996E-2</v>
      </c>
      <c r="R39">
        <f>Return!R39-'Return Estimasi'!R39</f>
        <v>9.5513344969414046E-3</v>
      </c>
      <c r="S39">
        <f>Return!S39-'Return Estimasi'!S39</f>
        <v>2.7077487239235171E-2</v>
      </c>
      <c r="T39">
        <f>Return!T39-'Return Estimasi'!T39</f>
        <v>4.8017225193221465E-3</v>
      </c>
      <c r="U39">
        <f>Return!U39-'Return Estimasi'!U39</f>
        <v>-1.0868014258603115E-2</v>
      </c>
      <c r="V39">
        <f>Return!V39-'Return Estimasi'!V39</f>
        <v>-5.5811676558386644E-3</v>
      </c>
      <c r="W39">
        <f>Return!W39-'Return Estimasi'!W39</f>
        <v>-7.6560618908275771E-3</v>
      </c>
      <c r="X39">
        <f>Return!X39-'Return Estimasi'!X39</f>
        <v>-5.7946874399657641E-3</v>
      </c>
      <c r="Y39">
        <f>Return!Y39-'Return Estimasi'!Y39</f>
        <v>3.9749562438270561E-2</v>
      </c>
      <c r="Z39">
        <f>Return!Z39-'Return Estimasi'!Z39</f>
        <v>-6.4917113451690971E-3</v>
      </c>
      <c r="AA39">
        <f>Return!AA39-'Return Estimasi'!AA39</f>
        <v>-2.423722943997321E-3</v>
      </c>
      <c r="AB39">
        <f>Return!AB39-'Return Estimasi'!AB39</f>
        <v>-9.3352664645944775E-3</v>
      </c>
      <c r="AC39">
        <f>Return!AC39-'Return Estimasi'!AC39</f>
        <v>4.2938086790225288E-3</v>
      </c>
      <c r="AD39">
        <f>Return!AD39-'Return Estimasi'!AD39</f>
        <v>5.0650213359164069E-3</v>
      </c>
      <c r="AE39">
        <f>Return!AE39-'Return Estimasi'!AE39</f>
        <v>-1.2546053705022146E-2</v>
      </c>
      <c r="AF39">
        <f>Return!AF39-'Return Estimasi'!AF39</f>
        <v>-16.407276514172516</v>
      </c>
    </row>
    <row r="40" spans="1:32" x14ac:dyDescent="0.3">
      <c r="A40" s="1">
        <v>45843</v>
      </c>
      <c r="B40">
        <f>('Data Saham'!B40-'Data Saham'!B39)/'Data Saham'!B39</f>
        <v>4.0633788524542264E-3</v>
      </c>
      <c r="C40">
        <f>Return!C40-'Return Estimasi'!C40</f>
        <v>3.688913174491556E-3</v>
      </c>
      <c r="D40">
        <f>Return!D40-'Return Estimasi'!D40</f>
        <v>2.5529510155505404E-3</v>
      </c>
      <c r="E40">
        <f>Return!E40-'Return Estimasi'!E40</f>
        <v>-1.0077588425530953E-2</v>
      </c>
      <c r="F40">
        <f>Return!F40-'Return Estimasi'!F40</f>
        <v>-8.1164663868598195E-3</v>
      </c>
      <c r="G40">
        <f>Return!G40-'Return Estimasi'!G40</f>
        <v>-2.7666356542888189E-2</v>
      </c>
      <c r="H40">
        <f>Return!H40-'Return Estimasi'!H40</f>
        <v>1.3655703068105891E-2</v>
      </c>
      <c r="I40">
        <f>Return!I40-'Return Estimasi'!I40</f>
        <v>-1.7595278472831627E-2</v>
      </c>
      <c r="J40">
        <f>Return!J40-'Return Estimasi'!J40</f>
        <v>2.8792898401304976E-2</v>
      </c>
      <c r="K40">
        <f>Return!K40-'Return Estimasi'!K40</f>
        <v>8.1873074734587041E-3</v>
      </c>
      <c r="L40">
        <f>Return!L40-'Return Estimasi'!L40</f>
        <v>2.3753999251789667E-3</v>
      </c>
      <c r="M40">
        <f>Return!M40-'Return Estimasi'!M40</f>
        <v>7.3619405644760341E-2</v>
      </c>
      <c r="N40">
        <f>Return!N40-'Return Estimasi'!N40</f>
        <v>3.8632613309246451E-2</v>
      </c>
      <c r="O40">
        <f>Return!O40-'Return Estimasi'!O40</f>
        <v>7.500688662238247E-3</v>
      </c>
      <c r="P40">
        <f>Return!P40-'Return Estimasi'!P40</f>
        <v>2.4393569633746164E-2</v>
      </c>
      <c r="Q40">
        <f>Return!Q40-'Return Estimasi'!Q40</f>
        <v>-6.3272933504762152E-3</v>
      </c>
      <c r="R40">
        <f>Return!R40-'Return Estimasi'!R40</f>
        <v>-5.0846402762473953E-3</v>
      </c>
      <c r="S40">
        <f>Return!S40-'Return Estimasi'!S40</f>
        <v>8.3009332029561796E-3</v>
      </c>
      <c r="T40">
        <f>Return!T40-'Return Estimasi'!T40</f>
        <v>1.355732566631967E-2</v>
      </c>
      <c r="U40">
        <f>Return!U40-'Return Estimasi'!U40</f>
        <v>-2.038143789241021E-2</v>
      </c>
      <c r="V40">
        <f>Return!V40-'Return Estimasi'!V40</f>
        <v>-5.2879566768674897E-2</v>
      </c>
      <c r="W40">
        <f>Return!W40-'Return Estimasi'!W40</f>
        <v>7.3381304614384954E-2</v>
      </c>
      <c r="X40">
        <f>Return!X40-'Return Estimasi'!X40</f>
        <v>1.5935328389979547E-2</v>
      </c>
      <c r="Y40">
        <f>Return!Y40-'Return Estimasi'!Y40</f>
        <v>1.1520974181304431E-2</v>
      </c>
      <c r="Z40">
        <f>Return!Z40-'Return Estimasi'!Z40</f>
        <v>3.5977505430476973E-2</v>
      </c>
      <c r="AA40">
        <f>Return!AA40-'Return Estimasi'!AA40</f>
        <v>2.9758346551325438E-4</v>
      </c>
      <c r="AB40">
        <f>Return!AB40-'Return Estimasi'!AB40</f>
        <v>8.6451264050240711E-3</v>
      </c>
      <c r="AC40">
        <f>Return!AC40-'Return Estimasi'!AC40</f>
        <v>-1.1443486547080595E-2</v>
      </c>
      <c r="AD40">
        <f>Return!AD40-'Return Estimasi'!AD40</f>
        <v>2.862741460195109E-2</v>
      </c>
      <c r="AE40">
        <f>Return!AE40-'Return Estimasi'!AE40</f>
        <v>3.3391950614680636E-2</v>
      </c>
      <c r="AF40">
        <f>Return!AF40-'Return Estimasi'!AF40</f>
        <v>-16.52883217956758</v>
      </c>
    </row>
    <row r="41" spans="1:32" x14ac:dyDescent="0.3">
      <c r="A41" s="2">
        <v>45874</v>
      </c>
      <c r="B41">
        <f>('Data Saham'!B41-'Data Saham'!B40)/'Data Saham'!B40</f>
        <v>-1.4218413191591901E-2</v>
      </c>
      <c r="C41">
        <f>Return!C41-'Return Estimasi'!C41</f>
        <v>2.8332728687327745E-3</v>
      </c>
      <c r="D41">
        <f>Return!D41-'Return Estimasi'!D41</f>
        <v>-1.7891532051287806E-2</v>
      </c>
      <c r="E41">
        <f>Return!E41-'Return Estimasi'!E41</f>
        <v>-1.8485117228141237E-2</v>
      </c>
      <c r="F41">
        <f>Return!F41-'Return Estimasi'!F41</f>
        <v>2.5378389172698562E-3</v>
      </c>
      <c r="G41">
        <f>Return!G41-'Return Estimasi'!G41</f>
        <v>-7.8930154932945369E-3</v>
      </c>
      <c r="H41">
        <f>Return!H41-'Return Estimasi'!H41</f>
        <v>-1.2387141288759101E-3</v>
      </c>
      <c r="I41">
        <f>Return!I41-'Return Estimasi'!I41</f>
        <v>3.7236584900302114E-2</v>
      </c>
      <c r="J41">
        <f>Return!J41-'Return Estimasi'!J41</f>
        <v>7.3700571799582421E-3</v>
      </c>
      <c r="K41">
        <f>Return!K41-'Return Estimasi'!K41</f>
        <v>9.4321664624429924E-3</v>
      </c>
      <c r="L41">
        <f>Return!L41-'Return Estimasi'!L41</f>
        <v>-4.4173885453664607E-3</v>
      </c>
      <c r="M41">
        <f>Return!M41-'Return Estimasi'!M41</f>
        <v>-4.2228861370731792E-2</v>
      </c>
      <c r="N41">
        <f>Return!N41-'Return Estimasi'!N41</f>
        <v>-7.4300747147897847E-3</v>
      </c>
      <c r="O41">
        <f>Return!O41-'Return Estimasi'!O41</f>
        <v>-1.3783165467576618E-2</v>
      </c>
      <c r="P41">
        <f>Return!P41-'Return Estimasi'!P41</f>
        <v>3.1335064524852144E-2</v>
      </c>
      <c r="Q41">
        <f>Return!Q41-'Return Estimasi'!Q41</f>
        <v>-9.8211194929497796E-3</v>
      </c>
      <c r="R41">
        <f>Return!R41-'Return Estimasi'!R41</f>
        <v>3.4076735884100581E-2</v>
      </c>
      <c r="S41">
        <f>Return!S41-'Return Estimasi'!S41</f>
        <v>7.829910767143405E-3</v>
      </c>
      <c r="T41">
        <f>Return!T41-'Return Estimasi'!T41</f>
        <v>-1.5275624628272685E-2</v>
      </c>
      <c r="U41">
        <f>Return!U41-'Return Estimasi'!U41</f>
        <v>7.3680655177507763E-3</v>
      </c>
      <c r="V41">
        <f>Return!V41-'Return Estimasi'!V41</f>
        <v>4.3866529064148438E-4</v>
      </c>
      <c r="W41">
        <f>Return!W41-'Return Estimasi'!W41</f>
        <v>-4.8445941985989505E-3</v>
      </c>
      <c r="X41">
        <f>Return!X41-'Return Estimasi'!X41</f>
        <v>-1.9160412645283311E-2</v>
      </c>
      <c r="Y41">
        <f>Return!Y41-'Return Estimasi'!Y41</f>
        <v>3.0233501265502942E-2</v>
      </c>
      <c r="Z41">
        <f>Return!Z41-'Return Estimasi'!Z41</f>
        <v>-2.4621096936877546E-2</v>
      </c>
      <c r="AA41">
        <f>Return!AA41-'Return Estimasi'!AA41</f>
        <v>-5.6094677087940858E-4</v>
      </c>
      <c r="AB41">
        <f>Return!AB41-'Return Estimasi'!AB41</f>
        <v>-1.986692521276073E-2</v>
      </c>
      <c r="AC41">
        <f>Return!AC41-'Return Estimasi'!AC41</f>
        <v>1.1125520510196404E-2</v>
      </c>
      <c r="AD41">
        <f>Return!AD41-'Return Estimasi'!AD41</f>
        <v>-3.038493465548793E-2</v>
      </c>
      <c r="AE41">
        <f>Return!AE41-'Return Estimasi'!AE41</f>
        <v>-4.1933817186729106E-3</v>
      </c>
      <c r="AF41">
        <f>Return!AF41-'Return Estimasi'!AF41</f>
        <v>-17.105067444396084</v>
      </c>
    </row>
    <row r="42" spans="1:32" x14ac:dyDescent="0.3">
      <c r="A42" s="1">
        <v>45905</v>
      </c>
      <c r="B42">
        <f>('Data Saham'!B42-'Data Saham'!B41)/'Data Saham'!B41</f>
        <v>7.3962872102818376E-4</v>
      </c>
      <c r="C42">
        <f>Return!C42-'Return Estimasi'!C42</f>
        <v>3.789318251985471E-3</v>
      </c>
      <c r="D42">
        <f>Return!D42-'Return Estimasi'!D42</f>
        <v>1.1282125451578393E-2</v>
      </c>
      <c r="E42">
        <f>Return!E42-'Return Estimasi'!E42</f>
        <v>-4.9760454378282668E-3</v>
      </c>
      <c r="F42">
        <f>Return!F42-'Return Estimasi'!F42</f>
        <v>-5.3708712273870304E-3</v>
      </c>
      <c r="G42">
        <f>Return!G42-'Return Estimasi'!G42</f>
        <v>9.3890731144886524E-3</v>
      </c>
      <c r="H42">
        <f>Return!H42-'Return Estimasi'!H42</f>
        <v>-9.5024396590061755E-4</v>
      </c>
      <c r="I42">
        <f>Return!I42-'Return Estimasi'!I42</f>
        <v>-1.5992117573949218E-2</v>
      </c>
      <c r="J42">
        <f>Return!J42-'Return Estimasi'!J42</f>
        <v>2.5570829664545408E-2</v>
      </c>
      <c r="K42">
        <f>Return!K42-'Return Estimasi'!K42</f>
        <v>-2.3125355581207232E-2</v>
      </c>
      <c r="L42">
        <f>Return!L42-'Return Estimasi'!L42</f>
        <v>-9.1410961839801517E-4</v>
      </c>
      <c r="M42">
        <f>Return!M42-'Return Estimasi'!M42</f>
        <v>2.0987046865649076E-2</v>
      </c>
      <c r="N42">
        <f>Return!N42-'Return Estimasi'!N42</f>
        <v>3.9519411095123042E-3</v>
      </c>
      <c r="O42">
        <f>Return!O42-'Return Estimasi'!O42</f>
        <v>3.072162931601979E-3</v>
      </c>
      <c r="P42">
        <f>Return!P42-'Return Estimasi'!P42</f>
        <v>1.2299354868163326E-3</v>
      </c>
      <c r="Q42">
        <f>Return!Q42-'Return Estimasi'!Q42</f>
        <v>1.1291888844168351E-2</v>
      </c>
      <c r="R42">
        <f>Return!R42-'Return Estimasi'!R42</f>
        <v>7.3520056305639821E-3</v>
      </c>
      <c r="S42">
        <f>Return!S42-'Return Estimasi'!S42</f>
        <v>-1.0616828226983857E-2</v>
      </c>
      <c r="T42">
        <f>Return!T42-'Return Estimasi'!T42</f>
        <v>1.2704749651703392E-2</v>
      </c>
      <c r="U42">
        <f>Return!U42-'Return Estimasi'!U42</f>
        <v>-3.3181844992930094E-2</v>
      </c>
      <c r="V42">
        <f>Return!V42-'Return Estimasi'!V42</f>
        <v>-1.1125535950581229E-2</v>
      </c>
      <c r="W42">
        <f>Return!W42-'Return Estimasi'!W42</f>
        <v>-3.644570534031129E-3</v>
      </c>
      <c r="X42">
        <f>Return!X42-'Return Estimasi'!X42</f>
        <v>7.7487807692678823E-3</v>
      </c>
      <c r="Y42">
        <f>Return!Y42-'Return Estimasi'!Y42</f>
        <v>5.2644851351253217E-3</v>
      </c>
      <c r="Z42">
        <f>Return!Z42-'Return Estimasi'!Z42</f>
        <v>4.6280877322024683E-4</v>
      </c>
      <c r="AA42">
        <f>Return!AA42-'Return Estimasi'!AA42</f>
        <v>-2.563362845489248E-2</v>
      </c>
      <c r="AB42">
        <f>Return!AB42-'Return Estimasi'!AB42</f>
        <v>9.6787952213831527E-5</v>
      </c>
      <c r="AC42">
        <f>Return!AC42-'Return Estimasi'!AC42</f>
        <v>-8.6236659582173674E-3</v>
      </c>
      <c r="AD42">
        <f>Return!AD42-'Return Estimasi'!AD42</f>
        <v>4.6218235819157079E-2</v>
      </c>
      <c r="AE42">
        <f>Return!AE42-'Return Estimasi'!AE42</f>
        <v>-5.6325166219827342E-3</v>
      </c>
      <c r="AF42">
        <f>Return!AF42-'Return Estimasi'!AF42</f>
        <v>-16.653916798136947</v>
      </c>
    </row>
    <row r="43" spans="1:32" x14ac:dyDescent="0.3">
      <c r="A43" s="4" t="s">
        <v>24</v>
      </c>
      <c r="B43">
        <f>('Data Saham'!B43-'Data Saham'!B42)/'Data Saham'!B42</f>
        <v>2.1525582484486584E-2</v>
      </c>
      <c r="C43">
        <f>Return!C43-'Return Estimasi'!C43</f>
        <v>1.3704508130032919E-2</v>
      </c>
      <c r="D43">
        <f>Return!D43-'Return Estimasi'!D43</f>
        <v>4.2753115866051822E-2</v>
      </c>
      <c r="E43">
        <f>Return!E43-'Return Estimasi'!E43</f>
        <v>3.7557206556540254E-2</v>
      </c>
      <c r="F43">
        <f>Return!F43-'Return Estimasi'!F43</f>
        <v>4.7731086088808466E-2</v>
      </c>
      <c r="G43">
        <f>Return!G43-'Return Estimasi'!G43</f>
        <v>-2.4855370866699904E-2</v>
      </c>
      <c r="H43">
        <f>Return!H43-'Return Estimasi'!H43</f>
        <v>-8.6585024307269803E-3</v>
      </c>
      <c r="I43">
        <f>Return!I43-'Return Estimasi'!I43</f>
        <v>-9.48983845127261E-3</v>
      </c>
      <c r="J43">
        <f>Return!J43-'Return Estimasi'!J43</f>
        <v>-1.8662865809274572E-2</v>
      </c>
      <c r="K43">
        <f>Return!K43-'Return Estimasi'!K43</f>
        <v>1.0760745149084455E-2</v>
      </c>
      <c r="L43">
        <f>Return!L43-'Return Estimasi'!L43</f>
        <v>9.6331298324820562E-3</v>
      </c>
      <c r="M43">
        <f>Return!M43-'Return Estimasi'!M43</f>
        <v>-7.4508002377655841E-2</v>
      </c>
      <c r="N43">
        <f>Return!N43-'Return Estimasi'!N43</f>
        <v>-4.7461411374283946E-2</v>
      </c>
      <c r="O43">
        <f>Return!O43-'Return Estimasi'!O43</f>
        <v>2.3547818282064203E-2</v>
      </c>
      <c r="P43">
        <f>Return!P43-'Return Estimasi'!P43</f>
        <v>2.4614829662841852E-2</v>
      </c>
      <c r="Q43">
        <f>Return!Q43-'Return Estimasi'!Q43</f>
        <v>-1.749499423767488E-3</v>
      </c>
      <c r="R43">
        <f>Return!R43-'Return Estimasi'!R43</f>
        <v>8.9267498198186933E-3</v>
      </c>
      <c r="S43">
        <f>Return!S43-'Return Estimasi'!S43</f>
        <v>1.7551160730296479E-2</v>
      </c>
      <c r="T43">
        <f>Return!T43-'Return Estimasi'!T43</f>
        <v>-2.1846739157574034E-2</v>
      </c>
      <c r="U43">
        <f>Return!U43-'Return Estimasi'!U43</f>
        <v>2.1814656635692525E-2</v>
      </c>
      <c r="V43">
        <f>Return!V43-'Return Estimasi'!V43</f>
        <v>1.3212687944604857E-2</v>
      </c>
      <c r="W43">
        <f>Return!W43-'Return Estimasi'!W43</f>
        <v>-4.0700783037068283E-4</v>
      </c>
      <c r="X43">
        <f>Return!X43-'Return Estimasi'!X43</f>
        <v>-1.0322299251030828E-2</v>
      </c>
      <c r="Y43">
        <f>Return!Y43-'Return Estimasi'!Y43</f>
        <v>3.5308618999361344E-2</v>
      </c>
      <c r="Z43">
        <f>Return!Z43-'Return Estimasi'!Z43</f>
        <v>2.2419945960266554E-2</v>
      </c>
      <c r="AA43">
        <f>Return!AA43-'Return Estimasi'!AA43</f>
        <v>3.1226367723275091E-3</v>
      </c>
      <c r="AB43">
        <f>Return!AB43-'Return Estimasi'!AB43</f>
        <v>-4.6481838116683202E-2</v>
      </c>
      <c r="AC43">
        <f>Return!AC43-'Return Estimasi'!AC43</f>
        <v>-1.9700235309601612E-2</v>
      </c>
      <c r="AD43">
        <f>Return!AD43-'Return Estimasi'!AD43</f>
        <v>-3.8016210568446174E-2</v>
      </c>
      <c r="AE43">
        <f>Return!AE43-'Return Estimasi'!AE43</f>
        <v>-1.6389442863256328E-2</v>
      </c>
      <c r="AF43">
        <f>Return!AF43-'Return Estimasi'!AF43</f>
        <v>-17.073648459901708</v>
      </c>
    </row>
    <row r="44" spans="1:32" x14ac:dyDescent="0.3">
      <c r="A44" s="3" t="s">
        <v>25</v>
      </c>
      <c r="B44">
        <f>('Data Saham'!B44-'Data Saham'!B43)/'Data Saham'!B43</f>
        <v>8.6362516261024175E-3</v>
      </c>
      <c r="C44">
        <f>Return!C44-'Return Estimasi'!C44</f>
        <v>-5.7792882799244105E-3</v>
      </c>
      <c r="D44">
        <f>Return!D44-'Return Estimasi'!D44</f>
        <v>3.4333884537066317E-2</v>
      </c>
      <c r="E44">
        <f>Return!E44-'Return Estimasi'!E44</f>
        <v>4.5926678709419883E-2</v>
      </c>
      <c r="F44">
        <f>Return!F44-'Return Estimasi'!F44</f>
        <v>2.2543202313339207E-2</v>
      </c>
      <c r="G44">
        <f>Return!G44-'Return Estimasi'!G44</f>
        <v>1.7629233121714848E-2</v>
      </c>
      <c r="H44">
        <f>Return!H44-'Return Estimasi'!H44</f>
        <v>-4.1839451869239638E-3</v>
      </c>
      <c r="I44">
        <f>Return!I44-'Return Estimasi'!I44</f>
        <v>-1.2980662180683987E-2</v>
      </c>
      <c r="J44">
        <f>Return!J44-'Return Estimasi'!J44</f>
        <v>2.6150377063710289E-2</v>
      </c>
      <c r="K44">
        <f>Return!K44-'Return Estimasi'!K44</f>
        <v>-9.4507512549701269E-3</v>
      </c>
      <c r="L44">
        <f>Return!L44-'Return Estimasi'!L44</f>
        <v>-3.7651635988130133E-3</v>
      </c>
      <c r="M44">
        <f>Return!M44-'Return Estimasi'!M44</f>
        <v>-1.3494609658180171E-2</v>
      </c>
      <c r="N44">
        <f>Return!N44-'Return Estimasi'!N44</f>
        <v>2.3962240609746749E-2</v>
      </c>
      <c r="O44">
        <f>Return!O44-'Return Estimasi'!O44</f>
        <v>-1.093300021011487E-3</v>
      </c>
      <c r="P44">
        <f>Return!P44-'Return Estimasi'!P44</f>
        <v>-2.1715344245728081E-2</v>
      </c>
      <c r="Q44">
        <f>Return!Q44-'Return Estimasi'!Q44</f>
        <v>-3.3814794796081661E-2</v>
      </c>
      <c r="R44">
        <f>Return!R44-'Return Estimasi'!R44</f>
        <v>2.6189383477239054E-2</v>
      </c>
      <c r="S44">
        <f>Return!S44-'Return Estimasi'!S44</f>
        <v>-1.0676338132561827E-2</v>
      </c>
      <c r="T44">
        <f>Return!T44-'Return Estimasi'!T44</f>
        <v>3.3606744542003145E-2</v>
      </c>
      <c r="U44">
        <f>Return!U44-'Return Estimasi'!U44</f>
        <v>-9.7056592922084104E-3</v>
      </c>
      <c r="V44">
        <f>Return!V44-'Return Estimasi'!V44</f>
        <v>-2.2703238405627206E-2</v>
      </c>
      <c r="W44">
        <f>Return!W44-'Return Estimasi'!W44</f>
        <v>-1.2781985292488873E-2</v>
      </c>
      <c r="X44">
        <f>Return!X44-'Return Estimasi'!X44</f>
        <v>-8.6523366094415147E-3</v>
      </c>
      <c r="Y44">
        <f>Return!Y44-'Return Estimasi'!Y44</f>
        <v>-3.3503258522733531E-2</v>
      </c>
      <c r="Z44">
        <f>Return!Z44-'Return Estimasi'!Z44</f>
        <v>-2.401670994900848E-2</v>
      </c>
      <c r="AA44">
        <f>Return!AA44-'Return Estimasi'!AA44</f>
        <v>-4.2055962527722715E-2</v>
      </c>
      <c r="AB44">
        <f>Return!AB44-'Return Estimasi'!AB44</f>
        <v>-8.4167593406810251E-2</v>
      </c>
      <c r="AC44">
        <f>Return!AC44-'Return Estimasi'!AC44</f>
        <v>-2.9274083247653945E-2</v>
      </c>
      <c r="AD44">
        <f>Return!AD44-'Return Estimasi'!AD44</f>
        <v>-2.5970098051857522E-2</v>
      </c>
      <c r="AE44">
        <f>Return!AE44-'Return Estimasi'!AE44</f>
        <v>3.7010830562503004E-3</v>
      </c>
      <c r="AF44">
        <f>Return!AF44-'Return Estimasi'!AF44</f>
        <v>-16.442004958552335</v>
      </c>
    </row>
    <row r="45" spans="1:32" x14ac:dyDescent="0.3">
      <c r="A45" s="4" t="s">
        <v>26</v>
      </c>
      <c r="B45">
        <f>('Data Saham'!B45-'Data Saham'!B44)/'Data Saham'!B44</f>
        <v>9.4273425603963387E-3</v>
      </c>
      <c r="C45">
        <f>Return!C45-'Return Estimasi'!C45</f>
        <v>-3.7634067968226083E-3</v>
      </c>
      <c r="D45">
        <f>Return!D45-'Return Estimasi'!D45</f>
        <v>-1.513768194102685E-2</v>
      </c>
      <c r="E45">
        <f>Return!E45-'Return Estimasi'!E45</f>
        <v>1.8866040422688891E-2</v>
      </c>
      <c r="F45">
        <f>Return!F45-'Return Estimasi'!F45</f>
        <v>-7.8751494404716606E-3</v>
      </c>
      <c r="G45">
        <f>Return!G45-'Return Estimasi'!G45</f>
        <v>1.9964735536281242E-2</v>
      </c>
      <c r="H45">
        <f>Return!H45-'Return Estimasi'!H45</f>
        <v>5.6529540187739181E-3</v>
      </c>
      <c r="I45">
        <f>Return!I45-'Return Estimasi'!I45</f>
        <v>1.3218590860384228E-4</v>
      </c>
      <c r="J45">
        <f>Return!J45-'Return Estimasi'!J45</f>
        <v>4.0561573788480153E-2</v>
      </c>
      <c r="K45">
        <f>Return!K45-'Return Estimasi'!K45</f>
        <v>0.11251995106548783</v>
      </c>
      <c r="L45">
        <f>Return!L45-'Return Estimasi'!L45</f>
        <v>3.7413138955560248E-3</v>
      </c>
      <c r="M45">
        <f>Return!M45-'Return Estimasi'!M45</f>
        <v>2.1031948525734555E-2</v>
      </c>
      <c r="N45">
        <f>Return!N45-'Return Estimasi'!N45</f>
        <v>4.6327951880854062E-2</v>
      </c>
      <c r="O45">
        <f>Return!O45-'Return Estimasi'!O45</f>
        <v>1.0503682513166879E-2</v>
      </c>
      <c r="P45">
        <f>Return!P45-'Return Estimasi'!P45</f>
        <v>-6.4111287473560636E-3</v>
      </c>
      <c r="Q45">
        <f>Return!Q45-'Return Estimasi'!Q45</f>
        <v>-2.772394674019147E-3</v>
      </c>
      <c r="R45">
        <f>Return!R45-'Return Estimasi'!R45</f>
        <v>-1.7793970828866586E-2</v>
      </c>
      <c r="S45">
        <f>Return!S45-'Return Estimasi'!S45</f>
        <v>-9.6051246877127371E-4</v>
      </c>
      <c r="T45">
        <f>Return!T45-'Return Estimasi'!T45</f>
        <v>-2.830379848302423E-2</v>
      </c>
      <c r="U45">
        <f>Return!U45-'Return Estimasi'!U45</f>
        <v>9.2688123487605772E-3</v>
      </c>
      <c r="V45">
        <f>Return!V45-'Return Estimasi'!V45</f>
        <v>4.0937289726477449E-3</v>
      </c>
      <c r="W45">
        <f>Return!W45-'Return Estimasi'!W45</f>
        <v>-2.6893259688985614E-3</v>
      </c>
      <c r="X45">
        <f>Return!X45-'Return Estimasi'!X45</f>
        <v>1.4491730615494039E-2</v>
      </c>
      <c r="Y45">
        <f>Return!Y45-'Return Estimasi'!Y45</f>
        <v>3.143714709899062E-2</v>
      </c>
      <c r="Z45">
        <f>Return!Z45-'Return Estimasi'!Z45</f>
        <v>-5.3011256736544457E-2</v>
      </c>
      <c r="AA45">
        <f>Return!AA45-'Return Estimasi'!AA45</f>
        <v>9.5546930777480228E-3</v>
      </c>
      <c r="AB45">
        <f>Return!AB45-'Return Estimasi'!AB45</f>
        <v>-9.051232083695673E-3</v>
      </c>
      <c r="AC45">
        <f>Return!AC45-'Return Estimasi'!AC45</f>
        <v>-2.3351174903800512E-2</v>
      </c>
      <c r="AD45">
        <f>Return!AD45-'Return Estimasi'!AD45</f>
        <v>-4.021342301755282E-3</v>
      </c>
      <c r="AE45">
        <f>Return!AE45-'Return Estimasi'!AE45</f>
        <v>8.0695240503081064E-3</v>
      </c>
      <c r="AF45">
        <f>Return!AF45-'Return Estimasi'!AF45</f>
        <v>-16.414860616525328</v>
      </c>
    </row>
    <row r="46" spans="1:32" x14ac:dyDescent="0.3">
      <c r="A46" s="3" t="s">
        <v>27</v>
      </c>
      <c r="B46">
        <f>('Data Saham'!B46-'Data Saham'!B45)/'Data Saham'!B45</f>
        <v>4.8631329214117724E-3</v>
      </c>
      <c r="C46">
        <f>Return!C46-'Return Estimasi'!C46</f>
        <v>1.8967145492593811E-2</v>
      </c>
      <c r="D46">
        <f>Return!D46-'Return Estimasi'!D46</f>
        <v>-1.0671355061605572E-2</v>
      </c>
      <c r="E46">
        <f>Return!E46-'Return Estimasi'!E46</f>
        <v>4.2962429856703149E-3</v>
      </c>
      <c r="F46">
        <f>Return!F46-'Return Estimasi'!F46</f>
        <v>-1.2898072109632775E-2</v>
      </c>
      <c r="G46">
        <f>Return!G46-'Return Estimasi'!G46</f>
        <v>2.3198320690729433E-2</v>
      </c>
      <c r="H46">
        <f>Return!H46-'Return Estimasi'!H46</f>
        <v>8.570619878402061E-3</v>
      </c>
      <c r="I46">
        <f>Return!I46-'Return Estimasi'!I46</f>
        <v>-1.1482550245417916E-2</v>
      </c>
      <c r="J46">
        <f>Return!J46-'Return Estimasi'!J46</f>
        <v>-2.7964392605591176E-2</v>
      </c>
      <c r="K46">
        <f>Return!K46-'Return Estimasi'!K46</f>
        <v>7.3170884063116809E-2</v>
      </c>
      <c r="L46">
        <f>Return!L46-'Return Estimasi'!L46</f>
        <v>7.5674229403228724E-3</v>
      </c>
      <c r="M46">
        <f>Return!M46-'Return Estimasi'!M46</f>
        <v>2.0469305685754027E-2</v>
      </c>
      <c r="N46">
        <f>Return!N46-'Return Estimasi'!N46</f>
        <v>6.5140002205833714E-2</v>
      </c>
      <c r="O46">
        <f>Return!O46-'Return Estimasi'!O46</f>
        <v>2.7416798049969798E-2</v>
      </c>
      <c r="P46">
        <f>Return!P46-'Return Estimasi'!P46</f>
        <v>-2.6787034738286909E-2</v>
      </c>
      <c r="Q46">
        <f>Return!Q46-'Return Estimasi'!Q46</f>
        <v>6.5836681163288675E-3</v>
      </c>
      <c r="R46">
        <f>Return!R46-'Return Estimasi'!R46</f>
        <v>-3.5229399536398663E-2</v>
      </c>
      <c r="S46">
        <f>Return!S46-'Return Estimasi'!S46</f>
        <v>-1.6749597921714921E-2</v>
      </c>
      <c r="T46">
        <f>Return!T46-'Return Estimasi'!T46</f>
        <v>-1.1113985187152487E-3</v>
      </c>
      <c r="U46">
        <f>Return!U46-'Return Estimasi'!U46</f>
        <v>4.8903254393141901E-2</v>
      </c>
      <c r="V46">
        <f>Return!V46-'Return Estimasi'!V46</f>
        <v>4.6990551968109969E-3</v>
      </c>
      <c r="W46">
        <f>Return!W46-'Return Estimasi'!W46</f>
        <v>-5.7554309019784795E-3</v>
      </c>
      <c r="X46">
        <f>Return!X46-'Return Estimasi'!X46</f>
        <v>-4.5834669470369684E-3</v>
      </c>
      <c r="Y46">
        <f>Return!Y46-'Return Estimasi'!Y46</f>
        <v>-2.2736165750582111E-3</v>
      </c>
      <c r="Z46">
        <f>Return!Z46-'Return Estimasi'!Z46</f>
        <v>3.6477028921209083E-2</v>
      </c>
      <c r="AA46">
        <f>Return!AA46-'Return Estimasi'!AA46</f>
        <v>-2.2965006384469938E-2</v>
      </c>
      <c r="AB46">
        <f>Return!AB46-'Return Estimasi'!AB46</f>
        <v>-3.1642454544093285E-2</v>
      </c>
      <c r="AC46">
        <f>Return!AC46-'Return Estimasi'!AC46</f>
        <v>-3.3901904936179179E-2</v>
      </c>
      <c r="AD46">
        <f>Return!AD46-'Return Estimasi'!AD46</f>
        <v>3.3707946970893809E-4</v>
      </c>
      <c r="AE46">
        <f>Return!AE46-'Return Estimasi'!AE46</f>
        <v>-8.6765675375988713E-3</v>
      </c>
      <c r="AF46">
        <f>Return!AF46-'Return Estimasi'!AF46</f>
        <v>-16.533336113394565</v>
      </c>
    </row>
    <row r="47" spans="1:32" x14ac:dyDescent="0.3">
      <c r="A47" s="4" t="s">
        <v>28</v>
      </c>
      <c r="B47">
        <f>('Data Saham'!B47-'Data Saham'!B46)/'Data Saham'!B46</f>
        <v>-6.5102106261088685E-3</v>
      </c>
      <c r="C47">
        <f>Return!C47-'Return Estimasi'!C47</f>
        <v>4.5997369543273135E-3</v>
      </c>
      <c r="D47">
        <f>Return!D47-'Return Estimasi'!D47</f>
        <v>4.9075337139358605E-4</v>
      </c>
      <c r="E47">
        <f>Return!E47-'Return Estimasi'!E47</f>
        <v>-1.6330007116718153E-2</v>
      </c>
      <c r="F47">
        <f>Return!F47-'Return Estimasi'!F47</f>
        <v>3.3820872793794312E-3</v>
      </c>
      <c r="G47">
        <f>Return!G47-'Return Estimasi'!G47</f>
        <v>-2.4121816145115368E-2</v>
      </c>
      <c r="H47">
        <f>Return!H47-'Return Estimasi'!H47</f>
        <v>-1.2267016784580228E-2</v>
      </c>
      <c r="I47">
        <f>Return!I47-'Return Estimasi'!I47</f>
        <v>-1.3640493955273503E-2</v>
      </c>
      <c r="J47">
        <f>Return!J47-'Return Estimasi'!J47</f>
        <v>-4.0623223050556524E-2</v>
      </c>
      <c r="K47">
        <f>Return!K47-'Return Estimasi'!K47</f>
        <v>-4.2606251173731291E-2</v>
      </c>
      <c r="L47">
        <f>Return!L47-'Return Estimasi'!L47</f>
        <v>-1.7983809703611926E-2</v>
      </c>
      <c r="M47">
        <f>Return!M47-'Return Estimasi'!M47</f>
        <v>4.8777826387473135E-3</v>
      </c>
      <c r="N47">
        <f>Return!N47-'Return Estimasi'!N47</f>
        <v>-1.2780196438658534E-2</v>
      </c>
      <c r="O47">
        <f>Return!O47-'Return Estimasi'!O47</f>
        <v>-4.9529419736463577E-3</v>
      </c>
      <c r="P47">
        <f>Return!P47-'Return Estimasi'!P47</f>
        <v>2.4273019374763574E-2</v>
      </c>
      <c r="Q47">
        <f>Return!Q47-'Return Estimasi'!Q47</f>
        <v>-1.3182251911467702E-2</v>
      </c>
      <c r="R47">
        <f>Return!R47-'Return Estimasi'!R47</f>
        <v>3.5580278536042974E-2</v>
      </c>
      <c r="S47">
        <f>Return!S47-'Return Estimasi'!S47</f>
        <v>-4.5939514045331359E-3</v>
      </c>
      <c r="T47">
        <f>Return!T47-'Return Estimasi'!T47</f>
        <v>2.6031356795851003E-3</v>
      </c>
      <c r="U47">
        <f>Return!U47-'Return Estimasi'!U47</f>
        <v>-5.9530347420753235E-2</v>
      </c>
      <c r="V47">
        <f>Return!V47-'Return Estimasi'!V47</f>
        <v>-9.8304256225034761E-3</v>
      </c>
      <c r="W47">
        <f>Return!W47-'Return Estimasi'!W47</f>
        <v>6.6931582467687059E-2</v>
      </c>
      <c r="X47">
        <f>Return!X47-'Return Estimasi'!X47</f>
        <v>1.1414550274997225E-2</v>
      </c>
      <c r="Y47">
        <f>Return!Y47-'Return Estimasi'!Y47</f>
        <v>6.7808701058096697E-3</v>
      </c>
      <c r="Z47">
        <f>Return!Z47-'Return Estimasi'!Z47</f>
        <v>-3.3424178416693161E-3</v>
      </c>
      <c r="AA47">
        <f>Return!AA47-'Return Estimasi'!AA47</f>
        <v>-1.3756161427608524E-2</v>
      </c>
      <c r="AB47">
        <f>Return!AB47-'Return Estimasi'!AB47</f>
        <v>2.1815256797421755E-2</v>
      </c>
      <c r="AC47">
        <f>Return!AC47-'Return Estimasi'!AC47</f>
        <v>-2.8750034448313351E-3</v>
      </c>
      <c r="AD47">
        <f>Return!AD47-'Return Estimasi'!AD47</f>
        <v>-7.0354811628333368E-3</v>
      </c>
      <c r="AE47">
        <f>Return!AE47-'Return Estimasi'!AE47</f>
        <v>-5.0493492532721704E-3</v>
      </c>
      <c r="AF47">
        <f>Return!AF47-'Return Estimasi'!AF47</f>
        <v>-16.887352486527615</v>
      </c>
    </row>
    <row r="48" spans="1:32" x14ac:dyDescent="0.3">
      <c r="A48" s="3" t="s">
        <v>29</v>
      </c>
      <c r="B48">
        <f>('Data Saham'!B48-'Data Saham'!B47)/'Data Saham'!B47</f>
        <v>6.745975812589811E-3</v>
      </c>
      <c r="C48">
        <f>Return!C48-'Return Estimasi'!C48</f>
        <v>1.9591134670635099E-2</v>
      </c>
      <c r="D48">
        <f>Return!D48-'Return Estimasi'!D48</f>
        <v>4.0594552058384262E-3</v>
      </c>
      <c r="E48">
        <f>Return!E48-'Return Estimasi'!E48</f>
        <v>2.5804244302884537E-3</v>
      </c>
      <c r="F48">
        <f>Return!F48-'Return Estimasi'!F48</f>
        <v>1.0126352656802522E-2</v>
      </c>
      <c r="G48">
        <f>Return!G48-'Return Estimasi'!G48</f>
        <v>-4.0452937227240379E-3</v>
      </c>
      <c r="H48">
        <f>Return!H48-'Return Estimasi'!H48</f>
        <v>-4.4085854516106499E-2</v>
      </c>
      <c r="I48">
        <f>Return!I48-'Return Estimasi'!I48</f>
        <v>5.982895092998917E-3</v>
      </c>
      <c r="J48">
        <f>Return!J48-'Return Estimasi'!J48</f>
        <v>1.0820367711429876E-2</v>
      </c>
      <c r="K48">
        <f>Return!K48-'Return Estimasi'!K48</f>
        <v>-3.0295753173333214E-2</v>
      </c>
      <c r="L48">
        <f>Return!L48-'Return Estimasi'!L48</f>
        <v>8.112261993503643E-3</v>
      </c>
      <c r="M48">
        <f>Return!M48-'Return Estimasi'!M48</f>
        <v>5.4273504709153417E-2</v>
      </c>
      <c r="N48">
        <f>Return!N48-'Return Estimasi'!N48</f>
        <v>7.5749619936653027E-3</v>
      </c>
      <c r="O48">
        <f>Return!O48-'Return Estimasi'!O48</f>
        <v>8.4589356794156582E-3</v>
      </c>
      <c r="P48">
        <f>Return!P48-'Return Estimasi'!P48</f>
        <v>4.1439224923589856E-3</v>
      </c>
      <c r="Q48">
        <f>Return!Q48-'Return Estimasi'!Q48</f>
        <v>-4.5718328517734145E-3</v>
      </c>
      <c r="R48">
        <f>Return!R48-'Return Estimasi'!R48</f>
        <v>1.6890760988754226E-2</v>
      </c>
      <c r="S48">
        <f>Return!S48-'Return Estimasi'!S48</f>
        <v>1.0947704103214224E-2</v>
      </c>
      <c r="T48">
        <f>Return!T48-'Return Estimasi'!T48</f>
        <v>-2.4417433404001009E-2</v>
      </c>
      <c r="U48">
        <f>Return!U48-'Return Estimasi'!U48</f>
        <v>8.1757922705657064E-3</v>
      </c>
      <c r="V48">
        <f>Return!V48-'Return Estimasi'!V48</f>
        <v>-3.8628505221211355E-3</v>
      </c>
      <c r="W48">
        <f>Return!W48-'Return Estimasi'!W48</f>
        <v>3.872066600091776E-2</v>
      </c>
      <c r="X48">
        <f>Return!X48-'Return Estimasi'!X48</f>
        <v>8.0016025976740734E-2</v>
      </c>
      <c r="Y48">
        <f>Return!Y48-'Return Estimasi'!Y48</f>
        <v>4.0227424406504786E-2</v>
      </c>
      <c r="Z48">
        <f>Return!Z48-'Return Estimasi'!Z48</f>
        <v>-4.20048628440901E-3</v>
      </c>
      <c r="AA48">
        <f>Return!AA48-'Return Estimasi'!AA48</f>
        <v>-2.5066545235934348E-3</v>
      </c>
      <c r="AB48">
        <f>Return!AB48-'Return Estimasi'!AB48</f>
        <v>-3.4005574699348035E-2</v>
      </c>
      <c r="AC48">
        <f>Return!AC48-'Return Estimasi'!AC48</f>
        <v>-1.4361654537364881E-2</v>
      </c>
      <c r="AD48">
        <f>Return!AD48-'Return Estimasi'!AD48</f>
        <v>2.6350659998975227E-2</v>
      </c>
      <c r="AE48">
        <f>Return!AE48-'Return Estimasi'!AE48</f>
        <v>3.5496025218870395E-2</v>
      </c>
      <c r="AF48">
        <f>Return!AF48-'Return Estimasi'!AF48</f>
        <v>972.50974984370021</v>
      </c>
    </row>
    <row r="49" spans="1:32" x14ac:dyDescent="0.3">
      <c r="A49" s="4" t="s">
        <v>30</v>
      </c>
      <c r="B49">
        <f>('Data Saham'!B49-'Data Saham'!B48)/'Data Saham'!B48</f>
        <v>3.4329908742925445E-3</v>
      </c>
      <c r="C49">
        <f>Return!C49-'Return Estimasi'!C49</f>
        <v>-6.464397543293041E-3</v>
      </c>
      <c r="D49">
        <f>Return!D49-'Return Estimasi'!D49</f>
        <v>4.8305767551059878E-3</v>
      </c>
      <c r="E49">
        <f>Return!E49-'Return Estimasi'!E49</f>
        <v>-3.4365583159439751E-3</v>
      </c>
      <c r="F49">
        <f>Return!F49-'Return Estimasi'!F49</f>
        <v>-1.3859774537022727E-2</v>
      </c>
      <c r="G49">
        <f>Return!G49-'Return Estimasi'!G49</f>
        <v>1.3471409745306698E-2</v>
      </c>
      <c r="H49">
        <f>Return!H49-'Return Estimasi'!H49</f>
        <v>-1.132759919852094E-2</v>
      </c>
      <c r="I49">
        <f>Return!I49-'Return Estimasi'!I49</f>
        <v>-1.8992190393430676E-3</v>
      </c>
      <c r="J49">
        <f>Return!J49-'Return Estimasi'!J49</f>
        <v>-1.0330735324297657E-2</v>
      </c>
      <c r="K49">
        <f>Return!K49-'Return Estimasi'!K49</f>
        <v>-9.1822326516782724E-3</v>
      </c>
      <c r="L49">
        <f>Return!L49-'Return Estimasi'!L49</f>
        <v>3.6719909301889133E-3</v>
      </c>
      <c r="M49">
        <f>Return!M49-'Return Estimasi'!M49</f>
        <v>8.7360075868062863E-3</v>
      </c>
      <c r="N49">
        <f>Return!N49-'Return Estimasi'!N49</f>
        <v>-1.2371385422303989E-2</v>
      </c>
      <c r="O49">
        <f>Return!O49-'Return Estimasi'!O49</f>
        <v>3.008356630291684E-2</v>
      </c>
      <c r="P49">
        <f>Return!P49-'Return Estimasi'!P49</f>
        <v>-2.5529188606602672E-2</v>
      </c>
      <c r="Q49">
        <f>Return!Q49-'Return Estimasi'!Q49</f>
        <v>-1.0244056945319513E-2</v>
      </c>
      <c r="R49">
        <f>Return!R49-'Return Estimasi'!R49</f>
        <v>-5.999296942250968E-2</v>
      </c>
      <c r="S49">
        <f>Return!S49-'Return Estimasi'!S49</f>
        <v>-3.8177801321395664E-3</v>
      </c>
      <c r="T49">
        <f>Return!T49-'Return Estimasi'!T49</f>
        <v>-3.1408176460126488E-2</v>
      </c>
      <c r="U49">
        <f>Return!U49-'Return Estimasi'!U49</f>
        <v>3.4906058452945782E-2</v>
      </c>
      <c r="V49">
        <f>Return!V49-'Return Estimasi'!V49</f>
        <v>3.1978621204023505E-4</v>
      </c>
      <c r="W49">
        <f>Return!W49-'Return Estimasi'!W49</f>
        <v>9.3285070617828675E-2</v>
      </c>
      <c r="X49">
        <f>Return!X49-'Return Estimasi'!X49</f>
        <v>-2.459788972335256E-2</v>
      </c>
      <c r="Y49">
        <f>Return!Y49-'Return Estimasi'!Y49</f>
        <v>-4.9664770054450164E-3</v>
      </c>
      <c r="Z49">
        <f>Return!Z49-'Return Estimasi'!Z49</f>
        <v>0.13170503044979151</v>
      </c>
      <c r="AA49">
        <f>Return!AA49-'Return Estimasi'!AA49</f>
        <v>2.8105835745077072E-2</v>
      </c>
      <c r="AB49">
        <f>Return!AB49-'Return Estimasi'!AB49</f>
        <v>2.58321503965133E-2</v>
      </c>
      <c r="AC49">
        <f>Return!AC49-'Return Estimasi'!AC49</f>
        <v>1.8290943197559813E-2</v>
      </c>
      <c r="AD49">
        <f>Return!AD49-'Return Estimasi'!AD49</f>
        <v>-2.0815011764305752E-2</v>
      </c>
      <c r="AE49">
        <f>Return!AE49-'Return Estimasi'!AE49</f>
        <v>2.1804825506758527E-2</v>
      </c>
      <c r="AF49">
        <f>Return!AF49-'Return Estimasi'!AF49</f>
        <v>-16.598549842988255</v>
      </c>
    </row>
    <row r="50" spans="1:32" x14ac:dyDescent="0.3">
      <c r="A50" s="3" t="s">
        <v>31</v>
      </c>
      <c r="B50">
        <f>('Data Saham'!B50-'Data Saham'!B49)/'Data Saham'!B49</f>
        <v>6.5829680004688574E-3</v>
      </c>
      <c r="C50">
        <f>Return!C50-'Return Estimasi'!C50</f>
        <v>-1.4248721171936014E-3</v>
      </c>
      <c r="D50">
        <f>Return!D50-'Return Estimasi'!D50</f>
        <v>3.9711768160173013E-3</v>
      </c>
      <c r="E50">
        <f>Return!E50-'Return Estimasi'!E50</f>
        <v>-1.1106462025761479E-2</v>
      </c>
      <c r="F50">
        <f>Return!F50-'Return Estimasi'!F50</f>
        <v>3.4826319368744174E-3</v>
      </c>
      <c r="G50">
        <f>Return!G50-'Return Estimasi'!G50</f>
        <v>-4.683379657955794E-2</v>
      </c>
      <c r="H50">
        <f>Return!H50-'Return Estimasi'!H50</f>
        <v>1.8876563712959586E-2</v>
      </c>
      <c r="I50">
        <f>Return!I50-'Return Estimasi'!I50</f>
        <v>1.3900511809590683E-3</v>
      </c>
      <c r="J50">
        <f>Return!J50-'Return Estimasi'!J50</f>
        <v>-8.160332778952754E-3</v>
      </c>
      <c r="K50">
        <f>Return!K50-'Return Estimasi'!K50</f>
        <v>-3.0773683494028682E-2</v>
      </c>
      <c r="L50">
        <f>Return!L50-'Return Estimasi'!L50</f>
        <v>-8.5294252598940492E-3</v>
      </c>
      <c r="M50">
        <f>Return!M50-'Return Estimasi'!M50</f>
        <v>4.5930030255153957E-2</v>
      </c>
      <c r="N50">
        <f>Return!N50-'Return Estimasi'!N50</f>
        <v>-2.1210694072960725E-3</v>
      </c>
      <c r="O50">
        <f>Return!O50-'Return Estimasi'!O50</f>
        <v>-1.9718279014175479E-2</v>
      </c>
      <c r="P50">
        <f>Return!P50-'Return Estimasi'!P50</f>
        <v>-1.2242762655466108E-2</v>
      </c>
      <c r="Q50">
        <f>Return!Q50-'Return Estimasi'!Q50</f>
        <v>-9.006775502734269E-3</v>
      </c>
      <c r="R50">
        <f>Return!R50-'Return Estimasi'!R50</f>
        <v>1.0875093230666192E-2</v>
      </c>
      <c r="S50">
        <f>Return!S50-'Return Estimasi'!S50</f>
        <v>-3.4864381087310386E-3</v>
      </c>
      <c r="T50">
        <f>Return!T50-'Return Estimasi'!T50</f>
        <v>-4.2780701997897019E-2</v>
      </c>
      <c r="U50">
        <f>Return!U50-'Return Estimasi'!U50</f>
        <v>1.1270714982657507E-2</v>
      </c>
      <c r="V50">
        <f>Return!V50-'Return Estimasi'!V50</f>
        <v>-2.5834983292537927E-3</v>
      </c>
      <c r="W50">
        <f>Return!W50-'Return Estimasi'!W50</f>
        <v>5.4711008409701521E-2</v>
      </c>
      <c r="X50">
        <f>Return!X50-'Return Estimasi'!X50</f>
        <v>-3.2338800620249804E-2</v>
      </c>
      <c r="Y50">
        <f>Return!Y50-'Return Estimasi'!Y50</f>
        <v>-3.642802668096475E-3</v>
      </c>
      <c r="Z50">
        <f>Return!Z50-'Return Estimasi'!Z50</f>
        <v>-3.7687373288055645E-2</v>
      </c>
      <c r="AA50">
        <f>Return!AA50-'Return Estimasi'!AA50</f>
        <v>-1.744655366689464E-2</v>
      </c>
      <c r="AB50">
        <f>Return!AB50-'Return Estimasi'!AB50</f>
        <v>-6.0561523717077934E-3</v>
      </c>
      <c r="AC50">
        <f>Return!AC50-'Return Estimasi'!AC50</f>
        <v>4.8560149107155885E-4</v>
      </c>
      <c r="AD50">
        <f>Return!AD50-'Return Estimasi'!AD50</f>
        <v>-1.5032754304353708E-2</v>
      </c>
      <c r="AE50">
        <f>Return!AE50-'Return Estimasi'!AE50</f>
        <v>-2.2683772680077464E-4</v>
      </c>
      <c r="AF50">
        <f>Return!AF50-'Return Estimasi'!AF50</f>
        <v>-16.484576887810761</v>
      </c>
    </row>
    <row r="51" spans="1:32" x14ac:dyDescent="0.3">
      <c r="A51" s="4" t="s">
        <v>32</v>
      </c>
      <c r="B51">
        <f>('Data Saham'!B51-'Data Saham'!B50)/'Data Saham'!B50</f>
        <v>-3.5776861062132657E-3</v>
      </c>
      <c r="C51">
        <f>Return!C51-'Return Estimasi'!C51</f>
        <v>-4.556412604205572E-4</v>
      </c>
      <c r="D51">
        <f>Return!D51-'Return Estimasi'!D51</f>
        <v>-4.5614622127268826E-3</v>
      </c>
      <c r="E51">
        <f>Return!E51-'Return Estimasi'!E51</f>
        <v>1.2641080943150461E-2</v>
      </c>
      <c r="F51">
        <f>Return!F51-'Return Estimasi'!F51</f>
        <v>9.2304475565968113E-4</v>
      </c>
      <c r="G51">
        <f>Return!G51-'Return Estimasi'!G51</f>
        <v>4.2497390983734729E-2</v>
      </c>
      <c r="H51">
        <f>Return!H51-'Return Estimasi'!H51</f>
        <v>-1.553382433450534E-4</v>
      </c>
      <c r="I51">
        <f>Return!I51-'Return Estimasi'!I51</f>
        <v>2.1857243468989002E-2</v>
      </c>
      <c r="J51">
        <f>Return!J51-'Return Estimasi'!J51</f>
        <v>1.0875623067810431E-3</v>
      </c>
      <c r="K51">
        <f>Return!K51-'Return Estimasi'!K51</f>
        <v>-2.7149278855784411E-3</v>
      </c>
      <c r="L51">
        <f>Return!L51-'Return Estimasi'!L51</f>
        <v>-2.6602354218562083E-3</v>
      </c>
      <c r="M51">
        <f>Return!M51-'Return Estimasi'!M51</f>
        <v>-8.0337591382529036E-3</v>
      </c>
      <c r="N51">
        <f>Return!N51-'Return Estimasi'!N51</f>
        <v>1.7052371569568202E-2</v>
      </c>
      <c r="O51">
        <f>Return!O51-'Return Estimasi'!O51</f>
        <v>2.7586518180138631E-2</v>
      </c>
      <c r="P51">
        <f>Return!P51-'Return Estimasi'!P51</f>
        <v>-2.0182960871875256E-2</v>
      </c>
      <c r="Q51">
        <f>Return!Q51-'Return Estimasi'!Q51</f>
        <v>1.7986732171790727E-3</v>
      </c>
      <c r="R51">
        <f>Return!R51-'Return Estimasi'!R51</f>
        <v>4.4031299789178732E-2</v>
      </c>
      <c r="S51">
        <f>Return!S51-'Return Estimasi'!S51</f>
        <v>-8.2047497473600513E-3</v>
      </c>
      <c r="T51">
        <f>Return!T51-'Return Estimasi'!T51</f>
        <v>-1.7254667626070034E-2</v>
      </c>
      <c r="U51">
        <f>Return!U51-'Return Estimasi'!U51</f>
        <v>5.5147738410378122E-2</v>
      </c>
      <c r="V51">
        <f>Return!V51-'Return Estimasi'!V51</f>
        <v>-6.9357716476007936E-3</v>
      </c>
      <c r="W51">
        <f>Return!W51-'Return Estimasi'!W51</f>
        <v>6.0825424943381105E-2</v>
      </c>
      <c r="X51">
        <f>Return!X51-'Return Estimasi'!X51</f>
        <v>4.4545819670799049E-3</v>
      </c>
      <c r="Y51">
        <f>Return!Y51-'Return Estimasi'!Y51</f>
        <v>4.4462440483297137E-3</v>
      </c>
      <c r="Z51">
        <f>Return!Z51-'Return Estimasi'!Z51</f>
        <v>1.2510400585185422E-2</v>
      </c>
      <c r="AA51">
        <f>Return!AA51-'Return Estimasi'!AA51</f>
        <v>-2.4345579316706424E-2</v>
      </c>
      <c r="AB51">
        <f>Return!AB51-'Return Estimasi'!AB51</f>
        <v>-5.0912705972954692E-2</v>
      </c>
      <c r="AC51">
        <f>Return!AC51-'Return Estimasi'!AC51</f>
        <v>-5.2974592153946544E-3</v>
      </c>
      <c r="AD51">
        <f>Return!AD51-'Return Estimasi'!AD51</f>
        <v>-3.3017097272419325E-2</v>
      </c>
      <c r="AE51">
        <f>Return!AE51-'Return Estimasi'!AE51</f>
        <v>-4.9369214660154731E-2</v>
      </c>
      <c r="AF51">
        <f>Return!AF51-'Return Estimasi'!AF51</f>
        <v>-16.780511129172233</v>
      </c>
    </row>
    <row r="52" spans="1:32" x14ac:dyDescent="0.3">
      <c r="A52" s="3" t="s">
        <v>33</v>
      </c>
      <c r="B52">
        <f>('Data Saham'!B52-'Data Saham'!B51)/'Data Saham'!B51</f>
        <v>1.4773904999060828E-3</v>
      </c>
      <c r="C52">
        <f>Return!C52-'Return Estimasi'!C52</f>
        <v>-1.7811742540769566E-2</v>
      </c>
      <c r="D52">
        <f>Return!D52-'Return Estimasi'!D52</f>
        <v>8.9380846227665508E-3</v>
      </c>
      <c r="E52">
        <f>Return!E52-'Return Estimasi'!E52</f>
        <v>-1.5221326095922853E-2</v>
      </c>
      <c r="F52">
        <f>Return!F52-'Return Estimasi'!F52</f>
        <v>5.5252671074007753E-3</v>
      </c>
      <c r="G52">
        <f>Return!G52-'Return Estimasi'!G52</f>
        <v>7.7655904063142212E-3</v>
      </c>
      <c r="H52">
        <f>Return!H52-'Return Estimasi'!H52</f>
        <v>-7.7890912965868945E-3</v>
      </c>
      <c r="I52">
        <f>Return!I52-'Return Estimasi'!I52</f>
        <v>1.0309360978734625E-2</v>
      </c>
      <c r="J52">
        <f>Return!J52-'Return Estimasi'!J52</f>
        <v>2.8201386238909053E-3</v>
      </c>
      <c r="K52">
        <f>Return!K52-'Return Estimasi'!K52</f>
        <v>9.2982103365668922E-2</v>
      </c>
      <c r="L52">
        <f>Return!L52-'Return Estimasi'!L52</f>
        <v>5.5281801737375146E-3</v>
      </c>
      <c r="M52">
        <f>Return!M52-'Return Estimasi'!M52</f>
        <v>-3.2272165790036632E-2</v>
      </c>
      <c r="N52">
        <f>Return!N52-'Return Estimasi'!N52</f>
        <v>-9.5725754004316235E-3</v>
      </c>
      <c r="O52">
        <f>Return!O52-'Return Estimasi'!O52</f>
        <v>5.0781887980780888E-3</v>
      </c>
      <c r="P52">
        <f>Return!P52-'Return Estimasi'!P52</f>
        <v>5.8105532729978626E-4</v>
      </c>
      <c r="Q52">
        <f>Return!Q52-'Return Estimasi'!Q52</f>
        <v>1.0310966274668203E-3</v>
      </c>
      <c r="R52">
        <f>Return!R52-'Return Estimasi'!R52</f>
        <v>3.2870328191980817E-2</v>
      </c>
      <c r="S52">
        <f>Return!S52-'Return Estimasi'!S52</f>
        <v>1.3614869921839466E-3</v>
      </c>
      <c r="T52">
        <f>Return!T52-'Return Estimasi'!T52</f>
        <v>3.1988709919046204E-2</v>
      </c>
      <c r="U52">
        <f>Return!U52-'Return Estimasi'!U52</f>
        <v>-8.8547033836190638E-3</v>
      </c>
      <c r="V52">
        <f>Return!V52-'Return Estimasi'!V52</f>
        <v>6.7297783261251864E-3</v>
      </c>
      <c r="W52">
        <f>Return!W52-'Return Estimasi'!W52</f>
        <v>0.10151276096819167</v>
      </c>
      <c r="X52">
        <f>Return!X52-'Return Estimasi'!X52</f>
        <v>-9.2785168932718338E-4</v>
      </c>
      <c r="Y52">
        <f>Return!Y52-'Return Estimasi'!Y52</f>
        <v>-1.8808946286895861E-2</v>
      </c>
      <c r="Z52">
        <f>Return!Z52-'Return Estimasi'!Z52</f>
        <v>1.7131393870259866E-2</v>
      </c>
      <c r="AA52">
        <f>Return!AA52-'Return Estimasi'!AA52</f>
        <v>3.0379453975849981E-2</v>
      </c>
      <c r="AB52">
        <f>Return!AB52-'Return Estimasi'!AB52</f>
        <v>-3.0091827794079182E-2</v>
      </c>
      <c r="AC52">
        <f>Return!AC52-'Return Estimasi'!AC52</f>
        <v>4.8886706604406348E-3</v>
      </c>
      <c r="AD52">
        <f>Return!AD52-'Return Estimasi'!AD52</f>
        <v>-5.7859960950751767E-3</v>
      </c>
      <c r="AE52">
        <f>Return!AE52-'Return Estimasi'!AE52</f>
        <v>-1.1093362641676683E-2</v>
      </c>
      <c r="AF52">
        <f>Return!AF52-'Return Estimasi'!AF52</f>
        <v>-16.638382157381294</v>
      </c>
    </row>
    <row r="53" spans="1:32" x14ac:dyDescent="0.3">
      <c r="A53" s="4" t="s">
        <v>34</v>
      </c>
      <c r="B53">
        <f>('Data Saham'!B53-'Data Saham'!B52)/'Data Saham'!B52</f>
        <v>-3.2157378069363456E-3</v>
      </c>
      <c r="C53">
        <f>Return!C53-'Return Estimasi'!C53</f>
        <v>-8.895965401428934E-4</v>
      </c>
      <c r="D53">
        <f>Return!D53-'Return Estimasi'!D53</f>
        <v>2.0285791679004458E-2</v>
      </c>
      <c r="E53">
        <f>Return!E53-'Return Estimasi'!E53</f>
        <v>-1.5448250740735768E-2</v>
      </c>
      <c r="F53">
        <f>Return!F53-'Return Estimasi'!F53</f>
        <v>-5.996259024757521E-3</v>
      </c>
      <c r="G53">
        <f>Return!G53-'Return Estimasi'!G53</f>
        <v>-2.2544343039720281E-3</v>
      </c>
      <c r="H53">
        <f>Return!H53-'Return Estimasi'!H53</f>
        <v>3.3625747826699512E-2</v>
      </c>
      <c r="I53">
        <f>Return!I53-'Return Estimasi'!I53</f>
        <v>-1.6996626001412999E-2</v>
      </c>
      <c r="J53">
        <f>Return!J53-'Return Estimasi'!J53</f>
        <v>9.8358791041437948E-4</v>
      </c>
      <c r="K53">
        <f>Return!K53-'Return Estimasi'!K53</f>
        <v>-3.7595057283828857E-2</v>
      </c>
      <c r="L53">
        <f>Return!L53-'Return Estimasi'!L53</f>
        <v>3.8724778635309837E-3</v>
      </c>
      <c r="M53">
        <f>Return!M53-'Return Estimasi'!M53</f>
        <v>2.4407475552124445E-2</v>
      </c>
      <c r="N53">
        <f>Return!N53-'Return Estimasi'!N53</f>
        <v>-3.0647181288517662E-3</v>
      </c>
      <c r="O53">
        <f>Return!O53-'Return Estimasi'!O53</f>
        <v>-7.626868903154449E-4</v>
      </c>
      <c r="P53">
        <f>Return!P53-'Return Estimasi'!P53</f>
        <v>1.3329470125684768E-2</v>
      </c>
      <c r="Q53">
        <f>Return!Q53-'Return Estimasi'!Q53</f>
        <v>1.0588067623117819E-2</v>
      </c>
      <c r="R53">
        <f>Return!R53-'Return Estimasi'!R53</f>
        <v>-3.2308363545195111E-2</v>
      </c>
      <c r="S53">
        <f>Return!S53-'Return Estimasi'!S53</f>
        <v>1.8442451004673887E-3</v>
      </c>
      <c r="T53">
        <f>Return!T53-'Return Estimasi'!T53</f>
        <v>-4.1070753518928055E-2</v>
      </c>
      <c r="U53">
        <f>Return!U53-'Return Estimasi'!U53</f>
        <v>-7.2828167957143999E-3</v>
      </c>
      <c r="V53">
        <f>Return!V53-'Return Estimasi'!V53</f>
        <v>2.8096706373357608E-2</v>
      </c>
      <c r="W53">
        <f>Return!W53-'Return Estimasi'!W53</f>
        <v>-6.2805164844273814E-2</v>
      </c>
      <c r="X53">
        <f>Return!X53-'Return Estimasi'!X53</f>
        <v>-3.7114952641455045E-3</v>
      </c>
      <c r="Y53">
        <f>Return!Y53-'Return Estimasi'!Y53</f>
        <v>-4.290073186487952E-2</v>
      </c>
      <c r="Z53">
        <f>Return!Z53-'Return Estimasi'!Z53</f>
        <v>-2.188999508382386E-2</v>
      </c>
      <c r="AA53">
        <f>Return!AA53-'Return Estimasi'!AA53</f>
        <v>-3.5684021353066683E-2</v>
      </c>
      <c r="AB53">
        <f>Return!AB53-'Return Estimasi'!AB53</f>
        <v>-2.6041306337015065E-2</v>
      </c>
      <c r="AC53">
        <f>Return!AC53-'Return Estimasi'!AC53</f>
        <v>-5.6096047850733265E-3</v>
      </c>
      <c r="AD53">
        <f>Return!AD53-'Return Estimasi'!AD53</f>
        <v>-2.5344197051131955E-2</v>
      </c>
      <c r="AE53">
        <f>Return!AE53-'Return Estimasi'!AE53</f>
        <v>1.2588342772249446E-2</v>
      </c>
      <c r="AF53">
        <f>Return!AF53-'Return Estimasi'!AF53</f>
        <v>-16.770334559433319</v>
      </c>
    </row>
    <row r="54" spans="1:32" x14ac:dyDescent="0.3">
      <c r="A54" s="1">
        <v>45694</v>
      </c>
      <c r="B54">
        <f>('Data Saham'!B54-'Data Saham'!B53)/'Data Saham'!B53</f>
        <v>-1.5433776209548177E-2</v>
      </c>
      <c r="C54">
        <f>Return!C54-'Return Estimasi'!C54</f>
        <v>-1.7018356770552967E-2</v>
      </c>
      <c r="D54">
        <f>Return!D54-'Return Estimasi'!D54</f>
        <v>-4.2185602300517634E-2</v>
      </c>
      <c r="E54">
        <f>Return!E54-'Return Estimasi'!E54</f>
        <v>-2.7425291343914755E-2</v>
      </c>
      <c r="F54">
        <f>Return!F54-'Return Estimasi'!F54</f>
        <v>-1.3543400420553509E-2</v>
      </c>
      <c r="G54">
        <f>Return!G54-'Return Estimasi'!G54</f>
        <v>-1.8985768710830693E-3</v>
      </c>
      <c r="H54">
        <f>Return!H54-'Return Estimasi'!H54</f>
        <v>-4.5020629612219712E-3</v>
      </c>
      <c r="I54">
        <f>Return!I54-'Return Estimasi'!I54</f>
        <v>-7.680081479996461E-4</v>
      </c>
      <c r="J54">
        <f>Return!J54-'Return Estimasi'!J54</f>
        <v>-2.0903445700583764E-2</v>
      </c>
      <c r="K54">
        <f>Return!K54-'Return Estimasi'!K54</f>
        <v>-1.8610340714782493E-2</v>
      </c>
      <c r="L54">
        <f>Return!L54-'Return Estimasi'!L54</f>
        <v>-9.4126386897334258E-3</v>
      </c>
      <c r="M54">
        <f>Return!M54-'Return Estimasi'!M54</f>
        <v>7.7383556614894933E-2</v>
      </c>
      <c r="N54">
        <f>Return!N54-'Return Estimasi'!N54</f>
        <v>7.3434437887375165E-2</v>
      </c>
      <c r="O54">
        <f>Return!O54-'Return Estimasi'!O54</f>
        <v>8.2472811628855579E-3</v>
      </c>
      <c r="P54">
        <f>Return!P54-'Return Estimasi'!P54</f>
        <v>-1.0186171119721121E-2</v>
      </c>
      <c r="Q54">
        <f>Return!Q54-'Return Estimasi'!Q54</f>
        <v>5.3162411283564966E-3</v>
      </c>
      <c r="R54">
        <f>Return!R54-'Return Estimasi'!R54</f>
        <v>3.9580286191768954E-2</v>
      </c>
      <c r="S54">
        <f>Return!S54-'Return Estimasi'!S54</f>
        <v>1.8821669986486531E-2</v>
      </c>
      <c r="T54">
        <f>Return!T54-'Return Estimasi'!T54</f>
        <v>-1.0988491257585883E-2</v>
      </c>
      <c r="U54">
        <f>Return!U54-'Return Estimasi'!U54</f>
        <v>-1.1257282490452422E-3</v>
      </c>
      <c r="V54">
        <f>Return!V54-'Return Estimasi'!V54</f>
        <v>-1.0300913022065606E-2</v>
      </c>
      <c r="W54">
        <f>Return!W54-'Return Estimasi'!W54</f>
        <v>1.9111082875409208E-2</v>
      </c>
      <c r="X54">
        <f>Return!X54-'Return Estimasi'!X54</f>
        <v>-1.0482774453835612E-2</v>
      </c>
      <c r="Y54">
        <f>Return!Y54-'Return Estimasi'!Y54</f>
        <v>5.5037315762621213E-2</v>
      </c>
      <c r="Z54">
        <f>Return!Z54-'Return Estimasi'!Z54</f>
        <v>-3.0458508894751844E-2</v>
      </c>
      <c r="AA54">
        <f>Return!AA54-'Return Estimasi'!AA54</f>
        <v>4.0194782293350058E-3</v>
      </c>
      <c r="AB54">
        <f>Return!AB54-'Return Estimasi'!AB54</f>
        <v>-1.4122882194685181E-2</v>
      </c>
      <c r="AC54">
        <f>Return!AC54-'Return Estimasi'!AC54</f>
        <v>4.8743840583983216E-3</v>
      </c>
      <c r="AD54">
        <f>Return!AD54-'Return Estimasi'!AD54</f>
        <v>3.0077189432933471E-2</v>
      </c>
      <c r="AE54">
        <f>Return!AE54-'Return Estimasi'!AE54</f>
        <v>-1.8190724696705303E-2</v>
      </c>
      <c r="AF54">
        <f>Return!AF54-'Return Estimasi'!AF54</f>
        <v>-17.124010269902787</v>
      </c>
    </row>
    <row r="55" spans="1:32" x14ac:dyDescent="0.3">
      <c r="A55" s="2">
        <v>45722</v>
      </c>
      <c r="B55">
        <f>('Data Saham'!B55-'Data Saham'!B54)/'Data Saham'!B54</f>
        <v>-2.8662136397799316E-3</v>
      </c>
      <c r="C55">
        <f>Return!C55-'Return Estimasi'!C55</f>
        <v>-1.393333228906753E-3</v>
      </c>
      <c r="D55">
        <f>Return!D55-'Return Estimasi'!D55</f>
        <v>1.6354392220051788E-3</v>
      </c>
      <c r="E55">
        <f>Return!E55-'Return Estimasi'!E55</f>
        <v>-2.1979049340533048E-3</v>
      </c>
      <c r="F55">
        <f>Return!F55-'Return Estimasi'!F55</f>
        <v>2.537709904170531E-3</v>
      </c>
      <c r="G55">
        <f>Return!G55-'Return Estimasi'!G55</f>
        <v>8.1585084767022593E-3</v>
      </c>
      <c r="H55">
        <f>Return!H55-'Return Estimasi'!H55</f>
        <v>-1.5260700923689285E-2</v>
      </c>
      <c r="I55">
        <f>Return!I55-'Return Estimasi'!I55</f>
        <v>-1.3123744839232902E-2</v>
      </c>
      <c r="J55">
        <f>Return!J55-'Return Estimasi'!J55</f>
        <v>2.0427156450325258E-2</v>
      </c>
      <c r="K55">
        <f>Return!K55-'Return Estimasi'!K55</f>
        <v>-1.2707282801910426E-2</v>
      </c>
      <c r="L55">
        <f>Return!L55-'Return Estimasi'!L55</f>
        <v>4.0088904224150975E-4</v>
      </c>
      <c r="M55">
        <f>Return!M55-'Return Estimasi'!M55</f>
        <v>9.7139006966144928E-3</v>
      </c>
      <c r="N55">
        <f>Return!N55-'Return Estimasi'!N55</f>
        <v>-1.7337468532320984E-2</v>
      </c>
      <c r="O55">
        <f>Return!O55-'Return Estimasi'!O55</f>
        <v>2.1028434146742877E-2</v>
      </c>
      <c r="P55">
        <f>Return!P55-'Return Estimasi'!P55</f>
        <v>-3.0686354180266554E-2</v>
      </c>
      <c r="Q55">
        <f>Return!Q55-'Return Estimasi'!Q55</f>
        <v>-8.132261183822034E-3</v>
      </c>
      <c r="R55">
        <f>Return!R55-'Return Estimasi'!R55</f>
        <v>-3.8914241082911231E-3</v>
      </c>
      <c r="S55">
        <f>Return!S55-'Return Estimasi'!S55</f>
        <v>-1.8795800476266143E-2</v>
      </c>
      <c r="T55">
        <f>Return!T55-'Return Estimasi'!T55</f>
        <v>3.6951357253962231E-3</v>
      </c>
      <c r="U55">
        <f>Return!U55-'Return Estimasi'!U55</f>
        <v>2.825990875686938E-2</v>
      </c>
      <c r="V55">
        <f>Return!V55-'Return Estimasi'!V55</f>
        <v>-2.0169341208488029E-2</v>
      </c>
      <c r="W55">
        <f>Return!W55-'Return Estimasi'!W55</f>
        <v>3.5198212170107462E-2</v>
      </c>
      <c r="X55">
        <f>Return!X55-'Return Estimasi'!X55</f>
        <v>3.1836777785046497E-2</v>
      </c>
      <c r="Y55">
        <f>Return!Y55-'Return Estimasi'!Y55</f>
        <v>3.9452952845353627E-2</v>
      </c>
      <c r="Z55">
        <f>Return!Z55-'Return Estimasi'!Z55</f>
        <v>3.2623650764799094E-3</v>
      </c>
      <c r="AA55">
        <f>Return!AA55-'Return Estimasi'!AA55</f>
        <v>-1.07264995188359E-2</v>
      </c>
      <c r="AB55">
        <f>Return!AB55-'Return Estimasi'!AB55</f>
        <v>3.8936807565701625E-3</v>
      </c>
      <c r="AC55">
        <f>Return!AC55-'Return Estimasi'!AC55</f>
        <v>1.3353410749417111E-3</v>
      </c>
      <c r="AD55">
        <f>Return!AD55-'Return Estimasi'!AD55</f>
        <v>-6.5895246420027186E-3</v>
      </c>
      <c r="AE55">
        <f>Return!AE55-'Return Estimasi'!AE55</f>
        <v>-8.0886205846400216E-3</v>
      </c>
      <c r="AF55">
        <f>Return!AF55-'Return Estimasi'!AF55</f>
        <v>-16.760507307669442</v>
      </c>
    </row>
    <row r="56" spans="1:32" x14ac:dyDescent="0.3">
      <c r="A56" s="1">
        <v>45753</v>
      </c>
      <c r="B56">
        <f>('Data Saham'!B56-'Data Saham'!B55)/'Data Saham'!B55</f>
        <v>3.4379870599958915E-3</v>
      </c>
      <c r="C56">
        <f>Return!C56-'Return Estimasi'!C56</f>
        <v>-9.6013428409886664E-3</v>
      </c>
      <c r="D56">
        <f>Return!D56-'Return Estimasi'!D56</f>
        <v>-3.3135436344445129E-2</v>
      </c>
      <c r="E56">
        <f>Return!E56-'Return Estimasi'!E56</f>
        <v>-8.3919429184841424E-3</v>
      </c>
      <c r="F56">
        <f>Return!F56-'Return Estimasi'!F56</f>
        <v>-1.8820366128103286E-2</v>
      </c>
      <c r="G56">
        <f>Return!G56-'Return Estimasi'!G56</f>
        <v>2.4279478655494053E-3</v>
      </c>
      <c r="H56">
        <f>Return!H56-'Return Estimasi'!H56</f>
        <v>-2.1914586218487291E-2</v>
      </c>
      <c r="I56">
        <f>Return!I56-'Return Estimasi'!I56</f>
        <v>1.9231661726852603E-2</v>
      </c>
      <c r="J56">
        <f>Return!J56-'Return Estimasi'!J56</f>
        <v>5.0190429033181251E-2</v>
      </c>
      <c r="K56">
        <f>Return!K56-'Return Estimasi'!K56</f>
        <v>-4.557306237847638E-3</v>
      </c>
      <c r="L56">
        <f>Return!L56-'Return Estimasi'!L56</f>
        <v>3.7400906418863433E-3</v>
      </c>
      <c r="M56">
        <f>Return!M56-'Return Estimasi'!M56</f>
        <v>4.8096648479049875E-2</v>
      </c>
      <c r="N56">
        <f>Return!N56-'Return Estimasi'!N56</f>
        <v>7.9503286572977727E-2</v>
      </c>
      <c r="O56">
        <f>Return!O56-'Return Estimasi'!O56</f>
        <v>-9.523875728086148E-3</v>
      </c>
      <c r="P56">
        <f>Return!P56-'Return Estimasi'!P56</f>
        <v>7.9475701149506993E-3</v>
      </c>
      <c r="Q56">
        <f>Return!Q56-'Return Estimasi'!Q56</f>
        <v>8.226674663468124E-3</v>
      </c>
      <c r="R56">
        <f>Return!R56-'Return Estimasi'!R56</f>
        <v>3.1085699168802643E-2</v>
      </c>
      <c r="S56">
        <f>Return!S56-'Return Estimasi'!S56</f>
        <v>2.9539731705920818E-2</v>
      </c>
      <c r="T56">
        <f>Return!T56-'Return Estimasi'!T56</f>
        <v>-2.2069761735080011E-2</v>
      </c>
      <c r="U56">
        <f>Return!U56-'Return Estimasi'!U56</f>
        <v>-1.8144197321818337E-2</v>
      </c>
      <c r="V56">
        <f>Return!V56-'Return Estimasi'!V56</f>
        <v>-3.1251669575460359E-3</v>
      </c>
      <c r="W56">
        <f>Return!W56-'Return Estimasi'!W56</f>
        <v>-8.7652269365806525E-3</v>
      </c>
      <c r="X56">
        <f>Return!X56-'Return Estimasi'!X56</f>
        <v>-2.2864064340647496E-2</v>
      </c>
      <c r="Y56">
        <f>Return!Y56-'Return Estimasi'!Y56</f>
        <v>-2.7856594170019806E-2</v>
      </c>
      <c r="Z56">
        <f>Return!Z56-'Return Estimasi'!Z56</f>
        <v>-1.0723090985727178E-2</v>
      </c>
      <c r="AA56">
        <f>Return!AA56-'Return Estimasi'!AA56</f>
        <v>-6.3827315362409189E-3</v>
      </c>
      <c r="AB56">
        <f>Return!AB56-'Return Estimasi'!AB56</f>
        <v>-2.7445390764323325E-3</v>
      </c>
      <c r="AC56">
        <f>Return!AC56-'Return Estimasi'!AC56</f>
        <v>1.7957398296205532E-2</v>
      </c>
      <c r="AD56">
        <f>Return!AD56-'Return Estimasi'!AD56</f>
        <v>6.969630654552264E-3</v>
      </c>
      <c r="AE56">
        <f>Return!AE56-'Return Estimasi'!AE56</f>
        <v>2.619103019980704E-3</v>
      </c>
      <c r="AF56">
        <f>Return!AF56-'Return Estimasi'!AF56</f>
        <v>-16.583257854646675</v>
      </c>
    </row>
    <row r="57" spans="1:32" x14ac:dyDescent="0.3">
      <c r="A57" s="2">
        <v>45783</v>
      </c>
      <c r="B57">
        <f>('Data Saham'!B57-'Data Saham'!B56)/'Data Saham'!B56</f>
        <v>6.2780801919355544E-3</v>
      </c>
      <c r="C57">
        <f>Return!C57-'Return Estimasi'!C57</f>
        <v>-9.3246818700751279E-3</v>
      </c>
      <c r="D57">
        <f>Return!D57-'Return Estimasi'!D57</f>
        <v>-2.4549477339172654E-3</v>
      </c>
      <c r="E57">
        <f>Return!E57-'Return Estimasi'!E57</f>
        <v>3.7293233381418016E-3</v>
      </c>
      <c r="F57">
        <f>Return!F57-'Return Estimasi'!F57</f>
        <v>2.2699308181353899E-2</v>
      </c>
      <c r="G57">
        <f>Return!G57-'Return Estimasi'!G57</f>
        <v>-1.8122388808824823E-4</v>
      </c>
      <c r="H57">
        <f>Return!H57-'Return Estimasi'!H57</f>
        <v>-4.6764127041358959E-3</v>
      </c>
      <c r="I57">
        <f>Return!I57-'Return Estimasi'!I57</f>
        <v>-1.2342891150852218E-2</v>
      </c>
      <c r="J57">
        <f>Return!J57-'Return Estimasi'!J57</f>
        <v>-1.0862176866355083E-2</v>
      </c>
      <c r="K57">
        <f>Return!K57-'Return Estimasi'!K57</f>
        <v>2.2929495628078228E-3</v>
      </c>
      <c r="L57">
        <f>Return!L57-'Return Estimasi'!L57</f>
        <v>-6.2804553344845979E-3</v>
      </c>
      <c r="M57">
        <f>Return!M57-'Return Estimasi'!M57</f>
        <v>-3.9375597522760437E-2</v>
      </c>
      <c r="N57">
        <f>Return!N57-'Return Estimasi'!N57</f>
        <v>-4.2332498728492561E-2</v>
      </c>
      <c r="O57">
        <f>Return!O57-'Return Estimasi'!O57</f>
        <v>-5.6125366080296973E-3</v>
      </c>
      <c r="P57">
        <f>Return!P57-'Return Estimasi'!P57</f>
        <v>-4.8686317821935478E-2</v>
      </c>
      <c r="Q57">
        <f>Return!Q57-'Return Estimasi'!Q57</f>
        <v>-4.1163294831040378E-3</v>
      </c>
      <c r="R57">
        <f>Return!R57-'Return Estimasi'!R57</f>
        <v>-2.835279583663738E-3</v>
      </c>
      <c r="S57">
        <f>Return!S57-'Return Estimasi'!S57</f>
        <v>-1.9514905298391186E-2</v>
      </c>
      <c r="T57">
        <f>Return!T57-'Return Estimasi'!T57</f>
        <v>-4.7055790557672837E-3</v>
      </c>
      <c r="U57">
        <f>Return!U57-'Return Estimasi'!U57</f>
        <v>-2.5042958211807916E-2</v>
      </c>
      <c r="V57">
        <f>Return!V57-'Return Estimasi'!V57</f>
        <v>-4.5639768411479525E-3</v>
      </c>
      <c r="W57">
        <f>Return!W57-'Return Estimasi'!W57</f>
        <v>0.15638778316004961</v>
      </c>
      <c r="X57">
        <f>Return!X57-'Return Estimasi'!X57</f>
        <v>-2.2407233225825583E-2</v>
      </c>
      <c r="Y57">
        <f>Return!Y57-'Return Estimasi'!Y57</f>
        <v>-7.3216456107047089E-3</v>
      </c>
      <c r="Z57">
        <f>Return!Z57-'Return Estimasi'!Z57</f>
        <v>-2.2185838534760308E-2</v>
      </c>
      <c r="AA57">
        <f>Return!AA57-'Return Estimasi'!AA57</f>
        <v>-1.755869363611683E-2</v>
      </c>
      <c r="AB57">
        <f>Return!AB57-'Return Estimasi'!AB57</f>
        <v>-2.1864142773107054E-2</v>
      </c>
      <c r="AC57">
        <f>Return!AC57-'Return Estimasi'!AC57</f>
        <v>-2.0939221401924054E-2</v>
      </c>
      <c r="AD57">
        <f>Return!AD57-'Return Estimasi'!AD57</f>
        <v>-1.5363878455538228E-2</v>
      </c>
      <c r="AE57">
        <f>Return!AE57-'Return Estimasi'!AE57</f>
        <v>-9.9374707383927292E-3</v>
      </c>
      <c r="AF57">
        <f>Return!AF57-'Return Estimasi'!AF57</f>
        <v>-16.493149139848637</v>
      </c>
    </row>
    <row r="58" spans="1:32" x14ac:dyDescent="0.3">
      <c r="A58" s="1">
        <v>45936</v>
      </c>
      <c r="B58">
        <f>('Data Saham'!B58-'Data Saham'!B57)/'Data Saham'!B57</f>
        <v>1.6494175797295806E-2</v>
      </c>
      <c r="C58">
        <f>Return!C58-'Return Estimasi'!C58</f>
        <v>7.0787053295533458E-3</v>
      </c>
      <c r="D58">
        <f>Return!D58-'Return Estimasi'!D58</f>
        <v>-5.2081264945708257E-3</v>
      </c>
      <c r="E58">
        <f>Return!E58-'Return Estimasi'!E58</f>
        <v>1.8263777837736618E-2</v>
      </c>
      <c r="F58">
        <f>Return!F58-'Return Estimasi'!F58</f>
        <v>8.7635523168999811E-3</v>
      </c>
      <c r="G58">
        <f>Return!G58-'Return Estimasi'!G58</f>
        <v>8.1712401126198923E-3</v>
      </c>
      <c r="H58">
        <f>Return!H58-'Return Estimasi'!H58</f>
        <v>-1.3718812163349758E-2</v>
      </c>
      <c r="I58">
        <f>Return!I58-'Return Estimasi'!I58</f>
        <v>-9.7981978036555221E-3</v>
      </c>
      <c r="J58">
        <f>Return!J58-'Return Estimasi'!J58</f>
        <v>1.4566260328706957E-3</v>
      </c>
      <c r="K58">
        <f>Return!K58-'Return Estimasi'!K58</f>
        <v>-2.156487799043939E-2</v>
      </c>
      <c r="L58">
        <f>Return!L58-'Return Estimasi'!L58</f>
        <v>5.7538525895738336E-3</v>
      </c>
      <c r="M58">
        <f>Return!M58-'Return Estimasi'!M58</f>
        <v>-7.6191258961491884E-2</v>
      </c>
      <c r="N58">
        <f>Return!N58-'Return Estimasi'!N58</f>
        <v>-3.0251103993677364E-2</v>
      </c>
      <c r="O58">
        <f>Return!O58-'Return Estimasi'!O58</f>
        <v>1.3660365778577885E-2</v>
      </c>
      <c r="P58">
        <f>Return!P58-'Return Estimasi'!P58</f>
        <v>-2.2060549726392632E-2</v>
      </c>
      <c r="Q58">
        <f>Return!Q58-'Return Estimasi'!Q58</f>
        <v>-2.8637857153064324E-2</v>
      </c>
      <c r="R58">
        <f>Return!R58-'Return Estimasi'!R58</f>
        <v>-2.131694639271468E-2</v>
      </c>
      <c r="S58">
        <f>Return!S58-'Return Estimasi'!S58</f>
        <v>-1.5051164056222886E-2</v>
      </c>
      <c r="T58">
        <f>Return!T58-'Return Estimasi'!T58</f>
        <v>2.1713821830401922E-2</v>
      </c>
      <c r="U58">
        <f>Return!U58-'Return Estimasi'!U58</f>
        <v>2.9129670022781485E-2</v>
      </c>
      <c r="V58">
        <f>Return!V58-'Return Estimasi'!V58</f>
        <v>-1.2776238391065634E-2</v>
      </c>
      <c r="W58">
        <f>Return!W58-'Return Estimasi'!W58</f>
        <v>-3.6853126435820255E-2</v>
      </c>
      <c r="X58">
        <f>Return!X58-'Return Estimasi'!X58</f>
        <v>-4.7475145172290005E-3</v>
      </c>
      <c r="Y58">
        <f>Return!Y58-'Return Estimasi'!Y58</f>
        <v>-1.9407277243184751E-2</v>
      </c>
      <c r="Z58">
        <f>Return!Z58-'Return Estimasi'!Z58</f>
        <v>6.9226533057308078E-3</v>
      </c>
      <c r="AA58">
        <f>Return!AA58-'Return Estimasi'!AA58</f>
        <v>-5.6890892849191729E-3</v>
      </c>
      <c r="AB58">
        <f>Return!AB58-'Return Estimasi'!AB58</f>
        <v>6.5474721657546503E-2</v>
      </c>
      <c r="AC58">
        <f>Return!AC58-'Return Estimasi'!AC58</f>
        <v>6.5366788913423287E-3</v>
      </c>
      <c r="AD58">
        <f>Return!AD58-'Return Estimasi'!AD58</f>
        <v>2.3998291146193895E-2</v>
      </c>
      <c r="AE58">
        <f>Return!AE58-'Return Estimasi'!AE58</f>
        <v>-1.7758986126449935E-2</v>
      </c>
      <c r="AF58">
        <f>Return!AF58-'Return Estimasi'!AF58</f>
        <v>-16.206016636756164</v>
      </c>
    </row>
    <row r="59" spans="1:32" x14ac:dyDescent="0.3">
      <c r="A59" s="2">
        <v>45967</v>
      </c>
      <c r="B59">
        <f>('Data Saham'!B59-'Data Saham'!B58)/'Data Saham'!B58</f>
        <v>-1.1464924108840664E-3</v>
      </c>
      <c r="C59">
        <f>Return!C59-'Return Estimasi'!C59</f>
        <v>-2.8705502740043252E-3</v>
      </c>
      <c r="D59">
        <f>Return!D59-'Return Estimasi'!D59</f>
        <v>-1.9332814705421402E-2</v>
      </c>
      <c r="E59">
        <f>Return!E59-'Return Estimasi'!E59</f>
        <v>-8.4786236200051646E-3</v>
      </c>
      <c r="F59">
        <f>Return!F59-'Return Estimasi'!F59</f>
        <v>5.5058543946516752E-3</v>
      </c>
      <c r="G59">
        <f>Return!G59-'Return Estimasi'!G59</f>
        <v>-3.8385643542909104E-2</v>
      </c>
      <c r="H59">
        <f>Return!H59-'Return Estimasi'!H59</f>
        <v>2.4926168394517685E-3</v>
      </c>
      <c r="I59">
        <f>Return!I59-'Return Estimasi'!I59</f>
        <v>7.0459476928264354E-3</v>
      </c>
      <c r="J59">
        <f>Return!J59-'Return Estimasi'!J59</f>
        <v>3.6974535883345629E-2</v>
      </c>
      <c r="K59">
        <f>Return!K59-'Return Estimasi'!K59</f>
        <v>4.4976817455716182E-3</v>
      </c>
      <c r="L59">
        <f>Return!L59-'Return Estimasi'!L59</f>
        <v>7.5825301486162301E-3</v>
      </c>
      <c r="M59">
        <f>Return!M59-'Return Estimasi'!M59</f>
        <v>2.1321101543016734E-3</v>
      </c>
      <c r="N59">
        <f>Return!N59-'Return Estimasi'!N59</f>
        <v>4.5883933949916869E-2</v>
      </c>
      <c r="O59">
        <f>Return!O59-'Return Estimasi'!O59</f>
        <v>6.2484450957840179E-3</v>
      </c>
      <c r="P59">
        <f>Return!P59-'Return Estimasi'!P59</f>
        <v>5.0507874384840466E-2</v>
      </c>
      <c r="Q59">
        <f>Return!Q59-'Return Estimasi'!Q59</f>
        <v>1.7561819941926491E-2</v>
      </c>
      <c r="R59">
        <f>Return!R59-'Return Estimasi'!R59</f>
        <v>-2.3804544217326383E-2</v>
      </c>
      <c r="S59">
        <f>Return!S59-'Return Estimasi'!S59</f>
        <v>1.9352076435102693E-2</v>
      </c>
      <c r="T59">
        <f>Return!T59-'Return Estimasi'!T59</f>
        <v>1.5162684094719889E-2</v>
      </c>
      <c r="U59">
        <f>Return!U59-'Return Estimasi'!U59</f>
        <v>-1.2923990567651268E-2</v>
      </c>
      <c r="V59">
        <f>Return!V59-'Return Estimasi'!V59</f>
        <v>8.0679747874903927E-3</v>
      </c>
      <c r="W59">
        <f>Return!W59-'Return Estimasi'!W59</f>
        <v>-6.7098094681142069E-3</v>
      </c>
      <c r="X59">
        <f>Return!X59-'Return Estimasi'!X59</f>
        <v>3.0309408600184856E-2</v>
      </c>
      <c r="Y59">
        <f>Return!Y59-'Return Estimasi'!Y59</f>
        <v>-1.3362281012550884E-2</v>
      </c>
      <c r="Z59">
        <f>Return!Z59-'Return Estimasi'!Z59</f>
        <v>2.0275806765730237E-2</v>
      </c>
      <c r="AA59">
        <f>Return!AA59-'Return Estimasi'!AA59</f>
        <v>-1.6677728412843595E-2</v>
      </c>
      <c r="AB59">
        <f>Return!AB59-'Return Estimasi'!AB59</f>
        <v>3.23858728403639E-2</v>
      </c>
      <c r="AC59">
        <f>Return!AC59-'Return Estimasi'!AC59</f>
        <v>1.4137961328291149E-2</v>
      </c>
      <c r="AD59">
        <f>Return!AD59-'Return Estimasi'!AD59</f>
        <v>-3.2229120490956131E-3</v>
      </c>
      <c r="AE59">
        <f>Return!AE59-'Return Estimasi'!AE59</f>
        <v>2.7086580149726095E-2</v>
      </c>
      <c r="AF59">
        <f>Return!AF59-'Return Estimasi'!AF59</f>
        <v>-17.711145426363018</v>
      </c>
    </row>
    <row r="60" spans="1:32" x14ac:dyDescent="0.3">
      <c r="A60" s="1">
        <v>45997</v>
      </c>
      <c r="B60">
        <f>('Data Saham'!B60-'Data Saham'!B59)/'Data Saham'!B59</f>
        <v>-2.5046867687740942E-3</v>
      </c>
      <c r="C60">
        <f>Return!C60-'Return Estimasi'!C60</f>
        <v>1.2077918439358867E-2</v>
      </c>
      <c r="D60">
        <f>Return!D60-'Return Estimasi'!D60</f>
        <v>1.2799196596034856E-3</v>
      </c>
      <c r="E60">
        <f>Return!E60-'Return Estimasi'!E60</f>
        <v>-2.4332997371725599E-3</v>
      </c>
      <c r="F60">
        <f>Return!F60-'Return Estimasi'!F60</f>
        <v>2.231490255779579E-3</v>
      </c>
      <c r="G60">
        <f>Return!G60-'Return Estimasi'!G60</f>
        <v>-6.5042766991068868E-3</v>
      </c>
      <c r="H60">
        <f>Return!H60-'Return Estimasi'!H60</f>
        <v>-9.6135148939674002E-3</v>
      </c>
      <c r="I60">
        <f>Return!I60-'Return Estimasi'!I60</f>
        <v>5.9028908283559117E-4</v>
      </c>
      <c r="J60">
        <f>Return!J60-'Return Estimasi'!J60</f>
        <v>-3.1573612003081654E-2</v>
      </c>
      <c r="K60">
        <f>Return!K60-'Return Estimasi'!K60</f>
        <v>1.0368968401152812E-3</v>
      </c>
      <c r="L60">
        <f>Return!L60-'Return Estimasi'!L60</f>
        <v>4.7129986143060161E-3</v>
      </c>
      <c r="M60">
        <f>Return!M60-'Return Estimasi'!M60</f>
        <v>-3.6221650479163953E-2</v>
      </c>
      <c r="N60">
        <f>Return!N60-'Return Estimasi'!N60</f>
        <v>-1.219843623158392E-2</v>
      </c>
      <c r="O60">
        <f>Return!O60-'Return Estimasi'!O60</f>
        <v>-0.10714118468830931</v>
      </c>
      <c r="P60">
        <f>Return!P60-'Return Estimasi'!P60</f>
        <v>-5.0075160073238213E-3</v>
      </c>
      <c r="Q60">
        <f>Return!Q60-'Return Estimasi'!Q60</f>
        <v>-1.2855932119308225E-2</v>
      </c>
      <c r="R60">
        <f>Return!R60-'Return Estimasi'!R60</f>
        <v>-9.3959998230019794E-4</v>
      </c>
      <c r="S60">
        <f>Return!S60-'Return Estimasi'!S60</f>
        <v>1.1620021373777366E-2</v>
      </c>
      <c r="T60">
        <f>Return!T60-'Return Estimasi'!T60</f>
        <v>-1.8147624356239154E-2</v>
      </c>
      <c r="U60">
        <f>Return!U60-'Return Estimasi'!U60</f>
        <v>3.4303585127408116E-2</v>
      </c>
      <c r="V60">
        <f>Return!V60-'Return Estimasi'!V60</f>
        <v>2.3298491592899095E-3</v>
      </c>
      <c r="W60">
        <f>Return!W60-'Return Estimasi'!W60</f>
        <v>-4.1768181429419904E-3</v>
      </c>
      <c r="X60">
        <f>Return!X60-'Return Estimasi'!X60</f>
        <v>3.5161403189853106E-2</v>
      </c>
      <c r="Y60">
        <f>Return!Y60-'Return Estimasi'!Y60</f>
        <v>3.592013437179224E-3</v>
      </c>
      <c r="Z60">
        <f>Return!Z60-'Return Estimasi'!Z60</f>
        <v>-1.5036340428468433E-2</v>
      </c>
      <c r="AA60">
        <f>Return!AA60-'Return Estimasi'!AA60</f>
        <v>4.4945881765251217E-3</v>
      </c>
      <c r="AB60">
        <f>Return!AB60-'Return Estimasi'!AB60</f>
        <v>-1.1192883455906296E-2</v>
      </c>
      <c r="AC60">
        <f>Return!AC60-'Return Estimasi'!AC60</f>
        <v>1.0235589465833013E-3</v>
      </c>
      <c r="AD60">
        <f>Return!AD60-'Return Estimasi'!AD60</f>
        <v>7.5815766803538631E-3</v>
      </c>
      <c r="AE60">
        <f>Return!AE60-'Return Estimasi'!AE60</f>
        <v>7.0468660270560932E-3</v>
      </c>
      <c r="AF60">
        <f>Return!AF60-'Return Estimasi'!AF60</f>
        <v>952.39891114449904</v>
      </c>
    </row>
    <row r="61" spans="1:32" x14ac:dyDescent="0.3">
      <c r="A61" s="4" t="s">
        <v>35</v>
      </c>
      <c r="B61">
        <f>('Data Saham'!B61-'Data Saham'!B60)/'Data Saham'!B60</f>
        <v>-5.3176058420097098E-3</v>
      </c>
      <c r="C61">
        <f>Return!C61-'Return Estimasi'!C61</f>
        <v>-4.7520194270550889E-3</v>
      </c>
      <c r="D61">
        <f>Return!D61-'Return Estimasi'!D61</f>
        <v>-1.3152919315355907E-2</v>
      </c>
      <c r="E61">
        <f>Return!E61-'Return Estimasi'!E61</f>
        <v>2.9635815743040035E-4</v>
      </c>
      <c r="F61">
        <f>Return!F61-'Return Estimasi'!F61</f>
        <v>4.6140824187408348E-3</v>
      </c>
      <c r="G61">
        <f>Return!G61-'Return Estimasi'!G61</f>
        <v>-1.1215875469662975E-2</v>
      </c>
      <c r="H61">
        <f>Return!H61-'Return Estimasi'!H61</f>
        <v>5.3179349937223777E-3</v>
      </c>
      <c r="I61">
        <f>Return!I61-'Return Estimasi'!I61</f>
        <v>-2.9068609123203562E-3</v>
      </c>
      <c r="J61">
        <f>Return!J61-'Return Estimasi'!J61</f>
        <v>1.3745431783332913E-2</v>
      </c>
      <c r="K61">
        <f>Return!K61-'Return Estimasi'!K61</f>
        <v>-5.52773941945226E-2</v>
      </c>
      <c r="L61">
        <f>Return!L61-'Return Estimasi'!L61</f>
        <v>1.454417356669592E-2</v>
      </c>
      <c r="M61">
        <f>Return!M61-'Return Estimasi'!M61</f>
        <v>4.1053645728633036E-2</v>
      </c>
      <c r="N61">
        <f>Return!N61-'Return Estimasi'!N61</f>
        <v>2.7961286607187955E-2</v>
      </c>
      <c r="O61">
        <f>Return!O61-'Return Estimasi'!O61</f>
        <v>-2.8966726499285943E-3</v>
      </c>
      <c r="P61">
        <f>Return!P61-'Return Estimasi'!P61</f>
        <v>-1.1791197241181942E-2</v>
      </c>
      <c r="Q61">
        <f>Return!Q61-'Return Estimasi'!Q61</f>
        <v>3.6490081744087926E-3</v>
      </c>
      <c r="R61">
        <f>Return!R61-'Return Estimasi'!R61</f>
        <v>6.9682771926831344E-4</v>
      </c>
      <c r="S61">
        <f>Return!S61-'Return Estimasi'!S61</f>
        <v>-1.1096805564715505E-2</v>
      </c>
      <c r="T61">
        <f>Return!T61-'Return Estimasi'!T61</f>
        <v>-7.4828459300096007E-3</v>
      </c>
      <c r="U61">
        <f>Return!U61-'Return Estimasi'!U61</f>
        <v>-1.2657351389051604E-3</v>
      </c>
      <c r="V61">
        <f>Return!V61-'Return Estimasi'!V61</f>
        <v>2.1096910293453251E-2</v>
      </c>
      <c r="W61">
        <f>Return!W61-'Return Estimasi'!W61</f>
        <v>3.4786229538328106E-2</v>
      </c>
      <c r="X61">
        <f>Return!X61-'Return Estimasi'!X61</f>
        <v>3.3494521646144929E-2</v>
      </c>
      <c r="Y61">
        <f>Return!Y61-'Return Estimasi'!Y61</f>
        <v>-1.0297612424995368E-2</v>
      </c>
      <c r="Z61">
        <f>Return!Z61-'Return Estimasi'!Z61</f>
        <v>-2.2357323194209244E-2</v>
      </c>
      <c r="AA61">
        <f>Return!AA61-'Return Estimasi'!AA61</f>
        <v>-1.5588168790053869E-4</v>
      </c>
      <c r="AB61">
        <f>Return!AB61-'Return Estimasi'!AB61</f>
        <v>-3.8301162905005209E-2</v>
      </c>
      <c r="AC61">
        <f>Return!AC61-'Return Estimasi'!AC61</f>
        <v>-2.4719583187898742E-2</v>
      </c>
      <c r="AD61">
        <f>Return!AD61-'Return Estimasi'!AD61</f>
        <v>-1.8177890455200418E-2</v>
      </c>
      <c r="AE61">
        <f>Return!AE61-'Return Estimasi'!AE61</f>
        <v>-1.6213582913591918E-2</v>
      </c>
      <c r="AF61">
        <f>Return!AF61-'Return Estimasi'!AF61</f>
        <v>-16.814046247812644</v>
      </c>
    </row>
    <row r="62" spans="1:32" x14ac:dyDescent="0.3">
      <c r="A62" s="3" t="s">
        <v>36</v>
      </c>
      <c r="B62">
        <f>('Data Saham'!B62-'Data Saham'!B61)/'Data Saham'!B61</f>
        <v>-6.763828379890798E-3</v>
      </c>
      <c r="C62">
        <f>Return!C62-'Return Estimasi'!C62</f>
        <v>-3.6311623220683931E-3</v>
      </c>
      <c r="D62">
        <f>Return!D62-'Return Estimasi'!D62</f>
        <v>2.9682892753342218E-3</v>
      </c>
      <c r="E62">
        <f>Return!E62-'Return Estimasi'!E62</f>
        <v>6.5426321093557862E-3</v>
      </c>
      <c r="F62">
        <f>Return!F62-'Return Estimasi'!F62</f>
        <v>-2.4997945940331046E-2</v>
      </c>
      <c r="G62">
        <f>Return!G62-'Return Estimasi'!G62</f>
        <v>4.4754511003992775E-3</v>
      </c>
      <c r="H62">
        <f>Return!H62-'Return Estimasi'!H62</f>
        <v>1.2850679809880777E-2</v>
      </c>
      <c r="I62">
        <f>Return!I62-'Return Estimasi'!I62</f>
        <v>2.3733431415459559E-3</v>
      </c>
      <c r="J62">
        <f>Return!J62-'Return Estimasi'!J62</f>
        <v>-1.000918854692262E-2</v>
      </c>
      <c r="K62">
        <f>Return!K62-'Return Estimasi'!K62</f>
        <v>7.5525535287399373E-3</v>
      </c>
      <c r="L62">
        <f>Return!L62-'Return Estimasi'!L62</f>
        <v>3.1264096858772635E-2</v>
      </c>
      <c r="M62">
        <f>Return!M62-'Return Estimasi'!M62</f>
        <v>-4.6132202674965261E-3</v>
      </c>
      <c r="N62">
        <f>Return!N62-'Return Estimasi'!N62</f>
        <v>-1.721691982765965E-3</v>
      </c>
      <c r="O62">
        <f>Return!O62-'Return Estimasi'!O62</f>
        <v>1.2779939093377648E-2</v>
      </c>
      <c r="P62">
        <f>Return!P62-'Return Estimasi'!P62</f>
        <v>-1.5163784501388989E-3</v>
      </c>
      <c r="Q62">
        <f>Return!Q62-'Return Estimasi'!Q62</f>
        <v>1.888563806087775E-2</v>
      </c>
      <c r="R62">
        <f>Return!R62-'Return Estimasi'!R62</f>
        <v>4.8009402251875596E-3</v>
      </c>
      <c r="S62">
        <f>Return!S62-'Return Estimasi'!S62</f>
        <v>-1.6633689090334854E-2</v>
      </c>
      <c r="T62">
        <f>Return!T62-'Return Estimasi'!T62</f>
        <v>-1.6239259450315163E-2</v>
      </c>
      <c r="U62">
        <f>Return!U62-'Return Estimasi'!U62</f>
        <v>2.7165399083935518E-4</v>
      </c>
      <c r="V62">
        <f>Return!V62-'Return Estimasi'!V62</f>
        <v>1.1927766388613124E-2</v>
      </c>
      <c r="W62">
        <f>Return!W62-'Return Estimasi'!W62</f>
        <v>3.3545509020749834E-2</v>
      </c>
      <c r="X62">
        <f>Return!X62-'Return Estimasi'!X62</f>
        <v>-1.4932122793072799E-2</v>
      </c>
      <c r="Y62">
        <f>Return!Y62-'Return Estimasi'!Y62</f>
        <v>-9.4106636796866868E-3</v>
      </c>
      <c r="Z62">
        <f>Return!Z62-'Return Estimasi'!Z62</f>
        <v>-3.1455104036359934E-3</v>
      </c>
      <c r="AA62">
        <f>Return!AA62-'Return Estimasi'!AA62</f>
        <v>-3.4204446341211225E-2</v>
      </c>
      <c r="AB62">
        <f>Return!AB62-'Return Estimasi'!AB62</f>
        <v>7.9978050859442051E-3</v>
      </c>
      <c r="AC62">
        <f>Return!AC62-'Return Estimasi'!AC62</f>
        <v>-1.7042471801862597E-2</v>
      </c>
      <c r="AD62">
        <f>Return!AD62-'Return Estimasi'!AD62</f>
        <v>-1.7365338249586294E-2</v>
      </c>
      <c r="AE62">
        <f>Return!AE62-'Return Estimasi'!AE62</f>
        <v>-1.0349637833734694E-2</v>
      </c>
      <c r="AF62">
        <f>Return!AF62-'Return Estimasi'!AF62</f>
        <v>-16.900396011665048</v>
      </c>
    </row>
    <row r="63" spans="1:32" x14ac:dyDescent="0.3">
      <c r="A63" s="4" t="s">
        <v>37</v>
      </c>
      <c r="B63">
        <f>('Data Saham'!B63-'Data Saham'!B62)/'Data Saham'!B62</f>
        <v>5.3754149929962558E-3</v>
      </c>
      <c r="C63">
        <f>Return!C63-'Return Estimasi'!C63</f>
        <v>1.3828448535606877E-2</v>
      </c>
      <c r="D63">
        <f>Return!D63-'Return Estimasi'!D63</f>
        <v>-1.3988039441439695E-2</v>
      </c>
      <c r="E63">
        <f>Return!E63-'Return Estimasi'!E63</f>
        <v>-1.504626349973627E-2</v>
      </c>
      <c r="F63">
        <f>Return!F63-'Return Estimasi'!F63</f>
        <v>-1.3534004278974089E-2</v>
      </c>
      <c r="G63">
        <f>Return!G63-'Return Estimasi'!G63</f>
        <v>8.3901840882963721E-4</v>
      </c>
      <c r="H63">
        <f>Return!H63-'Return Estimasi'!H63</f>
        <v>-6.2383134834346054E-3</v>
      </c>
      <c r="I63">
        <f>Return!I63-'Return Estimasi'!I63</f>
        <v>4.3151500785267652E-3</v>
      </c>
      <c r="J63">
        <f>Return!J63-'Return Estimasi'!J63</f>
        <v>-4.5238470927667536E-3</v>
      </c>
      <c r="K63">
        <f>Return!K63-'Return Estimasi'!K63</f>
        <v>-6.3811258884652958E-3</v>
      </c>
      <c r="L63">
        <f>Return!L63-'Return Estimasi'!L63</f>
        <v>-8.8834883964767717E-3</v>
      </c>
      <c r="M63">
        <f>Return!M63-'Return Estimasi'!M63</f>
        <v>4.7596060714854144E-2</v>
      </c>
      <c r="N63">
        <f>Return!N63-'Return Estimasi'!N63</f>
        <v>1.7379072997729846E-2</v>
      </c>
      <c r="O63">
        <f>Return!O63-'Return Estimasi'!O63</f>
        <v>-2.4319016078354276E-3</v>
      </c>
      <c r="P63">
        <f>Return!P63-'Return Estimasi'!P63</f>
        <v>6.5866063789279273E-3</v>
      </c>
      <c r="Q63">
        <f>Return!Q63-'Return Estimasi'!Q63</f>
        <v>1.2864177686089202E-3</v>
      </c>
      <c r="R63">
        <f>Return!R63-'Return Estimasi'!R63</f>
        <v>4.0176903641274062E-2</v>
      </c>
      <c r="S63">
        <f>Return!S63-'Return Estimasi'!S63</f>
        <v>9.6704938032656004E-3</v>
      </c>
      <c r="T63">
        <f>Return!T63-'Return Estimasi'!T63</f>
        <v>2.261921586832462E-3</v>
      </c>
      <c r="U63">
        <f>Return!U63-'Return Estimasi'!U63</f>
        <v>4.283905511098203E-3</v>
      </c>
      <c r="V63">
        <f>Return!V63-'Return Estimasi'!V63</f>
        <v>-1.6215826130297675E-2</v>
      </c>
      <c r="W63">
        <f>Return!W63-'Return Estimasi'!W63</f>
        <v>-3.4877768280859797E-2</v>
      </c>
      <c r="X63">
        <f>Return!X63-'Return Estimasi'!X63</f>
        <v>1.0512900108251641E-2</v>
      </c>
      <c r="Y63">
        <f>Return!Y63-'Return Estimasi'!Y63</f>
        <v>-4.0181451894076625E-2</v>
      </c>
      <c r="Z63">
        <f>Return!Z63-'Return Estimasi'!Z63</f>
        <v>2.5435038217334706E-2</v>
      </c>
      <c r="AA63">
        <f>Return!AA63-'Return Estimasi'!AA63</f>
        <v>3.7614720742291437E-3</v>
      </c>
      <c r="AB63">
        <f>Return!AB63-'Return Estimasi'!AB63</f>
        <v>-4.7846188807306612E-3</v>
      </c>
      <c r="AC63">
        <f>Return!AC63-'Return Estimasi'!AC63</f>
        <v>5.3486988916224013E-2</v>
      </c>
      <c r="AD63">
        <f>Return!AD63-'Return Estimasi'!AD63</f>
        <v>5.208614988642577E-3</v>
      </c>
      <c r="AE63">
        <f>Return!AE63-'Return Estimasi'!AE63</f>
        <v>1.6985210458688272E-2</v>
      </c>
      <c r="AF63">
        <f>Return!AF63-'Return Estimasi'!AF63</f>
        <v>-16.497534963038454</v>
      </c>
    </row>
    <row r="64" spans="1:32" x14ac:dyDescent="0.3">
      <c r="A64" s="3" t="s">
        <v>38</v>
      </c>
      <c r="B64">
        <f>('Data Saham'!B64-'Data Saham'!B63)/'Data Saham'!B63</f>
        <v>-6.7161832626453036E-3</v>
      </c>
      <c r="C64">
        <f>Return!C64-'Return Estimasi'!C64</f>
        <v>-1.187550297347555E-2</v>
      </c>
      <c r="D64">
        <f>Return!D64-'Return Estimasi'!D64</f>
        <v>3.7093080232541986E-4</v>
      </c>
      <c r="E64">
        <f>Return!E64-'Return Estimasi'!E64</f>
        <v>1.5940430887287161E-3</v>
      </c>
      <c r="F64">
        <f>Return!F64-'Return Estimasi'!F64</f>
        <v>-7.9627656812109489E-3</v>
      </c>
      <c r="G64">
        <f>Return!G64-'Return Estimasi'!G64</f>
        <v>8.055718145747905E-3</v>
      </c>
      <c r="H64">
        <f>Return!H64-'Return Estimasi'!H64</f>
        <v>1.8919767741627171E-3</v>
      </c>
      <c r="I64">
        <f>Return!I64-'Return Estimasi'!I64</f>
        <v>7.0645820800387766E-3</v>
      </c>
      <c r="J64">
        <f>Return!J64-'Return Estimasi'!J64</f>
        <v>-7.1572046831786208E-3</v>
      </c>
      <c r="K64">
        <f>Return!K64-'Return Estimasi'!K64</f>
        <v>1.436595735824879E-6</v>
      </c>
      <c r="L64">
        <f>Return!L64-'Return Estimasi'!L64</f>
        <v>9.3277636177783278E-3</v>
      </c>
      <c r="M64">
        <f>Return!M64-'Return Estimasi'!M64</f>
        <v>2.4455912951489765E-2</v>
      </c>
      <c r="N64">
        <f>Return!N64-'Return Estimasi'!N64</f>
        <v>7.2197436255307139E-3</v>
      </c>
      <c r="O64">
        <f>Return!O64-'Return Estimasi'!O64</f>
        <v>-5.1286252446940137E-3</v>
      </c>
      <c r="P64">
        <f>Return!P64-'Return Estimasi'!P64</f>
        <v>-3.8941461106892526E-2</v>
      </c>
      <c r="Q64">
        <f>Return!Q64-'Return Estimasi'!Q64</f>
        <v>-3.7922321787382642E-3</v>
      </c>
      <c r="R64">
        <f>Return!R64-'Return Estimasi'!R64</f>
        <v>-2.3440122801290791E-2</v>
      </c>
      <c r="S64">
        <f>Return!S64-'Return Estimasi'!S64</f>
        <v>-1.0654737860362395E-2</v>
      </c>
      <c r="T64">
        <f>Return!T64-'Return Estimasi'!T64</f>
        <v>-3.6894040424013579E-3</v>
      </c>
      <c r="U64">
        <f>Return!U64-'Return Estimasi'!U64</f>
        <v>-6.6297034991272749E-3</v>
      </c>
      <c r="V64">
        <f>Return!V64-'Return Estimasi'!V64</f>
        <v>3.9074193866573924E-3</v>
      </c>
      <c r="W64">
        <f>Return!W64-'Return Estimasi'!W64</f>
        <v>2.0340339105056816E-2</v>
      </c>
      <c r="X64">
        <f>Return!X64-'Return Estimasi'!X64</f>
        <v>1.9355263951558239E-2</v>
      </c>
      <c r="Y64">
        <f>Return!Y64-'Return Estimasi'!Y64</f>
        <v>1.5602856620140883E-2</v>
      </c>
      <c r="Z64">
        <f>Return!Z64-'Return Estimasi'!Z64</f>
        <v>6.2514604518627212E-3</v>
      </c>
      <c r="AA64">
        <f>Return!AA64-'Return Estimasi'!AA64</f>
        <v>2.1749230833079267E-2</v>
      </c>
      <c r="AB64">
        <f>Return!AB64-'Return Estimasi'!AB64</f>
        <v>-7.6773644402664716E-3</v>
      </c>
      <c r="AC64">
        <f>Return!AC64-'Return Estimasi'!AC64</f>
        <v>-2.3316458666768052E-2</v>
      </c>
      <c r="AD64">
        <f>Return!AD64-'Return Estimasi'!AD64</f>
        <v>-2.9914279325306903E-3</v>
      </c>
      <c r="AE64">
        <f>Return!AE64-'Return Estimasi'!AE64</f>
        <v>5.1580520330136758E-3</v>
      </c>
      <c r="AF64">
        <f>Return!AF64-'Return Estimasi'!AF64</f>
        <v>-16.888955407319955</v>
      </c>
    </row>
    <row r="65" spans="1:32" x14ac:dyDescent="0.3">
      <c r="A65" s="4" t="s">
        <v>39</v>
      </c>
      <c r="B65">
        <f>('Data Saham'!B65-'Data Saham'!B64)/'Data Saham'!B64</f>
        <v>-1.95771118730294E-2</v>
      </c>
      <c r="C65">
        <f>Return!C65-'Return Estimasi'!C65</f>
        <v>4.4106617653000973E-3</v>
      </c>
      <c r="D65">
        <f>Return!D65-'Return Estimasi'!D65</f>
        <v>-1.7464333986700685E-2</v>
      </c>
      <c r="E65">
        <f>Return!E65-'Return Estimasi'!E65</f>
        <v>-1.6072111115102844E-3</v>
      </c>
      <c r="F65">
        <f>Return!F65-'Return Estimasi'!F65</f>
        <v>-2.2842747709937865E-2</v>
      </c>
      <c r="G65">
        <f>Return!G65-'Return Estimasi'!G65</f>
        <v>-1.286249988887038E-2</v>
      </c>
      <c r="H65">
        <f>Return!H65-'Return Estimasi'!H65</f>
        <v>-3.5340832717688231E-4</v>
      </c>
      <c r="I65">
        <f>Return!I65-'Return Estimasi'!I65</f>
        <v>-8.6170234309511408E-3</v>
      </c>
      <c r="J65">
        <f>Return!J65-'Return Estimasi'!J65</f>
        <v>-3.5471620202235975E-3</v>
      </c>
      <c r="K65">
        <f>Return!K65-'Return Estimasi'!K65</f>
        <v>-1.5555099690848135E-2</v>
      </c>
      <c r="L65">
        <f>Return!L65-'Return Estimasi'!L65</f>
        <v>-2.6337842353841824E-2</v>
      </c>
      <c r="M65">
        <f>Return!M65-'Return Estimasi'!M65</f>
        <v>-4.8092300450956957E-2</v>
      </c>
      <c r="N65">
        <f>Return!N65-'Return Estimasi'!N65</f>
        <v>-1.4883864700789323E-2</v>
      </c>
      <c r="O65">
        <f>Return!O65-'Return Estimasi'!O65</f>
        <v>-4.5964376020225742E-3</v>
      </c>
      <c r="P65">
        <f>Return!P65-'Return Estimasi'!P65</f>
        <v>-5.0882001949718175E-4</v>
      </c>
      <c r="Q65">
        <f>Return!Q65-'Return Estimasi'!Q65</f>
        <v>2.3317926266041292E-2</v>
      </c>
      <c r="R65">
        <f>Return!R65-'Return Estimasi'!R65</f>
        <v>-1.0277348307250056E-2</v>
      </c>
      <c r="S65">
        <f>Return!S65-'Return Estimasi'!S65</f>
        <v>-5.9563161250969499E-3</v>
      </c>
      <c r="T65">
        <f>Return!T65-'Return Estimasi'!T65</f>
        <v>-6.0579514834235709E-3</v>
      </c>
      <c r="U65">
        <f>Return!U65-'Return Estimasi'!U65</f>
        <v>-2.7572769575817738E-2</v>
      </c>
      <c r="V65">
        <f>Return!V65-'Return Estimasi'!V65</f>
        <v>1.9462597365630767E-3</v>
      </c>
      <c r="W65">
        <f>Return!W65-'Return Estimasi'!W65</f>
        <v>-8.0391478650242154E-4</v>
      </c>
      <c r="X65">
        <f>Return!X65-'Return Estimasi'!X65</f>
        <v>2.3007472957592562E-3</v>
      </c>
      <c r="Y65">
        <f>Return!Y65-'Return Estimasi'!Y65</f>
        <v>1.6241095639631803E-5</v>
      </c>
      <c r="Z65">
        <f>Return!Z65-'Return Estimasi'!Z65</f>
        <v>-2.0800421896131231E-2</v>
      </c>
      <c r="AA65">
        <f>Return!AA65-'Return Estimasi'!AA65</f>
        <v>-2.7817710383201875E-2</v>
      </c>
      <c r="AB65">
        <f>Return!AB65-'Return Estimasi'!AB65</f>
        <v>-1.0256049513338261E-2</v>
      </c>
      <c r="AC65">
        <f>Return!AC65-'Return Estimasi'!AC65</f>
        <v>1.3583931258770859E-3</v>
      </c>
      <c r="AD65">
        <f>Return!AD65-'Return Estimasi'!AD65</f>
        <v>-2.0599577169931469E-2</v>
      </c>
      <c r="AE65">
        <f>Return!AE65-'Return Estimasi'!AE65</f>
        <v>-5.6480589422507107E-3</v>
      </c>
      <c r="AF65">
        <f>Return!AF65-'Return Estimasi'!AF65</f>
        <v>-17.23035237010027</v>
      </c>
    </row>
    <row r="66" spans="1:32" x14ac:dyDescent="0.3">
      <c r="A66" s="3" t="s">
        <v>40</v>
      </c>
      <c r="B66">
        <f>('Data Saham'!B66-'Data Saham'!B65)/'Data Saham'!B65</f>
        <v>-8.8252514120402258E-3</v>
      </c>
      <c r="C66">
        <f>Return!C66-'Return Estimasi'!C66</f>
        <v>6.7289576751357848E-4</v>
      </c>
      <c r="D66">
        <f>Return!D66-'Return Estimasi'!D66</f>
        <v>4.8638797393999612E-3</v>
      </c>
      <c r="E66">
        <f>Return!E66-'Return Estimasi'!E66</f>
        <v>5.1176883226787886E-4</v>
      </c>
      <c r="F66">
        <f>Return!F66-'Return Estimasi'!F66</f>
        <v>2.7425051890996623E-3</v>
      </c>
      <c r="G66">
        <f>Return!G66-'Return Estimasi'!G66</f>
        <v>-1.225486545473569E-2</v>
      </c>
      <c r="H66">
        <f>Return!H66-'Return Estimasi'!H66</f>
        <v>-3.3451898244320193E-3</v>
      </c>
      <c r="I66">
        <f>Return!I66-'Return Estimasi'!I66</f>
        <v>3.2131550478993278E-3</v>
      </c>
      <c r="J66">
        <f>Return!J66-'Return Estimasi'!J66</f>
        <v>2.5949942691856128E-3</v>
      </c>
      <c r="K66">
        <f>Return!K66-'Return Estimasi'!K66</f>
        <v>-2.6779402065039037E-2</v>
      </c>
      <c r="L66">
        <f>Return!L66-'Return Estimasi'!L66</f>
        <v>-1.3872595990998202E-2</v>
      </c>
      <c r="M66">
        <f>Return!M66-'Return Estimasi'!M66</f>
        <v>-3.5591548470007985E-2</v>
      </c>
      <c r="N66">
        <f>Return!N66-'Return Estimasi'!N66</f>
        <v>-4.1443205031891611E-2</v>
      </c>
      <c r="O66">
        <f>Return!O66-'Return Estimasi'!O66</f>
        <v>-2.8578834317823425E-2</v>
      </c>
      <c r="P66">
        <f>Return!P66-'Return Estimasi'!P66</f>
        <v>-1.8357510319956402E-2</v>
      </c>
      <c r="Q66">
        <f>Return!Q66-'Return Estimasi'!Q66</f>
        <v>1.1863553693689726E-2</v>
      </c>
      <c r="R66">
        <f>Return!R66-'Return Estimasi'!R66</f>
        <v>-3.8930578675658994E-3</v>
      </c>
      <c r="S66">
        <f>Return!S66-'Return Estimasi'!S66</f>
        <v>-7.8429258056238339E-3</v>
      </c>
      <c r="T66">
        <f>Return!T66-'Return Estimasi'!T66</f>
        <v>-1.2467223745945468E-2</v>
      </c>
      <c r="U66">
        <f>Return!U66-'Return Estimasi'!U66</f>
        <v>-8.8881117391587487E-3</v>
      </c>
      <c r="V66">
        <f>Return!V66-'Return Estimasi'!V66</f>
        <v>8.1317462497207671E-3</v>
      </c>
      <c r="W66">
        <f>Return!W66-'Return Estimasi'!W66</f>
        <v>2.4607648020542945E-2</v>
      </c>
      <c r="X66">
        <f>Return!X66-'Return Estimasi'!X66</f>
        <v>-3.3186115639738584E-2</v>
      </c>
      <c r="Y66">
        <f>Return!Y66-'Return Estimasi'!Y66</f>
        <v>4.2570960208876563E-3</v>
      </c>
      <c r="Z66">
        <f>Return!Z66-'Return Estimasi'!Z66</f>
        <v>-1.7264551782389427E-3</v>
      </c>
      <c r="AA66">
        <f>Return!AA66-'Return Estimasi'!AA66</f>
        <v>-4.78348483917365E-3</v>
      </c>
      <c r="AB66">
        <f>Return!AB66-'Return Estimasi'!AB66</f>
        <v>-2.2618435552036076E-2</v>
      </c>
      <c r="AC66">
        <f>Return!AC66-'Return Estimasi'!AC66</f>
        <v>-3.0021912784043196E-2</v>
      </c>
      <c r="AD66">
        <f>Return!AD66-'Return Estimasi'!AD66</f>
        <v>-6.6595085926030601E-3</v>
      </c>
      <c r="AE66">
        <f>Return!AE66-'Return Estimasi'!AE66</f>
        <v>-3.7591173740462976E-3</v>
      </c>
      <c r="AF66">
        <f>Return!AF66-'Return Estimasi'!AF66</f>
        <v>-16.938361408270417</v>
      </c>
    </row>
    <row r="67" spans="1:32" x14ac:dyDescent="0.3">
      <c r="A67" s="4" t="s">
        <v>41</v>
      </c>
      <c r="B67">
        <f>('Data Saham'!B67-'Data Saham'!B66)/'Data Saham'!B66</f>
        <v>-1.7373326731469175E-2</v>
      </c>
      <c r="C67">
        <f>Return!C67-'Return Estimasi'!C67</f>
        <v>7.9418945963448673E-3</v>
      </c>
      <c r="D67">
        <f>Return!D67-'Return Estimasi'!D67</f>
        <v>-2.5681620168238849E-3</v>
      </c>
      <c r="E67">
        <f>Return!E67-'Return Estimasi'!E67</f>
        <v>1.4897296332418548E-2</v>
      </c>
      <c r="F67">
        <f>Return!F67-'Return Estimasi'!F67</f>
        <v>2.6600409306927822E-3</v>
      </c>
      <c r="G67">
        <f>Return!G67-'Return Estimasi'!G67</f>
        <v>-8.6941979027202118E-3</v>
      </c>
      <c r="H67">
        <f>Return!H67-'Return Estimasi'!H67</f>
        <v>-2.1272081465724593E-3</v>
      </c>
      <c r="I67">
        <f>Return!I67-'Return Estimasi'!I67</f>
        <v>-3.6335231168824859E-2</v>
      </c>
      <c r="J67">
        <f>Return!J67-'Return Estimasi'!J67</f>
        <v>-1.0477409287292891E-2</v>
      </c>
      <c r="K67">
        <f>Return!K67-'Return Estimasi'!K67</f>
        <v>-1.7224405639075995E-2</v>
      </c>
      <c r="L67">
        <f>Return!L67-'Return Estimasi'!L67</f>
        <v>4.5611917890865349E-3</v>
      </c>
      <c r="M67">
        <f>Return!M67-'Return Estimasi'!M67</f>
        <v>8.6162982953858942E-3</v>
      </c>
      <c r="N67">
        <f>Return!N67-'Return Estimasi'!N67</f>
        <v>3.6559346325551301E-2</v>
      </c>
      <c r="O67">
        <f>Return!O67-'Return Estimasi'!O67</f>
        <v>2.4965920155188732E-2</v>
      </c>
      <c r="P67">
        <f>Return!P67-'Return Estimasi'!P67</f>
        <v>4.8150592889083417E-3</v>
      </c>
      <c r="Q67">
        <f>Return!Q67-'Return Estimasi'!Q67</f>
        <v>2.0934070236840463E-2</v>
      </c>
      <c r="R67">
        <f>Return!R67-'Return Estimasi'!R67</f>
        <v>-3.5653716824319781E-2</v>
      </c>
      <c r="S67">
        <f>Return!S67-'Return Estimasi'!S67</f>
        <v>-4.2066659203633922E-2</v>
      </c>
      <c r="T67">
        <f>Return!T67-'Return Estimasi'!T67</f>
        <v>-2.785508469189231E-2</v>
      </c>
      <c r="U67">
        <f>Return!U67-'Return Estimasi'!U67</f>
        <v>-3.7177118024287734E-2</v>
      </c>
      <c r="V67">
        <f>Return!V67-'Return Estimasi'!V67</f>
        <v>-9.6626618620598015E-3</v>
      </c>
      <c r="W67">
        <f>Return!W67-'Return Estimasi'!W67</f>
        <v>3.0728262742963395E-2</v>
      </c>
      <c r="X67">
        <f>Return!X67-'Return Estimasi'!X67</f>
        <v>5.9986265981964298E-2</v>
      </c>
      <c r="Y67">
        <f>Return!Y67-'Return Estimasi'!Y67</f>
        <v>-6.500667372931283E-3</v>
      </c>
      <c r="Z67">
        <f>Return!Z67-'Return Estimasi'!Z67</f>
        <v>-2.2367595482967816E-2</v>
      </c>
      <c r="AA67">
        <f>Return!AA67-'Return Estimasi'!AA67</f>
        <v>-4.6289665968067405E-2</v>
      </c>
      <c r="AB67">
        <f>Return!AB67-'Return Estimasi'!AB67</f>
        <v>-1.4728872423848356E-2</v>
      </c>
      <c r="AC67">
        <f>Return!AC67-'Return Estimasi'!AC67</f>
        <v>-2.4032458108928397E-2</v>
      </c>
      <c r="AD67">
        <f>Return!AD67-'Return Estimasi'!AD67</f>
        <v>-1.975531658756003E-2</v>
      </c>
      <c r="AE67">
        <f>Return!AE67-'Return Estimasi'!AE67</f>
        <v>-3.4583254853065404E-2</v>
      </c>
      <c r="AF67">
        <f>Return!AF67-'Return Estimasi'!AF67</f>
        <v>-17.251723889474356</v>
      </c>
    </row>
    <row r="68" spans="1:32" x14ac:dyDescent="0.3">
      <c r="A68" s="3" t="s">
        <v>42</v>
      </c>
      <c r="B68">
        <f>('Data Saham'!B68-'Data Saham'!B67)/'Data Saham'!B67</f>
        <v>1.208609222735935E-2</v>
      </c>
      <c r="C68">
        <f>Return!C68-'Return Estimasi'!C68</f>
        <v>8.6486501145033156E-3</v>
      </c>
      <c r="D68">
        <f>Return!D68-'Return Estimasi'!D68</f>
        <v>3.0606204938568322E-3</v>
      </c>
      <c r="E68">
        <f>Return!E68-'Return Estimasi'!E68</f>
        <v>9.4364852886355457E-3</v>
      </c>
      <c r="F68">
        <f>Return!F68-'Return Estimasi'!F68</f>
        <v>9.5772761055904175E-3</v>
      </c>
      <c r="G68">
        <f>Return!G68-'Return Estimasi'!G68</f>
        <v>-8.629632396743591E-3</v>
      </c>
      <c r="H68">
        <f>Return!H68-'Return Estimasi'!H68</f>
        <v>4.4540851805072862E-4</v>
      </c>
      <c r="I68">
        <f>Return!I68-'Return Estimasi'!I68</f>
        <v>2.4381110487400891E-2</v>
      </c>
      <c r="J68">
        <f>Return!J68-'Return Estimasi'!J68</f>
        <v>-3.4120634693533495E-3</v>
      </c>
      <c r="K68">
        <f>Return!K68-'Return Estimasi'!K68</f>
        <v>-4.3649643066665609E-3</v>
      </c>
      <c r="L68">
        <f>Return!L68-'Return Estimasi'!L68</f>
        <v>-9.505163607317197E-3</v>
      </c>
      <c r="M68">
        <f>Return!M68-'Return Estimasi'!M68</f>
        <v>-4.8189795077881931E-2</v>
      </c>
      <c r="N68">
        <f>Return!N68-'Return Estimasi'!N68</f>
        <v>-3.6848673659067514E-2</v>
      </c>
      <c r="O68">
        <f>Return!O68-'Return Estimasi'!O68</f>
        <v>-2.4451642194195669E-2</v>
      </c>
      <c r="P68">
        <f>Return!P68-'Return Estimasi'!P68</f>
        <v>7.9171002861799112E-3</v>
      </c>
      <c r="Q68">
        <f>Return!Q68-'Return Estimasi'!Q68</f>
        <v>-2.8192461057552222E-2</v>
      </c>
      <c r="R68">
        <f>Return!R68-'Return Estimasi'!R68</f>
        <v>3.9218593621824609E-2</v>
      </c>
      <c r="S68">
        <f>Return!S68-'Return Estimasi'!S68</f>
        <v>3.4336083679601004E-2</v>
      </c>
      <c r="T68">
        <f>Return!T68-'Return Estimasi'!T68</f>
        <v>-1.1045365093754339E-3</v>
      </c>
      <c r="U68">
        <f>Return!U68-'Return Estimasi'!U68</f>
        <v>1.4182335145561444E-2</v>
      </c>
      <c r="V68">
        <f>Return!V68-'Return Estimasi'!V68</f>
        <v>2.0942888833783563E-3</v>
      </c>
      <c r="W68">
        <f>Return!W68-'Return Estimasi'!W68</f>
        <v>-1.1843344393776023E-2</v>
      </c>
      <c r="X68">
        <f>Return!X68-'Return Estimasi'!X68</f>
        <v>-4.801392379533885E-2</v>
      </c>
      <c r="Y68">
        <f>Return!Y68-'Return Estimasi'!Y68</f>
        <v>5.4289937010965801E-3</v>
      </c>
      <c r="Z68">
        <f>Return!Z68-'Return Estimasi'!Z68</f>
        <v>1.9879282966132804E-2</v>
      </c>
      <c r="AA68">
        <f>Return!AA68-'Return Estimasi'!AA68</f>
        <v>3.8357337280313222E-2</v>
      </c>
      <c r="AB68">
        <f>Return!AB68-'Return Estimasi'!AB68</f>
        <v>-1.1850851831025458E-2</v>
      </c>
      <c r="AC68">
        <f>Return!AC68-'Return Estimasi'!AC68</f>
        <v>4.1884479582022568E-3</v>
      </c>
      <c r="AD68">
        <f>Return!AD68-'Return Estimasi'!AD68</f>
        <v>2.1606060277084858E-2</v>
      </c>
      <c r="AE68">
        <f>Return!AE68-'Return Estimasi'!AE68</f>
        <v>4.6678484987388365E-2</v>
      </c>
      <c r="AF68">
        <f>Return!AF68-'Return Estimasi'!AF68</f>
        <v>-16.260561526009749</v>
      </c>
    </row>
    <row r="69" spans="1:32" x14ac:dyDescent="0.3">
      <c r="A69" s="4" t="s">
        <v>43</v>
      </c>
      <c r="B69">
        <f>('Data Saham'!B69-'Data Saham'!B68)/'Data Saham'!B68</f>
        <v>-5.3907531768757717E-3</v>
      </c>
      <c r="C69">
        <f>Return!C69-'Return Estimasi'!C69</f>
        <v>-1.3673302698991717E-2</v>
      </c>
      <c r="D69">
        <f>Return!D69-'Return Estimasi'!D69</f>
        <v>-1.172975524631986E-3</v>
      </c>
      <c r="E69">
        <f>Return!E69-'Return Estimasi'!E69</f>
        <v>-2.3656859196392026E-2</v>
      </c>
      <c r="F69">
        <f>Return!F69-'Return Estimasi'!F69</f>
        <v>-2.5703373076134744E-3</v>
      </c>
      <c r="G69">
        <f>Return!G69-'Return Estimasi'!G69</f>
        <v>1.4821520492507878E-2</v>
      </c>
      <c r="H69">
        <f>Return!H69-'Return Estimasi'!H69</f>
        <v>3.1741647251212445E-3</v>
      </c>
      <c r="I69">
        <f>Return!I69-'Return Estimasi'!I69</f>
        <v>4.1499012856280708E-3</v>
      </c>
      <c r="J69">
        <f>Return!J69-'Return Estimasi'!J69</f>
        <v>1.7381260265905273E-2</v>
      </c>
      <c r="K69">
        <f>Return!K69-'Return Estimasi'!K69</f>
        <v>-1.2775197594194054E-2</v>
      </c>
      <c r="L69">
        <f>Return!L69-'Return Estimasi'!L69</f>
        <v>-2.0616524523406187E-3</v>
      </c>
      <c r="M69">
        <f>Return!M69-'Return Estimasi'!M69</f>
        <v>-5.1664781745033958E-2</v>
      </c>
      <c r="N69">
        <f>Return!N69-'Return Estimasi'!N69</f>
        <v>-8.5438733483345963E-2</v>
      </c>
      <c r="O69">
        <f>Return!O69-'Return Estimasi'!O69</f>
        <v>-3.1607068273674127E-2</v>
      </c>
      <c r="P69">
        <f>Return!P69-'Return Estimasi'!P69</f>
        <v>1.89168435118383E-2</v>
      </c>
      <c r="Q69">
        <f>Return!Q69-'Return Estimasi'!Q69</f>
        <v>1.7240310949085499E-2</v>
      </c>
      <c r="R69">
        <f>Return!R69-'Return Estimasi'!R69</f>
        <v>3.4097319944900131E-2</v>
      </c>
      <c r="S69">
        <f>Return!S69-'Return Estimasi'!S69</f>
        <v>7.3847935004716378E-3</v>
      </c>
      <c r="T69">
        <f>Return!T69-'Return Estimasi'!T69</f>
        <v>-1.865520903309046E-2</v>
      </c>
      <c r="U69">
        <f>Return!U69-'Return Estimasi'!U69</f>
        <v>5.6637274517881992E-3</v>
      </c>
      <c r="V69">
        <f>Return!V69-'Return Estimasi'!V69</f>
        <v>1.4371714035760342E-3</v>
      </c>
      <c r="W69">
        <f>Return!W69-'Return Estimasi'!W69</f>
        <v>5.0752171700576915E-2</v>
      </c>
      <c r="X69">
        <f>Return!X69-'Return Estimasi'!X69</f>
        <v>-3.5228657975409514E-2</v>
      </c>
      <c r="Y69">
        <f>Return!Y69-'Return Estimasi'!Y69</f>
        <v>1.4739211028212627E-2</v>
      </c>
      <c r="Z69">
        <f>Return!Z69-'Return Estimasi'!Z69</f>
        <v>1.5026325345279753E-2</v>
      </c>
      <c r="AA69">
        <f>Return!AA69-'Return Estimasi'!AA69</f>
        <v>-3.5079308994705564E-2</v>
      </c>
      <c r="AB69">
        <f>Return!AB69-'Return Estimasi'!AB69</f>
        <v>4.1639698738889154E-2</v>
      </c>
      <c r="AC69">
        <f>Return!AC69-'Return Estimasi'!AC69</f>
        <v>-1.9743300521175781E-2</v>
      </c>
      <c r="AD69">
        <f>Return!AD69-'Return Estimasi'!AD69</f>
        <v>-2.0866046347221744E-2</v>
      </c>
      <c r="AE69">
        <f>Return!AE69-'Return Estimasi'!AE69</f>
        <v>-6.4352160696560766E-3</v>
      </c>
      <c r="AF69">
        <f>Return!AF69-'Return Estimasi'!AF69</f>
        <v>-16.857803269474967</v>
      </c>
    </row>
    <row r="70" spans="1:32" x14ac:dyDescent="0.3">
      <c r="A70" s="3" t="s">
        <v>44</v>
      </c>
      <c r="B70">
        <f>('Data Saham'!B70-'Data Saham'!B69)/'Data Saham'!B69</f>
        <v>9.5519119924356508E-3</v>
      </c>
      <c r="C70">
        <f>Return!C70-'Return Estimasi'!C70</f>
        <v>-7.5187453877413081E-4</v>
      </c>
      <c r="D70">
        <f>Return!D70-'Return Estimasi'!D70</f>
        <v>8.0406805599991995E-3</v>
      </c>
      <c r="E70">
        <f>Return!E70-'Return Estimasi'!E70</f>
        <v>2.0288230322607424E-2</v>
      </c>
      <c r="F70">
        <f>Return!F70-'Return Estimasi'!F70</f>
        <v>-5.5475719263815906E-3</v>
      </c>
      <c r="G70">
        <f>Return!G70-'Return Estimasi'!G70</f>
        <v>2.4128473560842058E-2</v>
      </c>
      <c r="H70">
        <f>Return!H70-'Return Estimasi'!H70</f>
        <v>-1.1353259724914848E-2</v>
      </c>
      <c r="I70">
        <f>Return!I70-'Return Estimasi'!I70</f>
        <v>-9.5180154811113672E-3</v>
      </c>
      <c r="J70">
        <f>Return!J70-'Return Estimasi'!J70</f>
        <v>-2.6840869579651035E-3</v>
      </c>
      <c r="K70">
        <f>Return!K70-'Return Estimasi'!K70</f>
        <v>-7.5115980268175096E-3</v>
      </c>
      <c r="L70">
        <f>Return!L70-'Return Estimasi'!L70</f>
        <v>-6.3791187747081679E-3</v>
      </c>
      <c r="M70">
        <f>Return!M70-'Return Estimasi'!M70</f>
        <v>-1.0970063878116229E-2</v>
      </c>
      <c r="N70">
        <f>Return!N70-'Return Estimasi'!N70</f>
        <v>2.6260540799122427E-3</v>
      </c>
      <c r="O70">
        <f>Return!O70-'Return Estimasi'!O70</f>
        <v>8.4966344540996774E-3</v>
      </c>
      <c r="P70">
        <f>Return!P70-'Return Estimasi'!P70</f>
        <v>-2.4721077201142394E-3</v>
      </c>
      <c r="Q70">
        <f>Return!Q70-'Return Estimasi'!Q70</f>
        <v>-1.6608572979833782E-2</v>
      </c>
      <c r="R70">
        <f>Return!R70-'Return Estimasi'!R70</f>
        <v>-2.0985920108347135E-2</v>
      </c>
      <c r="S70">
        <f>Return!S70-'Return Estimasi'!S70</f>
        <v>3.5751892119711016E-3</v>
      </c>
      <c r="T70">
        <f>Return!T70-'Return Estimasi'!T70</f>
        <v>4.2546180214909704E-2</v>
      </c>
      <c r="U70">
        <f>Return!U70-'Return Estimasi'!U70</f>
        <v>-1.8401255890023366E-2</v>
      </c>
      <c r="V70">
        <f>Return!V70-'Return Estimasi'!V70</f>
        <v>-8.7373812578027121E-3</v>
      </c>
      <c r="W70">
        <f>Return!W70-'Return Estimasi'!W70</f>
        <v>-1.4058432739211417E-2</v>
      </c>
      <c r="X70">
        <f>Return!X70-'Return Estimasi'!X70</f>
        <v>2.4662490549991676E-2</v>
      </c>
      <c r="Y70">
        <f>Return!Y70-'Return Estimasi'!Y70</f>
        <v>1.153743684424023E-2</v>
      </c>
      <c r="Z70">
        <f>Return!Z70-'Return Estimasi'!Z70</f>
        <v>-4.7155698829326104E-2</v>
      </c>
      <c r="AA70">
        <f>Return!AA70-'Return Estimasi'!AA70</f>
        <v>2.2616438935963573E-5</v>
      </c>
      <c r="AB70">
        <f>Return!AB70-'Return Estimasi'!AB70</f>
        <v>7.7667508919502769E-3</v>
      </c>
      <c r="AC70">
        <f>Return!AC70-'Return Estimasi'!AC70</f>
        <v>-2.5247112879570974E-2</v>
      </c>
      <c r="AD70">
        <f>Return!AD70-'Return Estimasi'!AD70</f>
        <v>-3.3143844959164781E-3</v>
      </c>
      <c r="AE70">
        <f>Return!AE70-'Return Estimasi'!AE70</f>
        <v>-1.2601538116217972E-2</v>
      </c>
      <c r="AF70">
        <f>Return!AF70-'Return Estimasi'!AF70</f>
        <v>-16.378925779149935</v>
      </c>
    </row>
    <row r="71" spans="1:32" x14ac:dyDescent="0.3">
      <c r="A71" s="4" t="s">
        <v>45</v>
      </c>
      <c r="B71">
        <f>('Data Saham'!B71-'Data Saham'!B70)/'Data Saham'!B70</f>
        <v>4.3900600226173129E-3</v>
      </c>
      <c r="C71">
        <f>Return!C71-'Return Estimasi'!C71</f>
        <v>7.5830571703983498E-4</v>
      </c>
      <c r="D71">
        <f>Return!D71-'Return Estimasi'!D71</f>
        <v>-2.8998955139199114E-2</v>
      </c>
      <c r="E71">
        <f>Return!E71-'Return Estimasi'!E71</f>
        <v>-3.3228922307345345E-2</v>
      </c>
      <c r="F71">
        <f>Return!F71-'Return Estimasi'!F71</f>
        <v>-3.6084821156528932E-3</v>
      </c>
      <c r="G71">
        <f>Return!G71-'Return Estimasi'!G71</f>
        <v>2.0257668969806727E-2</v>
      </c>
      <c r="H71">
        <f>Return!H71-'Return Estimasi'!H71</f>
        <v>7.8297677515125758E-3</v>
      </c>
      <c r="I71">
        <f>Return!I71-'Return Estimasi'!I71</f>
        <v>3.4487386361665248E-2</v>
      </c>
      <c r="J71">
        <f>Return!J71-'Return Estimasi'!J71</f>
        <v>8.1154929107700377E-3</v>
      </c>
      <c r="K71">
        <f>Return!K71-'Return Estimasi'!K71</f>
        <v>1.6892817848739628E-2</v>
      </c>
      <c r="L71">
        <f>Return!L71-'Return Estimasi'!L71</f>
        <v>-2.2453525200153692E-3</v>
      </c>
      <c r="M71">
        <f>Return!M71-'Return Estimasi'!M71</f>
        <v>2.4638881888477175E-2</v>
      </c>
      <c r="N71">
        <f>Return!N71-'Return Estimasi'!N71</f>
        <v>8.8934329569533371E-2</v>
      </c>
      <c r="O71">
        <f>Return!O71-'Return Estimasi'!O71</f>
        <v>4.0009261975538842E-2</v>
      </c>
      <c r="P71">
        <f>Return!P71-'Return Estimasi'!P71</f>
        <v>-6.012969310961065E-3</v>
      </c>
      <c r="Q71">
        <f>Return!Q71-'Return Estimasi'!Q71</f>
        <v>-2.2104199774527688E-3</v>
      </c>
      <c r="R71">
        <f>Return!R71-'Return Estimasi'!R71</f>
        <v>4.8708426880512846E-3</v>
      </c>
      <c r="S71">
        <f>Return!S71-'Return Estimasi'!S71</f>
        <v>8.4592339089965968E-3</v>
      </c>
      <c r="T71">
        <f>Return!T71-'Return Estimasi'!T71</f>
        <v>9.7513813842154077E-3</v>
      </c>
      <c r="U71">
        <f>Return!U71-'Return Estimasi'!U71</f>
        <v>3.7582551030303168E-2</v>
      </c>
      <c r="V71">
        <f>Return!V71-'Return Estimasi'!V71</f>
        <v>1.2588565216268556E-2</v>
      </c>
      <c r="W71">
        <f>Return!W71-'Return Estimasi'!W71</f>
        <v>3.018038172712021E-2</v>
      </c>
      <c r="X71">
        <f>Return!X71-'Return Estimasi'!X71</f>
        <v>-2.5369663881950302E-2</v>
      </c>
      <c r="Y71">
        <f>Return!Y71-'Return Estimasi'!Y71</f>
        <v>2.8275417535836286E-2</v>
      </c>
      <c r="Z71">
        <f>Return!Z71-'Return Estimasi'!Z71</f>
        <v>1.6772168559650085E-3</v>
      </c>
      <c r="AA71">
        <f>Return!AA71-'Return Estimasi'!AA71</f>
        <v>4.1399259198406639E-2</v>
      </c>
      <c r="AB71">
        <f>Return!AB71-'Return Estimasi'!AB71</f>
        <v>-3.7080389608046438E-2</v>
      </c>
      <c r="AC71">
        <f>Return!AC71-'Return Estimasi'!AC71</f>
        <v>3.1420196050178494E-3</v>
      </c>
      <c r="AD71">
        <f>Return!AD71-'Return Estimasi'!AD71</f>
        <v>2.3230884874346529E-2</v>
      </c>
      <c r="AE71">
        <f>Return!AE71-'Return Estimasi'!AE71</f>
        <v>2.060714882222548E-3</v>
      </c>
      <c r="AF71">
        <f>Return!AF71-'Return Estimasi'!AF71</f>
        <v>-16.556489288749269</v>
      </c>
    </row>
    <row r="72" spans="1:32" x14ac:dyDescent="0.3">
      <c r="A72" s="1">
        <v>45664</v>
      </c>
      <c r="B72">
        <f>('Data Saham'!B72-'Data Saham'!B71)/'Data Saham'!B71</f>
        <v>-1.7783731350178729E-3</v>
      </c>
      <c r="C72">
        <f>Return!C72-'Return Estimasi'!C72</f>
        <v>6.0485765117638101E-3</v>
      </c>
      <c r="D72">
        <f>Return!D72-'Return Estimasi'!D72</f>
        <v>-1.0129512354752552E-2</v>
      </c>
      <c r="E72">
        <f>Return!E72-'Return Estimasi'!E72</f>
        <v>-2.4975763747875197E-2</v>
      </c>
      <c r="F72">
        <f>Return!F72-'Return Estimasi'!F72</f>
        <v>-2.5082739353130067E-2</v>
      </c>
      <c r="G72">
        <f>Return!G72-'Return Estimasi'!G72</f>
        <v>1.077564380192096E-2</v>
      </c>
      <c r="H72">
        <f>Return!H72-'Return Estimasi'!H72</f>
        <v>-1.0367289533943952E-2</v>
      </c>
      <c r="I72">
        <f>Return!I72-'Return Estimasi'!I72</f>
        <v>1.4523675621634419E-2</v>
      </c>
      <c r="J72">
        <f>Return!J72-'Return Estimasi'!J72</f>
        <v>9.8014552863605556E-3</v>
      </c>
      <c r="K72">
        <f>Return!K72-'Return Estimasi'!K72</f>
        <v>3.5317330377465802E-4</v>
      </c>
      <c r="L72">
        <f>Return!L72-'Return Estimasi'!L72</f>
        <v>4.5396534308523159E-3</v>
      </c>
      <c r="M72">
        <f>Return!M72-'Return Estimasi'!M72</f>
        <v>6.4786469373179414E-3</v>
      </c>
      <c r="N72">
        <f>Return!N72-'Return Estimasi'!N72</f>
        <v>1.9716889706634981E-2</v>
      </c>
      <c r="O72">
        <f>Return!O72-'Return Estimasi'!O72</f>
        <v>-1.7336461302155395E-2</v>
      </c>
      <c r="P72">
        <f>Return!P72-'Return Estimasi'!P72</f>
        <v>3.4445818574905937E-3</v>
      </c>
      <c r="Q72">
        <f>Return!Q72-'Return Estimasi'!Q72</f>
        <v>2.6551842599400195E-2</v>
      </c>
      <c r="R72">
        <f>Return!R72-'Return Estimasi'!R72</f>
        <v>-1.3968020473548491E-3</v>
      </c>
      <c r="S72">
        <f>Return!S72-'Return Estimasi'!S72</f>
        <v>-7.4483470464837033E-3</v>
      </c>
      <c r="T72">
        <f>Return!T72-'Return Estimasi'!T72</f>
        <v>-5.2906466394520735E-2</v>
      </c>
      <c r="U72">
        <f>Return!U72-'Return Estimasi'!U72</f>
        <v>-1.3164245213042077E-2</v>
      </c>
      <c r="V72">
        <f>Return!V72-'Return Estimasi'!V72</f>
        <v>2.828638219738873E-3</v>
      </c>
      <c r="W72">
        <f>Return!W72-'Return Estimasi'!W72</f>
        <v>-1.8782236042602153E-3</v>
      </c>
      <c r="X72">
        <f>Return!X72-'Return Estimasi'!X72</f>
        <v>1.501087818638505E-2</v>
      </c>
      <c r="Y72">
        <f>Return!Y72-'Return Estimasi'!Y72</f>
        <v>-1.1703159862283931E-3</v>
      </c>
      <c r="Z72">
        <f>Return!Z72-'Return Estimasi'!Z72</f>
        <v>-1.61448641096258E-3</v>
      </c>
      <c r="AA72">
        <f>Return!AA72-'Return Estimasi'!AA72</f>
        <v>3.3580213233073482E-2</v>
      </c>
      <c r="AB72">
        <f>Return!AB72-'Return Estimasi'!AB72</f>
        <v>1.9989581875823812E-2</v>
      </c>
      <c r="AC72">
        <f>Return!AC72-'Return Estimasi'!AC72</f>
        <v>3.9718334700971085E-4</v>
      </c>
      <c r="AD72">
        <f>Return!AD72-'Return Estimasi'!AD72</f>
        <v>-8.4035738821828278E-3</v>
      </c>
      <c r="AE72">
        <f>Return!AE72-'Return Estimasi'!AE72</f>
        <v>-3.9569206676123569E-3</v>
      </c>
      <c r="AF72">
        <f>Return!AF72-'Return Estimasi'!AF72</f>
        <v>-16.719450285606868</v>
      </c>
    </row>
    <row r="73" spans="1:32" x14ac:dyDescent="0.3">
      <c r="A73" s="2">
        <v>45695</v>
      </c>
      <c r="B73">
        <f>('Data Saham'!B73-'Data Saham'!B72)/'Data Saham'!B72</f>
        <v>-4.9324980912056164E-3</v>
      </c>
      <c r="C73">
        <f>Return!C73-'Return Estimasi'!C73</f>
        <v>3.002519166579929E-3</v>
      </c>
      <c r="D73">
        <f>Return!D73-'Return Estimasi'!D73</f>
        <v>-1.7380161324276073E-3</v>
      </c>
      <c r="E73">
        <f>Return!E73-'Return Estimasi'!E73</f>
        <v>8.9609138803661559E-3</v>
      </c>
      <c r="F73">
        <f>Return!F73-'Return Estimasi'!F73</f>
        <v>6.7816549344909228E-3</v>
      </c>
      <c r="G73">
        <f>Return!G73-'Return Estimasi'!G73</f>
        <v>-7.8504692358489416E-3</v>
      </c>
      <c r="H73">
        <f>Return!H73-'Return Estimasi'!H73</f>
        <v>2.3090578195450583E-2</v>
      </c>
      <c r="I73">
        <f>Return!I73-'Return Estimasi'!I73</f>
        <v>-7.8090208285029605E-3</v>
      </c>
      <c r="J73">
        <f>Return!J73-'Return Estimasi'!J73</f>
        <v>-2.5962274570739869E-2</v>
      </c>
      <c r="K73">
        <f>Return!K73-'Return Estimasi'!K73</f>
        <v>-2.6732300379883011E-2</v>
      </c>
      <c r="L73">
        <f>Return!L73-'Return Estimasi'!L73</f>
        <v>1.1336401810605998E-2</v>
      </c>
      <c r="M73">
        <f>Return!M73-'Return Estimasi'!M73</f>
        <v>-2.6388102406908837E-2</v>
      </c>
      <c r="N73">
        <f>Return!N73-'Return Estimasi'!N73</f>
        <v>-8.0867638549430888E-3</v>
      </c>
      <c r="O73">
        <f>Return!O73-'Return Estimasi'!O73</f>
        <v>-2.9650138527245089E-4</v>
      </c>
      <c r="P73">
        <f>Return!P73-'Return Estimasi'!P73</f>
        <v>0.11957903848358864</v>
      </c>
      <c r="Q73">
        <f>Return!Q73-'Return Estimasi'!Q73</f>
        <v>-9.7475514824606323E-3</v>
      </c>
      <c r="R73">
        <f>Return!R73-'Return Estimasi'!R73</f>
        <v>-2.8502766312451539E-3</v>
      </c>
      <c r="S73">
        <f>Return!S73-'Return Estimasi'!S73</f>
        <v>6.3227275503997295E-4</v>
      </c>
      <c r="T73">
        <f>Return!T73-'Return Estimasi'!T73</f>
        <v>1.9123050273047153E-2</v>
      </c>
      <c r="U73">
        <f>Return!U73-'Return Estimasi'!U73</f>
        <v>-6.1591372835464245E-3</v>
      </c>
      <c r="V73">
        <f>Return!V73-'Return Estimasi'!V73</f>
        <v>-3.5905769679168299E-3</v>
      </c>
      <c r="W73">
        <f>Return!W73-'Return Estimasi'!W73</f>
        <v>-3.8197834320245164E-2</v>
      </c>
      <c r="X73">
        <f>Return!X73-'Return Estimasi'!X73</f>
        <v>5.4657985911619553E-3</v>
      </c>
      <c r="Y73">
        <f>Return!Y73-'Return Estimasi'!Y73</f>
        <v>1.81298718848594E-2</v>
      </c>
      <c r="Z73">
        <f>Return!Z73-'Return Estimasi'!Z73</f>
        <v>-7.2791319553848436E-3</v>
      </c>
      <c r="AA73">
        <f>Return!AA73-'Return Estimasi'!AA73</f>
        <v>2.7939117812776439E-2</v>
      </c>
      <c r="AB73">
        <f>Return!AB73-'Return Estimasi'!AB73</f>
        <v>-2.7828860725572273E-2</v>
      </c>
      <c r="AC73">
        <f>Return!AC73-'Return Estimasi'!AC73</f>
        <v>-4.8826874708562361E-3</v>
      </c>
      <c r="AD73">
        <f>Return!AD73-'Return Estimasi'!AD73</f>
        <v>-1.0808182695458433E-2</v>
      </c>
      <c r="AE73">
        <f>Return!AE73-'Return Estimasi'!AE73</f>
        <v>3.7971616597886125E-3</v>
      </c>
      <c r="AF73">
        <f>Return!AF73-'Return Estimasi'!AF73</f>
        <v>-16.828965834613374</v>
      </c>
    </row>
    <row r="74" spans="1:32" x14ac:dyDescent="0.3">
      <c r="A74" s="1">
        <v>45723</v>
      </c>
      <c r="B74">
        <f>('Data Saham'!B74-'Data Saham'!B73)/'Data Saham'!B73</f>
        <v>-4.6503178928244406E-4</v>
      </c>
      <c r="C74">
        <f>Return!C74-'Return Estimasi'!C74</f>
        <v>-6.6069432862568677E-3</v>
      </c>
      <c r="D74">
        <f>Return!D74-'Return Estimasi'!D74</f>
        <v>-7.2584340786044929E-4</v>
      </c>
      <c r="E74">
        <f>Return!E74-'Return Estimasi'!E74</f>
        <v>-5.9110386057907348E-3</v>
      </c>
      <c r="F74">
        <f>Return!F74-'Return Estimasi'!F74</f>
        <v>-1.1933944500474076E-2</v>
      </c>
      <c r="G74">
        <f>Return!G74-'Return Estimasi'!G74</f>
        <v>-2.6378709843556433E-2</v>
      </c>
      <c r="H74">
        <f>Return!H74-'Return Estimasi'!H74</f>
        <v>6.4681590830109239E-3</v>
      </c>
      <c r="I74">
        <f>Return!I74-'Return Estimasi'!I74</f>
        <v>2.5871821320306475E-2</v>
      </c>
      <c r="J74">
        <f>Return!J74-'Return Estimasi'!J74</f>
        <v>1.5867392719156152E-2</v>
      </c>
      <c r="K74">
        <f>Return!K74-'Return Estimasi'!K74</f>
        <v>-9.3338596198075229E-3</v>
      </c>
      <c r="L74">
        <f>Return!L74-'Return Estimasi'!L74</f>
        <v>-8.3252179901460791E-3</v>
      </c>
      <c r="M74">
        <f>Return!M74-'Return Estimasi'!M74</f>
        <v>3.8814211529296094E-2</v>
      </c>
      <c r="N74">
        <f>Return!N74-'Return Estimasi'!N74</f>
        <v>5.048811937685458E-2</v>
      </c>
      <c r="O74">
        <f>Return!O74-'Return Estimasi'!O74</f>
        <v>1.0059060140895342E-2</v>
      </c>
      <c r="P74">
        <f>Return!P74-'Return Estimasi'!P74</f>
        <v>-2.4983262373473033E-2</v>
      </c>
      <c r="Q74">
        <f>Return!Q74-'Return Estimasi'!Q74</f>
        <v>7.2604198339198461E-3</v>
      </c>
      <c r="R74">
        <f>Return!R74-'Return Estimasi'!R74</f>
        <v>3.4225489538825711E-2</v>
      </c>
      <c r="S74">
        <f>Return!S74-'Return Estimasi'!S74</f>
        <v>2.4003722440292106E-2</v>
      </c>
      <c r="T74">
        <f>Return!T74-'Return Estimasi'!T74</f>
        <v>2.6545478617754571E-2</v>
      </c>
      <c r="U74">
        <f>Return!U74-'Return Estimasi'!U74</f>
        <v>2.3167378735505451E-2</v>
      </c>
      <c r="V74">
        <f>Return!V74-'Return Estimasi'!V74</f>
        <v>9.8472402801964894E-3</v>
      </c>
      <c r="W74">
        <f>Return!W74-'Return Estimasi'!W74</f>
        <v>-2.6674950112789381E-2</v>
      </c>
      <c r="X74">
        <f>Return!X74-'Return Estimasi'!X74</f>
        <v>1.7871192332688017E-2</v>
      </c>
      <c r="Y74">
        <f>Return!Y74-'Return Estimasi'!Y74</f>
        <v>-1.047991877956098E-2</v>
      </c>
      <c r="Z74">
        <f>Return!Z74-'Return Estimasi'!Z74</f>
        <v>1.3981006100415039E-3</v>
      </c>
      <c r="AA74">
        <f>Return!AA74-'Return Estimasi'!AA74</f>
        <v>-1.3845007506834556E-2</v>
      </c>
      <c r="AB74">
        <f>Return!AB74-'Return Estimasi'!AB74</f>
        <v>1.3652756911691098E-3</v>
      </c>
      <c r="AC74">
        <f>Return!AC74-'Return Estimasi'!AC74</f>
        <v>-3.2993511667359324E-2</v>
      </c>
      <c r="AD74">
        <f>Return!AD74-'Return Estimasi'!AD74</f>
        <v>-4.5428725265536148E-3</v>
      </c>
      <c r="AE74">
        <f>Return!AE74-'Return Estimasi'!AE74</f>
        <v>-4.9877053989766862E-3</v>
      </c>
      <c r="AF74">
        <f>Return!AF74-'Return Estimasi'!AF74</f>
        <v>-16.672053062363808</v>
      </c>
    </row>
    <row r="75" spans="1:32" x14ac:dyDescent="0.3">
      <c r="A75" s="2">
        <v>45754</v>
      </c>
      <c r="B75">
        <f>('Data Saham'!B75-'Data Saham'!B74)/'Data Saham'!B74</f>
        <v>-1.8697159805468966E-3</v>
      </c>
      <c r="C75">
        <f>Return!C75-'Return Estimasi'!C75</f>
        <v>9.0591478763447121E-3</v>
      </c>
      <c r="D75">
        <f>Return!D75-'Return Estimasi'!D75</f>
        <v>-2.061891445519666E-3</v>
      </c>
      <c r="E75">
        <f>Return!E75-'Return Estimasi'!E75</f>
        <v>1.7529738464777105E-3</v>
      </c>
      <c r="F75">
        <f>Return!F75-'Return Estimasi'!F75</f>
        <v>9.2503338403655284E-3</v>
      </c>
      <c r="G75">
        <f>Return!G75-'Return Estimasi'!G75</f>
        <v>-2.9453731613212752E-2</v>
      </c>
      <c r="H75">
        <f>Return!H75-'Return Estimasi'!H75</f>
        <v>1.1746194408312038E-2</v>
      </c>
      <c r="I75">
        <f>Return!I75-'Return Estimasi'!I75</f>
        <v>-6.6446992264893867E-3</v>
      </c>
      <c r="J75">
        <f>Return!J75-'Return Estimasi'!J75</f>
        <v>5.9692548604386943E-4</v>
      </c>
      <c r="K75">
        <f>Return!K75-'Return Estimasi'!K75</f>
        <v>-2.4017491685967432E-3</v>
      </c>
      <c r="L75">
        <f>Return!L75-'Return Estimasi'!L75</f>
        <v>2.2962479801163964E-3</v>
      </c>
      <c r="M75">
        <f>Return!M75-'Return Estimasi'!M75</f>
        <v>-4.1762686778682778E-2</v>
      </c>
      <c r="N75">
        <f>Return!N75-'Return Estimasi'!N75</f>
        <v>-4.7239726088619139E-3</v>
      </c>
      <c r="O75">
        <f>Return!O75-'Return Estimasi'!O75</f>
        <v>7.5558593025530571E-3</v>
      </c>
      <c r="P75">
        <f>Return!P75-'Return Estimasi'!P75</f>
        <v>-2.4512462975271619E-2</v>
      </c>
      <c r="Q75">
        <f>Return!Q75-'Return Estimasi'!Q75</f>
        <v>-1.7684609222553497E-5</v>
      </c>
      <c r="R75">
        <f>Return!R75-'Return Estimasi'!R75</f>
        <v>-2.6910784855789099E-2</v>
      </c>
      <c r="S75">
        <f>Return!S75-'Return Estimasi'!S75</f>
        <v>-3.6703142545532703E-2</v>
      </c>
      <c r="T75">
        <f>Return!T75-'Return Estimasi'!T75</f>
        <v>-1.3382315288380587E-2</v>
      </c>
      <c r="U75">
        <f>Return!U75-'Return Estimasi'!U75</f>
        <v>-5.6569589642735969E-3</v>
      </c>
      <c r="V75">
        <f>Return!V75-'Return Estimasi'!V75</f>
        <v>4.0725656720449269E-3</v>
      </c>
      <c r="W75">
        <f>Return!W75-'Return Estimasi'!W75</f>
        <v>7.8006717832988046E-3</v>
      </c>
      <c r="X75">
        <f>Return!X75-'Return Estimasi'!X75</f>
        <v>1.4961754502385294E-2</v>
      </c>
      <c r="Y75">
        <f>Return!Y75-'Return Estimasi'!Y75</f>
        <v>-1.7921899541519369E-2</v>
      </c>
      <c r="Z75">
        <f>Return!Z75-'Return Estimasi'!Z75</f>
        <v>-1.609670916097569E-3</v>
      </c>
      <c r="AA75">
        <f>Return!AA75-'Return Estimasi'!AA75</f>
        <v>3.836688075700066E-3</v>
      </c>
      <c r="AB75">
        <f>Return!AB75-'Return Estimasi'!AB75</f>
        <v>3.7932104380378168E-2</v>
      </c>
      <c r="AC75">
        <f>Return!AC75-'Return Estimasi'!AC75</f>
        <v>4.2142624425963122E-2</v>
      </c>
      <c r="AD75">
        <f>Return!AD75-'Return Estimasi'!AD75</f>
        <v>-3.224393206720516E-3</v>
      </c>
      <c r="AE75">
        <f>Return!AE75-'Return Estimasi'!AE75</f>
        <v>1.2271175172275113E-2</v>
      </c>
      <c r="AF75">
        <f>Return!AF75-'Return Estimasi'!AF75</f>
        <v>-16.722233282897079</v>
      </c>
    </row>
    <row r="76" spans="1:32" x14ac:dyDescent="0.3">
      <c r="A76" s="1">
        <v>45845</v>
      </c>
      <c r="B76">
        <f>('Data Saham'!B76-'Data Saham'!B75)/'Data Saham'!B75</f>
        <v>5.2059739060391179E-3</v>
      </c>
      <c r="C76">
        <f>Return!C76-'Return Estimasi'!C76</f>
        <v>-5.7228999846569203E-3</v>
      </c>
      <c r="D76">
        <f>Return!D76-'Return Estimasi'!D76</f>
        <v>1.8717700423991823E-3</v>
      </c>
      <c r="E76">
        <f>Return!E76-'Return Estimasi'!E76</f>
        <v>-5.1717008985062438E-3</v>
      </c>
      <c r="F76">
        <f>Return!F76-'Return Estimasi'!F76</f>
        <v>-4.2995755931683919E-3</v>
      </c>
      <c r="G76">
        <f>Return!G76-'Return Estimasi'!G76</f>
        <v>2.0308359833243281E-2</v>
      </c>
      <c r="H76">
        <f>Return!H76-'Return Estimasi'!H76</f>
        <v>9.0318937613082309E-3</v>
      </c>
      <c r="I76">
        <f>Return!I76-'Return Estimasi'!I76</f>
        <v>-1.4425677361897099E-2</v>
      </c>
      <c r="J76">
        <f>Return!J76-'Return Estimasi'!J76</f>
        <v>-1.4356592402974555E-3</v>
      </c>
      <c r="K76">
        <f>Return!K76-'Return Estimasi'!K76</f>
        <v>-1.4768629155947979E-2</v>
      </c>
      <c r="L76">
        <f>Return!L76-'Return Estimasi'!L76</f>
        <v>-1.4066803465063176E-3</v>
      </c>
      <c r="M76">
        <f>Return!M76-'Return Estimasi'!M76</f>
        <v>-4.0166367592561071E-2</v>
      </c>
      <c r="N76">
        <f>Return!N76-'Return Estimasi'!N76</f>
        <v>-1.4771638748676874E-2</v>
      </c>
      <c r="O76">
        <f>Return!O76-'Return Estimasi'!O76</f>
        <v>-1.4806004398702751E-2</v>
      </c>
      <c r="P76">
        <f>Return!P76-'Return Estimasi'!P76</f>
        <v>-2.6983281601751976E-3</v>
      </c>
      <c r="Q76">
        <f>Return!Q76-'Return Estimasi'!Q76</f>
        <v>-1.1890223517298886E-2</v>
      </c>
      <c r="R76">
        <f>Return!R76-'Return Estimasi'!R76</f>
        <v>-1.2108536463070958E-2</v>
      </c>
      <c r="S76">
        <f>Return!S76-'Return Estimasi'!S76</f>
        <v>3.2197170809126312E-2</v>
      </c>
      <c r="T76">
        <f>Return!T76-'Return Estimasi'!T76</f>
        <v>1.2799038893193854E-2</v>
      </c>
      <c r="U76">
        <f>Return!U76-'Return Estimasi'!U76</f>
        <v>1.5716924066755504E-3</v>
      </c>
      <c r="V76">
        <f>Return!V76-'Return Estimasi'!V76</f>
        <v>-9.3884434681684274E-3</v>
      </c>
      <c r="W76">
        <f>Return!W76-'Return Estimasi'!W76</f>
        <v>5.8847418297299822E-2</v>
      </c>
      <c r="X76">
        <f>Return!X76-'Return Estimasi'!X76</f>
        <v>-1.7832656572141191E-2</v>
      </c>
      <c r="Y76">
        <f>Return!Y76-'Return Estimasi'!Y76</f>
        <v>2.7496361111316821E-2</v>
      </c>
      <c r="Z76">
        <f>Return!Z76-'Return Estimasi'!Z76</f>
        <v>-7.1200635576123793E-3</v>
      </c>
      <c r="AA76">
        <f>Return!AA76-'Return Estimasi'!AA76</f>
        <v>-3.7371057768371269E-4</v>
      </c>
      <c r="AB76">
        <f>Return!AB76-'Return Estimasi'!AB76</f>
        <v>1.2342952344284156E-2</v>
      </c>
      <c r="AC76">
        <f>Return!AC76-'Return Estimasi'!AC76</f>
        <v>-5.6261437146718314E-3</v>
      </c>
      <c r="AD76">
        <f>Return!AD76-'Return Estimasi'!AD76</f>
        <v>8.8543331349125957E-4</v>
      </c>
      <c r="AE76">
        <f>Return!AE76-'Return Estimasi'!AE76</f>
        <v>-2.5328517736347006E-2</v>
      </c>
      <c r="AF76">
        <f>Return!AF76-'Return Estimasi'!AF76</f>
        <v>-16.538625125450405</v>
      </c>
    </row>
    <row r="77" spans="1:32" x14ac:dyDescent="0.3">
      <c r="A77" s="2">
        <v>45876</v>
      </c>
      <c r="B77">
        <f>('Data Saham'!B77-'Data Saham'!B76)/'Data Saham'!B76</f>
        <v>5.013816978291384E-4</v>
      </c>
      <c r="C77">
        <f>Return!C77-'Return Estimasi'!C77</f>
        <v>-1.3284299752943301E-2</v>
      </c>
      <c r="D77">
        <f>Return!D77-'Return Estimasi'!D77</f>
        <v>-9.7843066004498352E-3</v>
      </c>
      <c r="E77">
        <f>Return!E77-'Return Estimasi'!E77</f>
        <v>-4.7869272150480747E-3</v>
      </c>
      <c r="F77">
        <f>Return!F77-'Return Estimasi'!F77</f>
        <v>-7.8147028565645031E-3</v>
      </c>
      <c r="G77">
        <f>Return!G77-'Return Estimasi'!G77</f>
        <v>-2.0587971041148966E-2</v>
      </c>
      <c r="H77">
        <f>Return!H77-'Return Estimasi'!H77</f>
        <v>-5.0634600046004334E-3</v>
      </c>
      <c r="I77">
        <f>Return!I77-'Return Estimasi'!I77</f>
        <v>1.6527151806011002E-3</v>
      </c>
      <c r="J77">
        <f>Return!J77-'Return Estimasi'!J77</f>
        <v>-9.3434626812059947E-3</v>
      </c>
      <c r="K77">
        <f>Return!K77-'Return Estimasi'!K77</f>
        <v>1.0806635808623235E-3</v>
      </c>
      <c r="L77">
        <f>Return!L77-'Return Estimasi'!L77</f>
        <v>-3.0912819434277812E-3</v>
      </c>
      <c r="M77">
        <f>Return!M77-'Return Estimasi'!M77</f>
        <v>1.2711359512317969E-3</v>
      </c>
      <c r="N77">
        <f>Return!N77-'Return Estimasi'!N77</f>
        <v>1.6143513561472336E-2</v>
      </c>
      <c r="O77">
        <f>Return!O77-'Return Estimasi'!O77</f>
        <v>-6.2397180390622404E-3</v>
      </c>
      <c r="P77">
        <f>Return!P77-'Return Estimasi'!P77</f>
        <v>3.0285633620630175E-2</v>
      </c>
      <c r="Q77">
        <f>Return!Q77-'Return Estimasi'!Q77</f>
        <v>-1.5639688711655712E-2</v>
      </c>
      <c r="R77">
        <f>Return!R77-'Return Estimasi'!R77</f>
        <v>5.4705814915472916E-4</v>
      </c>
      <c r="S77">
        <f>Return!S77-'Return Estimasi'!S77</f>
        <v>-6.5070528670783199E-3</v>
      </c>
      <c r="T77">
        <f>Return!T77-'Return Estimasi'!T77</f>
        <v>3.5140747926511902E-2</v>
      </c>
      <c r="U77">
        <f>Return!U77-'Return Estimasi'!U77</f>
        <v>-7.9228371446609291E-4</v>
      </c>
      <c r="V77">
        <f>Return!V77-'Return Estimasi'!V77</f>
        <v>6.5634666239257925E-3</v>
      </c>
      <c r="W77">
        <f>Return!W77-'Return Estimasi'!W77</f>
        <v>1.1867790197282338E-2</v>
      </c>
      <c r="X77">
        <f>Return!X77-'Return Estimasi'!X77</f>
        <v>-4.5775102844136523E-3</v>
      </c>
      <c r="Y77">
        <f>Return!Y77-'Return Estimasi'!Y77</f>
        <v>-1.1301162041861806E-2</v>
      </c>
      <c r="Z77">
        <f>Return!Z77-'Return Estimasi'!Z77</f>
        <v>4.7800138649876454E-3</v>
      </c>
      <c r="AA77">
        <f>Return!AA77-'Return Estimasi'!AA77</f>
        <v>-1.8968578227898193E-2</v>
      </c>
      <c r="AB77">
        <f>Return!AB77-'Return Estimasi'!AB77</f>
        <v>3.4765815604632499E-4</v>
      </c>
      <c r="AC77">
        <f>Return!AC77-'Return Estimasi'!AC77</f>
        <v>-9.5688857640991443E-3</v>
      </c>
      <c r="AD77">
        <f>Return!AD77-'Return Estimasi'!AD77</f>
        <v>-5.4995661549437826E-3</v>
      </c>
      <c r="AE77">
        <f>Return!AE77-'Return Estimasi'!AE77</f>
        <v>-2.7671105901425505E-2</v>
      </c>
      <c r="AF77">
        <f>Return!AF77-'Return Estimasi'!AF77</f>
        <v>-16.686231868679751</v>
      </c>
    </row>
    <row r="78" spans="1:32" x14ac:dyDescent="0.3">
      <c r="A78" s="1">
        <v>45907</v>
      </c>
      <c r="B78">
        <f>('Data Saham'!B78-'Data Saham'!B77)/'Data Saham'!B77</f>
        <v>5.7253428615706443E-3</v>
      </c>
      <c r="C78">
        <f>Return!C78-'Return Estimasi'!C78</f>
        <v>-3.278857412736091E-3</v>
      </c>
      <c r="D78">
        <f>Return!D78-'Return Estimasi'!D78</f>
        <v>-4.088560103340709E-3</v>
      </c>
      <c r="E78">
        <f>Return!E78-'Return Estimasi'!E78</f>
        <v>-7.7986291262002478E-3</v>
      </c>
      <c r="F78">
        <f>Return!F78-'Return Estimasi'!F78</f>
        <v>2.8171847865452043E-3</v>
      </c>
      <c r="G78">
        <f>Return!G78-'Return Estimasi'!G78</f>
        <v>7.7168374232540471E-4</v>
      </c>
      <c r="H78">
        <f>Return!H78-'Return Estimasi'!H78</f>
        <v>8.5709953315657832E-3</v>
      </c>
      <c r="I78">
        <f>Return!I78-'Return Estimasi'!I78</f>
        <v>1.8196647410648995E-3</v>
      </c>
      <c r="J78">
        <f>Return!J78-'Return Estimasi'!J78</f>
        <v>1.7106734000106972E-2</v>
      </c>
      <c r="K78">
        <f>Return!K78-'Return Estimasi'!K78</f>
        <v>-9.5758639497414508E-3</v>
      </c>
      <c r="L78">
        <f>Return!L78-'Return Estimasi'!L78</f>
        <v>-4.6028063612265084E-4</v>
      </c>
      <c r="M78">
        <f>Return!M78-'Return Estimasi'!M78</f>
        <v>-1.4083256892361661E-2</v>
      </c>
      <c r="N78">
        <f>Return!N78-'Return Estimasi'!N78</f>
        <v>8.5825428903108306E-3</v>
      </c>
      <c r="O78">
        <f>Return!O78-'Return Estimasi'!O78</f>
        <v>-8.9606893558910414E-3</v>
      </c>
      <c r="P78">
        <f>Return!P78-'Return Estimasi'!P78</f>
        <v>-2.1846715088419059E-2</v>
      </c>
      <c r="Q78">
        <f>Return!Q78-'Return Estimasi'!Q78</f>
        <v>5.179610768766673E-3</v>
      </c>
      <c r="R78">
        <f>Return!R78-'Return Estimasi'!R78</f>
        <v>4.1550225177998043E-3</v>
      </c>
      <c r="S78">
        <f>Return!S78-'Return Estimasi'!S78</f>
        <v>2.8827260113719125E-2</v>
      </c>
      <c r="T78">
        <f>Return!T78-'Return Estimasi'!T78</f>
        <v>3.0866729511738397E-2</v>
      </c>
      <c r="U78">
        <f>Return!U78-'Return Estimasi'!U78</f>
        <v>1.2140539357081844E-2</v>
      </c>
      <c r="V78">
        <f>Return!V78-'Return Estimasi'!V78</f>
        <v>1.2136289499439278E-2</v>
      </c>
      <c r="W78">
        <f>Return!W78-'Return Estimasi'!W78</f>
        <v>1.9535022956192992E-2</v>
      </c>
      <c r="X78">
        <f>Return!X78-'Return Estimasi'!X78</f>
        <v>-5.8877552810105479E-3</v>
      </c>
      <c r="Y78">
        <f>Return!Y78-'Return Estimasi'!Y78</f>
        <v>-2.9600346355574277E-3</v>
      </c>
      <c r="Z78">
        <f>Return!Z78-'Return Estimasi'!Z78</f>
        <v>4.5974643610458575E-2</v>
      </c>
      <c r="AA78">
        <f>Return!AA78-'Return Estimasi'!AA78</f>
        <v>-9.1197364262256102E-4</v>
      </c>
      <c r="AB78">
        <f>Return!AB78-'Return Estimasi'!AB78</f>
        <v>-2.1819753847807464E-2</v>
      </c>
      <c r="AC78">
        <f>Return!AC78-'Return Estimasi'!AC78</f>
        <v>1.990466680802134E-3</v>
      </c>
      <c r="AD78">
        <f>Return!AD78-'Return Estimasi'!AD78</f>
        <v>1.1316037609984401E-2</v>
      </c>
      <c r="AE78">
        <f>Return!AE78-'Return Estimasi'!AE78</f>
        <v>6.9015510202743722E-3</v>
      </c>
      <c r="AF78">
        <f>Return!AF78-'Return Estimasi'!AF78</f>
        <v>-16.503321360770535</v>
      </c>
    </row>
    <row r="79" spans="1:32" x14ac:dyDescent="0.3">
      <c r="A79" s="2">
        <v>45937</v>
      </c>
      <c r="B79">
        <f>('Data Saham'!B79-'Data Saham'!B78)/'Data Saham'!B78</f>
        <v>8.8494683118468843E-3</v>
      </c>
      <c r="C79">
        <f>Return!C79-'Return Estimasi'!C79</f>
        <v>5.8022673818063416E-3</v>
      </c>
      <c r="D79">
        <f>Return!D79-'Return Estimasi'!D79</f>
        <v>4.1744865596327313E-2</v>
      </c>
      <c r="E79">
        <f>Return!E79-'Return Estimasi'!E79</f>
        <v>1.4617131879279198E-2</v>
      </c>
      <c r="F79">
        <f>Return!F79-'Return Estimasi'!F79</f>
        <v>2.0114320259837677E-2</v>
      </c>
      <c r="G79">
        <f>Return!G79-'Return Estimasi'!G79</f>
        <v>-2.0992346007569817E-3</v>
      </c>
      <c r="H79">
        <f>Return!H79-'Return Estimasi'!H79</f>
        <v>-1.4880971819193577E-2</v>
      </c>
      <c r="I79">
        <f>Return!I79-'Return Estimasi'!I79</f>
        <v>-9.0112354167910195E-3</v>
      </c>
      <c r="J79">
        <f>Return!J79-'Return Estimasi'!J79</f>
        <v>-5.5404047728339501E-3</v>
      </c>
      <c r="K79">
        <f>Return!K79-'Return Estimasi'!K79</f>
        <v>4.7819799179348518E-2</v>
      </c>
      <c r="L79">
        <f>Return!L79-'Return Estimasi'!L79</f>
        <v>7.4738086664836055E-3</v>
      </c>
      <c r="M79">
        <f>Return!M79-'Return Estimasi'!M79</f>
        <v>1.0271118653147233E-2</v>
      </c>
      <c r="N79">
        <f>Return!N79-'Return Estimasi'!N79</f>
        <v>-1.0236051694762986E-2</v>
      </c>
      <c r="O79">
        <f>Return!O79-'Return Estimasi'!O79</f>
        <v>1.495455902130788E-2</v>
      </c>
      <c r="P79">
        <f>Return!P79-'Return Estimasi'!P79</f>
        <v>3.2192364377235258E-2</v>
      </c>
      <c r="Q79">
        <f>Return!Q79-'Return Estimasi'!Q79</f>
        <v>-7.0502955860726815E-3</v>
      </c>
      <c r="R79">
        <f>Return!R79-'Return Estimasi'!R79</f>
        <v>-7.6521215568162802E-3</v>
      </c>
      <c r="S79">
        <f>Return!S79-'Return Estimasi'!S79</f>
        <v>-4.7194575901787919E-3</v>
      </c>
      <c r="T79">
        <f>Return!T79-'Return Estimasi'!T79</f>
        <v>3.1127568019889383E-3</v>
      </c>
      <c r="U79">
        <f>Return!U79-'Return Estimasi'!U79</f>
        <v>-2.6132734520071029E-3</v>
      </c>
      <c r="V79">
        <f>Return!V79-'Return Estimasi'!V79</f>
        <v>2.1463275198901812E-3</v>
      </c>
      <c r="W79">
        <f>Return!W79-'Return Estimasi'!W79</f>
        <v>-1.9034558373919864E-2</v>
      </c>
      <c r="X79">
        <f>Return!X79-'Return Estimasi'!X79</f>
        <v>8.0923422885558829E-3</v>
      </c>
      <c r="Y79">
        <f>Return!Y79-'Return Estimasi'!Y79</f>
        <v>-4.7641289848951808E-2</v>
      </c>
      <c r="Z79">
        <f>Return!Z79-'Return Estimasi'!Z79</f>
        <v>-1.5637547934022916E-2</v>
      </c>
      <c r="AA79">
        <f>Return!AA79-'Return Estimasi'!AA79</f>
        <v>-5.7029061386358673E-2</v>
      </c>
      <c r="AB79">
        <f>Return!AB79-'Return Estimasi'!AB79</f>
        <v>8.5064125547233919E-3</v>
      </c>
      <c r="AC79">
        <f>Return!AC79-'Return Estimasi'!AC79</f>
        <v>-8.7683069440445231E-3</v>
      </c>
      <c r="AD79">
        <f>Return!AD79-'Return Estimasi'!AD79</f>
        <v>1.3430234976288135E-2</v>
      </c>
      <c r="AE79">
        <f>Return!AE79-'Return Estimasi'!AE79</f>
        <v>4.3931069208148332E-3</v>
      </c>
      <c r="AF79">
        <f>Return!AF79-'Return Estimasi'!AF79</f>
        <v>-16.425979973831957</v>
      </c>
    </row>
    <row r="80" spans="1:32" x14ac:dyDescent="0.3">
      <c r="A80" s="1">
        <v>45968</v>
      </c>
      <c r="B80">
        <f>('Data Saham'!B80-'Data Saham'!B79)/'Data Saham'!B79</f>
        <v>6.0053930056513374E-3</v>
      </c>
      <c r="C80">
        <f>Return!C80-'Return Estimasi'!C80</f>
        <v>-6.1243991697174397E-4</v>
      </c>
      <c r="D80">
        <f>Return!D80-'Return Estimasi'!D80</f>
        <v>-4.5047731084150531E-3</v>
      </c>
      <c r="E80">
        <f>Return!E80-'Return Estimasi'!E80</f>
        <v>2.5166273806192616E-2</v>
      </c>
      <c r="F80">
        <f>Return!F80-'Return Estimasi'!F80</f>
        <v>1.2054932473003366E-2</v>
      </c>
      <c r="G80">
        <f>Return!G80-'Return Estimasi'!G80</f>
        <v>7.8421177264235593E-3</v>
      </c>
      <c r="H80">
        <f>Return!H80-'Return Estimasi'!H80</f>
        <v>1.9173026520347084E-3</v>
      </c>
      <c r="I80">
        <f>Return!I80-'Return Estimasi'!I80</f>
        <v>-1.2641700100810015E-2</v>
      </c>
      <c r="J80">
        <f>Return!J80-'Return Estimasi'!J80</f>
        <v>1.0604635788275987E-2</v>
      </c>
      <c r="K80">
        <f>Return!K80-'Return Estimasi'!K80</f>
        <v>9.3301850254521989E-3</v>
      </c>
      <c r="L80">
        <f>Return!L80-'Return Estimasi'!L80</f>
        <v>8.4039203007173716E-3</v>
      </c>
      <c r="M80">
        <f>Return!M80-'Return Estimasi'!M80</f>
        <v>-1.0942007494784394E-2</v>
      </c>
      <c r="N80">
        <f>Return!N80-'Return Estimasi'!N80</f>
        <v>-6.2345532148199434E-3</v>
      </c>
      <c r="O80">
        <f>Return!O80-'Return Estimasi'!O80</f>
        <v>-2.7552034734964329E-3</v>
      </c>
      <c r="P80">
        <f>Return!P80-'Return Estimasi'!P80</f>
        <v>-3.4014374940118065E-3</v>
      </c>
      <c r="Q80">
        <f>Return!Q80-'Return Estimasi'!Q80</f>
        <v>-1.2740373713918444E-2</v>
      </c>
      <c r="R80">
        <f>Return!R80-'Return Estimasi'!R80</f>
        <v>5.7125047028195951E-2</v>
      </c>
      <c r="S80">
        <f>Return!S80-'Return Estimasi'!S80</f>
        <v>1.3288679075507688E-2</v>
      </c>
      <c r="T80">
        <f>Return!T80-'Return Estimasi'!T80</f>
        <v>-3.2157095888056542E-2</v>
      </c>
      <c r="U80">
        <f>Return!U80-'Return Estimasi'!U80</f>
        <v>1.1358790226408415E-2</v>
      </c>
      <c r="V80">
        <f>Return!V80-'Return Estimasi'!V80</f>
        <v>3.5271182575020831E-3</v>
      </c>
      <c r="W80">
        <f>Return!W80-'Return Estimasi'!W80</f>
        <v>2.0845382754254953E-2</v>
      </c>
      <c r="X80">
        <f>Return!X80-'Return Estimasi'!X80</f>
        <v>1.5219243674745003E-2</v>
      </c>
      <c r="Y80">
        <f>Return!Y80-'Return Estimasi'!Y80</f>
        <v>1.0032872341737983E-2</v>
      </c>
      <c r="Z80">
        <f>Return!Z80-'Return Estimasi'!Z80</f>
        <v>-3.6255018403342876E-3</v>
      </c>
      <c r="AA80">
        <f>Return!AA80-'Return Estimasi'!AA80</f>
        <v>7.5099905575771279E-3</v>
      </c>
      <c r="AB80">
        <f>Return!AB80-'Return Estimasi'!AB80</f>
        <v>-2.2114642051594788E-2</v>
      </c>
      <c r="AC80">
        <f>Return!AC80-'Return Estimasi'!AC80</f>
        <v>1.6844342580414687E-3</v>
      </c>
      <c r="AD80">
        <f>Return!AD80-'Return Estimasi'!AD80</f>
        <v>-8.2967600632821888E-5</v>
      </c>
      <c r="AE80">
        <f>Return!AE80-'Return Estimasi'!AE80</f>
        <v>1.193544382985154E-2</v>
      </c>
      <c r="AF80">
        <f>Return!AF80-'Return Estimasi'!AF80</f>
        <v>-16.511072446658154</v>
      </c>
    </row>
    <row r="81" spans="1:32" x14ac:dyDescent="0.3">
      <c r="A81" s="4" t="s">
        <v>46</v>
      </c>
      <c r="B81">
        <f>('Data Saham'!B81-'Data Saham'!B80)/'Data Saham'!B80</f>
        <v>7.0536251461523671E-3</v>
      </c>
      <c r="C81">
        <f>Return!C81-'Return Estimasi'!C81</f>
        <v>-1.6014036650076946E-2</v>
      </c>
      <c r="D81">
        <f>Return!D81-'Return Estimasi'!D81</f>
        <v>-3.3892762511685028E-2</v>
      </c>
      <c r="E81">
        <f>Return!E81-'Return Estimasi'!E81</f>
        <v>-6.3317946228677424E-2</v>
      </c>
      <c r="F81">
        <f>Return!F81-'Return Estimasi'!F81</f>
        <v>-3.9357391810446826E-2</v>
      </c>
      <c r="G81">
        <f>Return!G81-'Return Estimasi'!G81</f>
        <v>-2.2624090970124099E-2</v>
      </c>
      <c r="H81">
        <f>Return!H81-'Return Estimasi'!H81</f>
        <v>-7.321327399307305E-3</v>
      </c>
      <c r="I81">
        <f>Return!I81-'Return Estimasi'!I81</f>
        <v>6.1396864503857219E-3</v>
      </c>
      <c r="J81">
        <f>Return!J81-'Return Estimasi'!J81</f>
        <v>1.0154790827962144E-2</v>
      </c>
      <c r="K81">
        <f>Return!K81-'Return Estimasi'!K81</f>
        <v>-3.2025099079479175E-2</v>
      </c>
      <c r="L81">
        <f>Return!L81-'Return Estimasi'!L81</f>
        <v>-4.3001091832432017E-3</v>
      </c>
      <c r="M81">
        <f>Return!M81-'Return Estimasi'!M81</f>
        <v>1.4188670756450569E-3</v>
      </c>
      <c r="N81">
        <f>Return!N81-'Return Estimasi'!N81</f>
        <v>-1.718804626169701E-2</v>
      </c>
      <c r="O81">
        <f>Return!O81-'Return Estimasi'!O81</f>
        <v>-1.2697540179845614E-2</v>
      </c>
      <c r="P81">
        <f>Return!P81-'Return Estimasi'!P81</f>
        <v>1.4025239657686425E-2</v>
      </c>
      <c r="Q81">
        <f>Return!Q81-'Return Estimasi'!Q81</f>
        <v>3.5931361533328848E-3</v>
      </c>
      <c r="R81">
        <f>Return!R81-'Return Estimasi'!R81</f>
        <v>-2.5232945665030079E-2</v>
      </c>
      <c r="S81">
        <f>Return!S81-'Return Estimasi'!S81</f>
        <v>-2.6009691067815303E-2</v>
      </c>
      <c r="T81">
        <f>Return!T81-'Return Estimasi'!T81</f>
        <v>4.3149068752052879E-3</v>
      </c>
      <c r="U81">
        <f>Return!U81-'Return Estimasi'!U81</f>
        <v>-2.9400147159585228E-2</v>
      </c>
      <c r="V81">
        <f>Return!V81-'Return Estimasi'!V81</f>
        <v>1.3683953721507994E-3</v>
      </c>
      <c r="W81">
        <f>Return!W81-'Return Estimasi'!W81</f>
        <v>0.15104006774408729</v>
      </c>
      <c r="X81">
        <f>Return!X81-'Return Estimasi'!X81</f>
        <v>1.8020595634521769E-2</v>
      </c>
      <c r="Y81">
        <f>Return!Y81-'Return Estimasi'!Y81</f>
        <v>-8.3653258561333238E-3</v>
      </c>
      <c r="Z81">
        <f>Return!Z81-'Return Estimasi'!Z81</f>
        <v>-4.20631059219429E-2</v>
      </c>
      <c r="AA81">
        <f>Return!AA81-'Return Estimasi'!AA81</f>
        <v>-1.8885096405304738E-2</v>
      </c>
      <c r="AB81">
        <f>Return!AB81-'Return Estimasi'!AB81</f>
        <v>-6.5517466187519462E-3</v>
      </c>
      <c r="AC81">
        <f>Return!AC81-'Return Estimasi'!AC81</f>
        <v>7.1694286838638183E-4</v>
      </c>
      <c r="AD81">
        <f>Return!AD81-'Return Estimasi'!AD81</f>
        <v>-2.7294358909098072E-2</v>
      </c>
      <c r="AE81">
        <f>Return!AE81-'Return Estimasi'!AE81</f>
        <v>-2.696945930767821E-2</v>
      </c>
      <c r="AF81">
        <f>Return!AF81-'Return Estimasi'!AF81</f>
        <v>-16.527518628331926</v>
      </c>
    </row>
    <row r="82" spans="1:32" x14ac:dyDescent="0.3">
      <c r="A82" s="3" t="s">
        <v>47</v>
      </c>
      <c r="B82">
        <f>('Data Saham'!B82-'Data Saham'!B81)/'Data Saham'!B81</f>
        <v>6.1038585911246937E-3</v>
      </c>
      <c r="C82">
        <f>Return!C82-'Return Estimasi'!C82</f>
        <v>-6.7144593444111141E-4</v>
      </c>
      <c r="D82">
        <f>Return!D82-'Return Estimasi'!D82</f>
        <v>1.9269444585652499E-2</v>
      </c>
      <c r="E82">
        <f>Return!E82-'Return Estimasi'!E82</f>
        <v>-3.9182260346478153E-3</v>
      </c>
      <c r="F82">
        <f>Return!F82-'Return Estimasi'!F82</f>
        <v>-2.5848522634710791E-3</v>
      </c>
      <c r="G82">
        <f>Return!G82-'Return Estimasi'!G82</f>
        <v>-2.5703834597137688E-2</v>
      </c>
      <c r="H82">
        <f>Return!H82-'Return Estimasi'!H82</f>
        <v>-4.5591996011816191E-3</v>
      </c>
      <c r="I82">
        <f>Return!I82-'Return Estimasi'!I82</f>
        <v>-7.2170898808750173E-4</v>
      </c>
      <c r="J82">
        <f>Return!J82-'Return Estimasi'!J82</f>
        <v>-4.6876003690037582E-3</v>
      </c>
      <c r="K82">
        <f>Return!K82-'Return Estimasi'!K82</f>
        <v>-1.2546306545601087E-2</v>
      </c>
      <c r="L82">
        <f>Return!L82-'Return Estimasi'!L82</f>
        <v>-3.9600314372289077E-3</v>
      </c>
      <c r="M82">
        <f>Return!M82-'Return Estimasi'!M82</f>
        <v>-2.0938534261764778E-2</v>
      </c>
      <c r="N82">
        <f>Return!N82-'Return Estimasi'!N82</f>
        <v>2.2335043675635834E-2</v>
      </c>
      <c r="O82">
        <f>Return!O82-'Return Estimasi'!O82</f>
        <v>-1.229940645251444E-2</v>
      </c>
      <c r="P82">
        <f>Return!P82-'Return Estimasi'!P82</f>
        <v>5.0566013585155126E-2</v>
      </c>
      <c r="Q82">
        <f>Return!Q82-'Return Estimasi'!Q82</f>
        <v>6.4778600235286435E-2</v>
      </c>
      <c r="R82">
        <f>Return!R82-'Return Estimasi'!R82</f>
        <v>-2.1964039631351004E-2</v>
      </c>
      <c r="S82">
        <f>Return!S82-'Return Estimasi'!S82</f>
        <v>-5.2961868091694576E-3</v>
      </c>
      <c r="T82">
        <f>Return!T82-'Return Estimasi'!T82</f>
        <v>-2.0231008597198549E-2</v>
      </c>
      <c r="U82">
        <f>Return!U82-'Return Estimasi'!U82</f>
        <v>-1.0580551716931202E-2</v>
      </c>
      <c r="V82">
        <f>Return!V82-'Return Estimasi'!V82</f>
        <v>-4.4648565075245845E-3</v>
      </c>
      <c r="W82">
        <f>Return!W82-'Return Estimasi'!W82</f>
        <v>-4.7157566676554394E-2</v>
      </c>
      <c r="X82">
        <f>Return!X82-'Return Estimasi'!X82</f>
        <v>1.8596805497157434E-2</v>
      </c>
      <c r="Y82">
        <f>Return!Y82-'Return Estimasi'!Y82</f>
        <v>-3.3829062184671119E-2</v>
      </c>
      <c r="Z82">
        <f>Return!Z82-'Return Estimasi'!Z82</f>
        <v>4.5285026921087317E-3</v>
      </c>
      <c r="AA82">
        <f>Return!AA82-'Return Estimasi'!AA82</f>
        <v>1.1438377554325266E-2</v>
      </c>
      <c r="AB82">
        <f>Return!AB82-'Return Estimasi'!AB82</f>
        <v>-5.5516580298002405E-3</v>
      </c>
      <c r="AC82">
        <f>Return!AC82-'Return Estimasi'!AC82</f>
        <v>3.2969595908292113E-2</v>
      </c>
      <c r="AD82">
        <f>Return!AD82-'Return Estimasi'!AD82</f>
        <v>5.8730515421027168E-2</v>
      </c>
      <c r="AE82">
        <f>Return!AE82-'Return Estimasi'!AE82</f>
        <v>1.1951387130164833E-2</v>
      </c>
      <c r="AF82">
        <f>Return!AF82-'Return Estimasi'!AF82</f>
        <v>-16.460175637480688</v>
      </c>
    </row>
    <row r="83" spans="1:32" x14ac:dyDescent="0.3">
      <c r="A83" s="4" t="s">
        <v>48</v>
      </c>
      <c r="B83">
        <f>('Data Saham'!B83-'Data Saham'!B82)/'Data Saham'!B82</f>
        <v>7.2194127277336335E-3</v>
      </c>
      <c r="C83">
        <f>Return!C83-'Return Estimasi'!C83</f>
        <v>-7.4862196277169762E-3</v>
      </c>
      <c r="D83">
        <f>Return!D83-'Return Estimasi'!D83</f>
        <v>-8.2825994088425656E-3</v>
      </c>
      <c r="E83">
        <f>Return!E83-'Return Estimasi'!E83</f>
        <v>-9.2698268419979454E-3</v>
      </c>
      <c r="F83">
        <f>Return!F83-'Return Estimasi'!F83</f>
        <v>1.3748092564532376E-2</v>
      </c>
      <c r="G83">
        <f>Return!G83-'Return Estimasi'!G83</f>
        <v>-4.3335481658952884E-3</v>
      </c>
      <c r="H83">
        <f>Return!H83-'Return Estimasi'!H83</f>
        <v>5.3285738743168356E-3</v>
      </c>
      <c r="I83">
        <f>Return!I83-'Return Estimasi'!I83</f>
        <v>-6.0021919478241963E-3</v>
      </c>
      <c r="J83">
        <f>Return!J83-'Return Estimasi'!J83</f>
        <v>-8.0200519565742749E-3</v>
      </c>
      <c r="K83">
        <f>Return!K83-'Return Estimasi'!K83</f>
        <v>5.6571107157043898E-3</v>
      </c>
      <c r="L83">
        <f>Return!L83-'Return Estimasi'!L83</f>
        <v>1.2101007413718159E-3</v>
      </c>
      <c r="M83">
        <f>Return!M83-'Return Estimasi'!M83</f>
        <v>-1.5453248810288613E-2</v>
      </c>
      <c r="N83">
        <f>Return!N83-'Return Estimasi'!N83</f>
        <v>-1.7244955253245355E-2</v>
      </c>
      <c r="O83">
        <f>Return!O83-'Return Estimasi'!O83</f>
        <v>-1.8334472293411903E-4</v>
      </c>
      <c r="P83">
        <f>Return!P83-'Return Estimasi'!P83</f>
        <v>-1.3016207117121543E-2</v>
      </c>
      <c r="Q83">
        <f>Return!Q83-'Return Estimasi'!Q83</f>
        <v>2.244490507492589E-2</v>
      </c>
      <c r="R83">
        <f>Return!R83-'Return Estimasi'!R83</f>
        <v>-1.6458338369061371E-2</v>
      </c>
      <c r="S83">
        <f>Return!S83-'Return Estimasi'!S83</f>
        <v>-1.4206120186010094E-2</v>
      </c>
      <c r="T83">
        <f>Return!T83-'Return Estimasi'!T83</f>
        <v>2.332786276878919E-2</v>
      </c>
      <c r="U83">
        <f>Return!U83-'Return Estimasi'!U83</f>
        <v>1.7487796485459409E-2</v>
      </c>
      <c r="V83">
        <f>Return!V83-'Return Estimasi'!V83</f>
        <v>-7.7024823178140425E-3</v>
      </c>
      <c r="W83">
        <f>Return!W83-'Return Estimasi'!W83</f>
        <v>-2.579342964564011E-2</v>
      </c>
      <c r="X83">
        <f>Return!X83-'Return Estimasi'!X83</f>
        <v>-1.9292876626902104E-2</v>
      </c>
      <c r="Y83">
        <f>Return!Y83-'Return Estimasi'!Y83</f>
        <v>-3.5681017241606786E-2</v>
      </c>
      <c r="Z83">
        <f>Return!Z83-'Return Estimasi'!Z83</f>
        <v>-4.8642746496641714E-4</v>
      </c>
      <c r="AA83">
        <f>Return!AA83-'Return Estimasi'!AA83</f>
        <v>-3.5369252952025518E-2</v>
      </c>
      <c r="AB83">
        <f>Return!AB83-'Return Estimasi'!AB83</f>
        <v>-6.7263182202172067E-3</v>
      </c>
      <c r="AC83">
        <f>Return!AC83-'Return Estimasi'!AC83</f>
        <v>-1.4938298475515074E-2</v>
      </c>
      <c r="AD83">
        <f>Return!AD83-'Return Estimasi'!AD83</f>
        <v>-6.5110310391104575E-3</v>
      </c>
      <c r="AE83">
        <f>Return!AE83-'Return Estimasi'!AE83</f>
        <v>-1.0909110511404151E-2</v>
      </c>
      <c r="AF83">
        <f>Return!AF83-'Return Estimasi'!AF83</f>
        <v>-16.47183692216235</v>
      </c>
    </row>
    <row r="84" spans="1:32" x14ac:dyDescent="0.3">
      <c r="A84" s="3" t="s">
        <v>49</v>
      </c>
      <c r="B84">
        <f>('Data Saham'!B84-'Data Saham'!B83)/'Data Saham'!B83</f>
        <v>1.3209084513113143E-2</v>
      </c>
      <c r="C84">
        <f>Return!C84-'Return Estimasi'!C84</f>
        <v>-9.7072892672774753E-3</v>
      </c>
      <c r="D84">
        <f>Return!D84-'Return Estimasi'!D84</f>
        <v>-1.1595424269241495E-2</v>
      </c>
      <c r="E84">
        <f>Return!E84-'Return Estimasi'!E84</f>
        <v>-6.6074141087953016E-3</v>
      </c>
      <c r="F84">
        <f>Return!F84-'Return Estimasi'!F84</f>
        <v>-1.5920966714817662E-2</v>
      </c>
      <c r="G84">
        <f>Return!G84-'Return Estimasi'!G84</f>
        <v>3.1765763830787976E-2</v>
      </c>
      <c r="H84">
        <f>Return!H84-'Return Estimasi'!H84</f>
        <v>-9.1841287022178739E-4</v>
      </c>
      <c r="I84">
        <f>Return!I84-'Return Estimasi'!I84</f>
        <v>-3.7330235324368635E-3</v>
      </c>
      <c r="J84">
        <f>Return!J84-'Return Estimasi'!J84</f>
        <v>-9.7769538053756964E-3</v>
      </c>
      <c r="K84">
        <f>Return!K84-'Return Estimasi'!K84</f>
        <v>-1.9190221711024934E-2</v>
      </c>
      <c r="L84">
        <f>Return!L84-'Return Estimasi'!L84</f>
        <v>-5.426362213679121E-3</v>
      </c>
      <c r="M84">
        <f>Return!M84-'Return Estimasi'!M84</f>
        <v>-1.1242457695901962E-2</v>
      </c>
      <c r="N84">
        <f>Return!N84-'Return Estimasi'!N84</f>
        <v>2.1188830766318494E-2</v>
      </c>
      <c r="O84">
        <f>Return!O84-'Return Estimasi'!O84</f>
        <v>-3.2673919851060789E-3</v>
      </c>
      <c r="P84">
        <f>Return!P84-'Return Estimasi'!P84</f>
        <v>7.5041127881889397E-3</v>
      </c>
      <c r="Q84">
        <f>Return!Q84-'Return Estimasi'!Q84</f>
        <v>2.2857120791010842E-2</v>
      </c>
      <c r="R84">
        <f>Return!R84-'Return Estimasi'!R84</f>
        <v>-1.0204737794827255E-2</v>
      </c>
      <c r="S84">
        <f>Return!S84-'Return Estimasi'!S84</f>
        <v>4.6367947382389432E-2</v>
      </c>
      <c r="T84">
        <f>Return!T84-'Return Estimasi'!T84</f>
        <v>3.4543116581116591E-2</v>
      </c>
      <c r="U84">
        <f>Return!U84-'Return Estimasi'!U84</f>
        <v>-5.0430397212314453E-2</v>
      </c>
      <c r="V84">
        <f>Return!V84-'Return Estimasi'!V84</f>
        <v>-1.0987025321596936E-2</v>
      </c>
      <c r="W84">
        <f>Return!W84-'Return Estimasi'!W84</f>
        <v>5.7269341821685429E-2</v>
      </c>
      <c r="X84">
        <f>Return!X84-'Return Estimasi'!X84</f>
        <v>-1.3622160926050699E-2</v>
      </c>
      <c r="Y84">
        <f>Return!Y84-'Return Estimasi'!Y84</f>
        <v>4.2244838865311697E-2</v>
      </c>
      <c r="Z84">
        <f>Return!Z84-'Return Estimasi'!Z84</f>
        <v>-9.2184085590664641E-3</v>
      </c>
      <c r="AA84">
        <f>Return!AA84-'Return Estimasi'!AA84</f>
        <v>-2.1944476153596747E-2</v>
      </c>
      <c r="AB84">
        <f>Return!AB84-'Return Estimasi'!AB84</f>
        <v>3.9158082720022226E-3</v>
      </c>
      <c r="AC84">
        <f>Return!AC84-'Return Estimasi'!AC84</f>
        <v>1.0372707065329164E-2</v>
      </c>
      <c r="AD84">
        <f>Return!AD84-'Return Estimasi'!AD84</f>
        <v>-2.7333762551354192E-2</v>
      </c>
      <c r="AE84">
        <f>Return!AE84-'Return Estimasi'!AE84</f>
        <v>8.8472049909774954E-4</v>
      </c>
      <c r="AF84">
        <f>Return!AF84-'Return Estimasi'!AF84</f>
        <v>-16.313608974293441</v>
      </c>
    </row>
    <row r="85" spans="1:32" x14ac:dyDescent="0.3">
      <c r="A85" s="4" t="s">
        <v>50</v>
      </c>
      <c r="B85">
        <f>('Data Saham'!B85-'Data Saham'!B84)/'Data Saham'!B84</f>
        <v>3.4170346726096036E-3</v>
      </c>
      <c r="C85">
        <f>Return!C85-'Return Estimasi'!C85</f>
        <v>-1.3026257487335699E-2</v>
      </c>
      <c r="D85">
        <f>Return!D85-'Return Estimasi'!D85</f>
        <v>-1.2255485803032613E-2</v>
      </c>
      <c r="E85">
        <f>Return!E85-'Return Estimasi'!E85</f>
        <v>8.1634547106850756E-4</v>
      </c>
      <c r="F85">
        <f>Return!F85-'Return Estimasi'!F85</f>
        <v>-3.5122242524471617E-4</v>
      </c>
      <c r="G85">
        <f>Return!G85-'Return Estimasi'!G85</f>
        <v>-4.6960342062982736E-3</v>
      </c>
      <c r="H85">
        <f>Return!H85-'Return Estimasi'!H85</f>
        <v>-1.1102284354623394E-2</v>
      </c>
      <c r="I85">
        <f>Return!I85-'Return Estimasi'!I85</f>
        <v>5.2479301645288676E-3</v>
      </c>
      <c r="J85">
        <f>Return!J85-'Return Estimasi'!J85</f>
        <v>-9.2176298134537976E-4</v>
      </c>
      <c r="K85">
        <f>Return!K85-'Return Estimasi'!K85</f>
        <v>-1.8053420343536191E-3</v>
      </c>
      <c r="L85">
        <f>Return!L85-'Return Estimasi'!L85</f>
        <v>2.5839548668073328E-3</v>
      </c>
      <c r="M85">
        <f>Return!M85-'Return Estimasi'!M85</f>
        <v>-2.1719677967279021E-2</v>
      </c>
      <c r="N85">
        <f>Return!N85-'Return Estimasi'!N85</f>
        <v>9.2429786300970873E-2</v>
      </c>
      <c r="O85">
        <f>Return!O85-'Return Estimasi'!O85</f>
        <v>3.6668368406828494E-2</v>
      </c>
      <c r="P85">
        <f>Return!P85-'Return Estimasi'!P85</f>
        <v>-2.6548639634442855E-2</v>
      </c>
      <c r="Q85">
        <f>Return!Q85-'Return Estimasi'!Q85</f>
        <v>-2.062120560879423E-2</v>
      </c>
      <c r="R85">
        <f>Return!R85-'Return Estimasi'!R85</f>
        <v>2.162161704638042E-3</v>
      </c>
      <c r="S85">
        <f>Return!S85-'Return Estimasi'!S85</f>
        <v>-1.6689483012783637E-2</v>
      </c>
      <c r="T85">
        <f>Return!T85-'Return Estimasi'!T85</f>
        <v>-8.9876050984662153E-3</v>
      </c>
      <c r="U85">
        <f>Return!U85-'Return Estimasi'!U85</f>
        <v>-4.4727704916938109E-2</v>
      </c>
      <c r="V85">
        <f>Return!V85-'Return Estimasi'!V85</f>
        <v>-8.6369073810863718E-3</v>
      </c>
      <c r="W85">
        <f>Return!W85-'Return Estimasi'!W85</f>
        <v>2.7971781973929383E-2</v>
      </c>
      <c r="X85">
        <f>Return!X85-'Return Estimasi'!X85</f>
        <v>-1.9702533335035799E-2</v>
      </c>
      <c r="Y85">
        <f>Return!Y85-'Return Estimasi'!Y85</f>
        <v>-5.547135174295538E-3</v>
      </c>
      <c r="Z85">
        <f>Return!Z85-'Return Estimasi'!Z85</f>
        <v>-5.6809552261611832E-3</v>
      </c>
      <c r="AA85">
        <f>Return!AA85-'Return Estimasi'!AA85</f>
        <v>-5.2771874001427382E-2</v>
      </c>
      <c r="AB85">
        <f>Return!AB85-'Return Estimasi'!AB85</f>
        <v>-3.6055809889849168E-2</v>
      </c>
      <c r="AC85">
        <f>Return!AC85-'Return Estimasi'!AC85</f>
        <v>5.5618136721507103E-2</v>
      </c>
      <c r="AD85">
        <f>Return!AD85-'Return Estimasi'!AD85</f>
        <v>-1.3066562985754333E-2</v>
      </c>
      <c r="AE85">
        <f>Return!AE85-'Return Estimasi'!AE85</f>
        <v>-2.4194865984792771E-2</v>
      </c>
      <c r="AF85">
        <f>Return!AF85-'Return Estimasi'!AF85</f>
        <v>-16.583846953785581</v>
      </c>
    </row>
    <row r="86" spans="1:32" x14ac:dyDescent="0.3">
      <c r="A86" s="3" t="s">
        <v>51</v>
      </c>
      <c r="B86">
        <f>('Data Saham'!B86-'Data Saham'!B85)/'Data Saham'!B85</f>
        <v>1.1798542653639471E-2</v>
      </c>
      <c r="C86">
        <f>Return!C86-'Return Estimasi'!C86</f>
        <v>-5.5282940268343312E-3</v>
      </c>
      <c r="D86">
        <f>Return!D86-'Return Estimasi'!D86</f>
        <v>-2.0557660981262028E-2</v>
      </c>
      <c r="E86">
        <f>Return!E86-'Return Estimasi'!E86</f>
        <v>-2.42817935177903E-2</v>
      </c>
      <c r="F86">
        <f>Return!F86-'Return Estimasi'!F86</f>
        <v>-2.2019520151728721E-2</v>
      </c>
      <c r="G86">
        <f>Return!G86-'Return Estimasi'!G86</f>
        <v>-1.4162358972505482E-3</v>
      </c>
      <c r="H86">
        <f>Return!H86-'Return Estimasi'!H86</f>
        <v>-6.2852156084707272E-3</v>
      </c>
      <c r="I86">
        <f>Return!I86-'Return Estimasi'!I86</f>
        <v>6.4801725056221129E-3</v>
      </c>
      <c r="J86">
        <f>Return!J86-'Return Estimasi'!J86</f>
        <v>5.7890799507004497E-3</v>
      </c>
      <c r="K86">
        <f>Return!K86-'Return Estimasi'!K86</f>
        <v>1.4820346799786853E-2</v>
      </c>
      <c r="L86">
        <f>Return!L86-'Return Estimasi'!L86</f>
        <v>-2.6917218063675979E-3</v>
      </c>
      <c r="M86">
        <f>Return!M86-'Return Estimasi'!M86</f>
        <v>5.7511237618973081E-2</v>
      </c>
      <c r="N86">
        <f>Return!N86-'Return Estimasi'!N86</f>
        <v>-1.9885853397172935E-3</v>
      </c>
      <c r="O86">
        <f>Return!O86-'Return Estimasi'!O86</f>
        <v>-8.7863256363717498E-3</v>
      </c>
      <c r="P86">
        <f>Return!P86-'Return Estimasi'!P86</f>
        <v>0.1393294277048755</v>
      </c>
      <c r="Q86">
        <f>Return!Q86-'Return Estimasi'!Q86</f>
        <v>-2.2157893006241002E-2</v>
      </c>
      <c r="R86">
        <f>Return!R86-'Return Estimasi'!R86</f>
        <v>-9.3788458151982008E-3</v>
      </c>
      <c r="S86">
        <f>Return!S86-'Return Estimasi'!S86</f>
        <v>-6.3238103879320511E-3</v>
      </c>
      <c r="T86">
        <f>Return!T86-'Return Estimasi'!T86</f>
        <v>1.5948911300585102E-2</v>
      </c>
      <c r="U86">
        <f>Return!U86-'Return Estimasi'!U86</f>
        <v>-5.178061963585677E-2</v>
      </c>
      <c r="V86">
        <f>Return!V86-'Return Estimasi'!V86</f>
        <v>1.0334941303745624E-2</v>
      </c>
      <c r="W86">
        <f>Return!W86-'Return Estimasi'!W86</f>
        <v>3.2891127051423212E-2</v>
      </c>
      <c r="X86">
        <f>Return!X86-'Return Estimasi'!X86</f>
        <v>1.2982345262035875E-2</v>
      </c>
      <c r="Y86">
        <f>Return!Y86-'Return Estimasi'!Y86</f>
        <v>-1.6683887525821655E-2</v>
      </c>
      <c r="Z86">
        <f>Return!Z86-'Return Estimasi'!Z86</f>
        <v>-2.4449802180126833E-2</v>
      </c>
      <c r="AA86">
        <f>Return!AA86-'Return Estimasi'!AA86</f>
        <v>-7.2533151360280636E-3</v>
      </c>
      <c r="AB86">
        <f>Return!AB86-'Return Estimasi'!AB86</f>
        <v>-2.8789446161300317E-2</v>
      </c>
      <c r="AC86">
        <f>Return!AC86-'Return Estimasi'!AC86</f>
        <v>-1.1311599707907776E-2</v>
      </c>
      <c r="AD86">
        <f>Return!AD86-'Return Estimasi'!AD86</f>
        <v>-5.9563010192706552E-4</v>
      </c>
      <c r="AE86">
        <f>Return!AE86-'Return Estimasi'!AE86</f>
        <v>-1.4492908254406562E-2</v>
      </c>
      <c r="AF86">
        <f>Return!AF86-'Return Estimasi'!AF86</f>
        <v>-16.389008075811624</v>
      </c>
    </row>
    <row r="87" spans="1:32" x14ac:dyDescent="0.3">
      <c r="A87" s="4" t="s">
        <v>52</v>
      </c>
      <c r="B87">
        <f>('Data Saham'!B87-'Data Saham'!B86)/'Data Saham'!B86</f>
        <v>-7.2247401053500684E-3</v>
      </c>
      <c r="C87">
        <f>Return!C87-'Return Estimasi'!C87</f>
        <v>1.9279272009382802E-3</v>
      </c>
      <c r="D87">
        <f>Return!D87-'Return Estimasi'!D87</f>
        <v>8.5325083219244986E-3</v>
      </c>
      <c r="E87">
        <f>Return!E87-'Return Estimasi'!E87</f>
        <v>2.7202024075346906E-3</v>
      </c>
      <c r="F87">
        <f>Return!F87-'Return Estimasi'!F87</f>
        <v>1.3154539273227562E-3</v>
      </c>
      <c r="G87">
        <f>Return!G87-'Return Estimasi'!G87</f>
        <v>2.2747808767518005E-2</v>
      </c>
      <c r="H87">
        <f>Return!H87-'Return Estimasi'!H87</f>
        <v>-1.0297844803419526E-2</v>
      </c>
      <c r="I87">
        <f>Return!I87-'Return Estimasi'!I87</f>
        <v>-9.3585384176172459E-3</v>
      </c>
      <c r="J87">
        <f>Return!J87-'Return Estimasi'!J87</f>
        <v>-6.9009181746586502E-3</v>
      </c>
      <c r="K87">
        <f>Return!K87-'Return Estimasi'!K87</f>
        <v>4.7920490621595729E-2</v>
      </c>
      <c r="L87">
        <f>Return!L87-'Return Estimasi'!L87</f>
        <v>1.4195569256765605E-2</v>
      </c>
      <c r="M87">
        <f>Return!M87-'Return Estimasi'!M87</f>
        <v>-7.0205726054926768E-2</v>
      </c>
      <c r="N87">
        <f>Return!N87-'Return Estimasi'!N87</f>
        <v>-3.2518252284567895E-2</v>
      </c>
      <c r="O87">
        <f>Return!O87-'Return Estimasi'!O87</f>
        <v>-1.130298233561065E-2</v>
      </c>
      <c r="P87">
        <f>Return!P87-'Return Estimasi'!P87</f>
        <v>-6.9167156795123062E-3</v>
      </c>
      <c r="Q87">
        <f>Return!Q87-'Return Estimasi'!Q87</f>
        <v>-9.6485014131528647E-3</v>
      </c>
      <c r="R87">
        <f>Return!R87-'Return Estimasi'!R87</f>
        <v>-2.4829521741423131E-2</v>
      </c>
      <c r="S87">
        <f>Return!S87-'Return Estimasi'!S87</f>
        <v>2.0050169412870328E-3</v>
      </c>
      <c r="T87">
        <f>Return!T87-'Return Estimasi'!T87</f>
        <v>-5.7094294158270258E-3</v>
      </c>
      <c r="U87">
        <f>Return!U87-'Return Estimasi'!U87</f>
        <v>-2.4455287443135257E-2</v>
      </c>
      <c r="V87">
        <f>Return!V87-'Return Estimasi'!V87</f>
        <v>1.1019871886859711E-2</v>
      </c>
      <c r="W87">
        <f>Return!W87-'Return Estimasi'!W87</f>
        <v>-6.8028549531501364E-2</v>
      </c>
      <c r="X87">
        <f>Return!X87-'Return Estimasi'!X87</f>
        <v>1.6288478615011405E-2</v>
      </c>
      <c r="Y87">
        <f>Return!Y87-'Return Estimasi'!Y87</f>
        <v>-1.6188922940197099E-3</v>
      </c>
      <c r="Z87">
        <f>Return!Z87-'Return Estimasi'!Z87</f>
        <v>-1.4100586761493212E-2</v>
      </c>
      <c r="AA87">
        <f>Return!AA87-'Return Estimasi'!AA87</f>
        <v>-2.0301831384370129E-2</v>
      </c>
      <c r="AB87">
        <f>Return!AB87-'Return Estimasi'!AB87</f>
        <v>2.602699721461766E-2</v>
      </c>
      <c r="AC87">
        <f>Return!AC87-'Return Estimasi'!AC87</f>
        <v>-8.9903564100549324E-3</v>
      </c>
      <c r="AD87">
        <f>Return!AD87-'Return Estimasi'!AD87</f>
        <v>-2.8553100640774732E-3</v>
      </c>
      <c r="AE87">
        <f>Return!AE87-'Return Estimasi'!AE87</f>
        <v>-2.2231714383478839E-2</v>
      </c>
      <c r="AF87">
        <f>Return!AF87-'Return Estimasi'!AF87</f>
        <v>-16.883052015364907</v>
      </c>
    </row>
    <row r="88" spans="1:32" x14ac:dyDescent="0.3">
      <c r="A88" s="3" t="s">
        <v>53</v>
      </c>
      <c r="B88">
        <f>('Data Saham'!B88-'Data Saham'!B87)/'Data Saham'!B87</f>
        <v>1.6949544844337552E-2</v>
      </c>
      <c r="C88">
        <f>Return!C88-'Return Estimasi'!C88</f>
        <v>-9.9441031228085994E-3</v>
      </c>
      <c r="D88">
        <f>Return!D88-'Return Estimasi'!D88</f>
        <v>-2.8267717523063826E-2</v>
      </c>
      <c r="E88">
        <f>Return!E88-'Return Estimasi'!E88</f>
        <v>-1.237278547901759E-2</v>
      </c>
      <c r="F88">
        <f>Return!F88-'Return Estimasi'!F88</f>
        <v>-1.9009086897010183E-3</v>
      </c>
      <c r="G88">
        <f>Return!G88-'Return Estimasi'!G88</f>
        <v>-1.6886868869598851E-2</v>
      </c>
      <c r="H88">
        <f>Return!H88-'Return Estimasi'!H88</f>
        <v>4.3581121489983332E-2</v>
      </c>
      <c r="I88">
        <f>Return!I88-'Return Estimasi'!I88</f>
        <v>4.343542061451499E-3</v>
      </c>
      <c r="J88">
        <f>Return!J88-'Return Estimasi'!J88</f>
        <v>1.0388414365284374E-2</v>
      </c>
      <c r="K88">
        <f>Return!K88-'Return Estimasi'!K88</f>
        <v>1.071325823284203E-2</v>
      </c>
      <c r="L88">
        <f>Return!L88-'Return Estimasi'!L88</f>
        <v>-1.9037699553409171E-4</v>
      </c>
      <c r="M88">
        <f>Return!M88-'Return Estimasi'!M88</f>
        <v>5.4664080102093983E-3</v>
      </c>
      <c r="N88">
        <f>Return!N88-'Return Estimasi'!N88</f>
        <v>2.1102512240447582E-2</v>
      </c>
      <c r="O88">
        <f>Return!O88-'Return Estimasi'!O88</f>
        <v>-5.2564278810838163E-3</v>
      </c>
      <c r="P88">
        <f>Return!P88-'Return Estimasi'!P88</f>
        <v>2.5434442395648647E-2</v>
      </c>
      <c r="Q88">
        <f>Return!Q88-'Return Estimasi'!Q88</f>
        <v>-1.6140164223018498E-2</v>
      </c>
      <c r="R88">
        <f>Return!R88-'Return Estimasi'!R88</f>
        <v>1.488903140341454E-2</v>
      </c>
      <c r="S88">
        <f>Return!S88-'Return Estimasi'!S88</f>
        <v>8.0804237192035402E-3</v>
      </c>
      <c r="T88">
        <f>Return!T88-'Return Estimasi'!T88</f>
        <v>-3.1332352687927431E-2</v>
      </c>
      <c r="U88">
        <f>Return!U88-'Return Estimasi'!U88</f>
        <v>6.0817323221689333E-3</v>
      </c>
      <c r="V88">
        <f>Return!V88-'Return Estimasi'!V88</f>
        <v>2.56867885465475E-2</v>
      </c>
      <c r="W88">
        <f>Return!W88-'Return Estimasi'!W88</f>
        <v>-2.9860564378477852E-2</v>
      </c>
      <c r="X88">
        <f>Return!X88-'Return Estimasi'!X88</f>
        <v>1.9291387759077808E-2</v>
      </c>
      <c r="Y88">
        <f>Return!Y88-'Return Estimasi'!Y88</f>
        <v>6.2037599960759939E-3</v>
      </c>
      <c r="Z88">
        <f>Return!Z88-'Return Estimasi'!Z88</f>
        <v>-7.8851933832864915E-3</v>
      </c>
      <c r="AA88">
        <f>Return!AA88-'Return Estimasi'!AA88</f>
        <v>1.8449014658083178E-2</v>
      </c>
      <c r="AB88">
        <f>Return!AB88-'Return Estimasi'!AB88</f>
        <v>1.7510771033304055E-2</v>
      </c>
      <c r="AC88">
        <f>Return!AC88-'Return Estimasi'!AC88</f>
        <v>-1.5753843300276182E-2</v>
      </c>
      <c r="AD88">
        <f>Return!AD88-'Return Estimasi'!AD88</f>
        <v>4.7710341389319427E-3</v>
      </c>
      <c r="AE88">
        <f>Return!AE88-'Return Estimasi'!AE88</f>
        <v>1.5673344873852753E-2</v>
      </c>
      <c r="AF88">
        <f>Return!AF88-'Return Estimasi'!AF88</f>
        <v>-16.198046576507625</v>
      </c>
    </row>
    <row r="89" spans="1:32" x14ac:dyDescent="0.3">
      <c r="A89" s="4" t="s">
        <v>54</v>
      </c>
      <c r="B89">
        <f>('Data Saham'!B89-'Data Saham'!B88)/'Data Saham'!B88</f>
        <v>8.2565405001586607E-3</v>
      </c>
      <c r="C89">
        <f>Return!C89-'Return Estimasi'!C89</f>
        <v>3.4489555419342632E-3</v>
      </c>
      <c r="D89">
        <f>Return!D89-'Return Estimasi'!D89</f>
        <v>3.0171190455293005E-2</v>
      </c>
      <c r="E89">
        <f>Return!E89-'Return Estimasi'!E89</f>
        <v>1.7483865827447636E-2</v>
      </c>
      <c r="F89">
        <f>Return!F89-'Return Estimasi'!F89</f>
        <v>2.2384833277068378E-2</v>
      </c>
      <c r="G89">
        <f>Return!G89-'Return Estimasi'!G89</f>
        <v>-1.2564501022514845E-2</v>
      </c>
      <c r="H89">
        <f>Return!H89-'Return Estimasi'!H89</f>
        <v>1.4194535628957649E-2</v>
      </c>
      <c r="I89">
        <f>Return!I89-'Return Estimasi'!I89</f>
        <v>-1.1203429867147566E-2</v>
      </c>
      <c r="J89">
        <f>Return!J89-'Return Estimasi'!J89</f>
        <v>-2.3119745064101409E-3</v>
      </c>
      <c r="K89">
        <f>Return!K89-'Return Estimasi'!K89</f>
        <v>-3.1370533623900562E-2</v>
      </c>
      <c r="L89">
        <f>Return!L89-'Return Estimasi'!L89</f>
        <v>5.1187110271743008E-3</v>
      </c>
      <c r="M89">
        <f>Return!M89-'Return Estimasi'!M89</f>
        <v>-1.6415666950109119E-2</v>
      </c>
      <c r="N89">
        <f>Return!N89-'Return Estimasi'!N89</f>
        <v>-1.7598547649399957E-2</v>
      </c>
      <c r="O89">
        <f>Return!O89-'Return Estimasi'!O89</f>
        <v>5.406288004325072E-3</v>
      </c>
      <c r="P89">
        <f>Return!P89-'Return Estimasi'!P89</f>
        <v>-2.7603600921039841E-2</v>
      </c>
      <c r="Q89">
        <f>Return!Q89-'Return Estimasi'!Q89</f>
        <v>8.413541452489022E-4</v>
      </c>
      <c r="R89">
        <f>Return!R89-'Return Estimasi'!R89</f>
        <v>6.0397490609011822E-3</v>
      </c>
      <c r="S89">
        <f>Return!S89-'Return Estimasi'!S89</f>
        <v>-1.932226666429784E-2</v>
      </c>
      <c r="T89">
        <f>Return!T89-'Return Estimasi'!T89</f>
        <v>-1.4818337002495123E-2</v>
      </c>
      <c r="U89">
        <f>Return!U89-'Return Estimasi'!U89</f>
        <v>2.8561391108701747E-3</v>
      </c>
      <c r="V89">
        <f>Return!V89-'Return Estimasi'!V89</f>
        <v>1.8266916361951383E-3</v>
      </c>
      <c r="W89">
        <f>Return!W89-'Return Estimasi'!W89</f>
        <v>-1.3384476390858858E-2</v>
      </c>
      <c r="X89">
        <f>Return!X89-'Return Estimasi'!X89</f>
        <v>-2.0138103704461764E-2</v>
      </c>
      <c r="Y89">
        <f>Return!Y89-'Return Estimasi'!Y89</f>
        <v>-3.164182510548208E-2</v>
      </c>
      <c r="Z89">
        <f>Return!Z89-'Return Estimasi'!Z89</f>
        <v>-1.1538711700085818E-3</v>
      </c>
      <c r="AA89">
        <f>Return!AA89-'Return Estimasi'!AA89</f>
        <v>-2.0642882171208812E-2</v>
      </c>
      <c r="AB89">
        <f>Return!AB89-'Return Estimasi'!AB89</f>
        <v>-2.4485063403437819E-2</v>
      </c>
      <c r="AC89">
        <f>Return!AC89-'Return Estimasi'!AC89</f>
        <v>-8.2569637772787405E-3</v>
      </c>
      <c r="AD89">
        <f>Return!AD89-'Return Estimasi'!AD89</f>
        <v>-7.5062009442527031E-3</v>
      </c>
      <c r="AE89">
        <f>Return!AE89-'Return Estimasi'!AE89</f>
        <v>-7.1006512902787536E-4</v>
      </c>
      <c r="AF89">
        <f>Return!AF89-'Return Estimasi'!AF89</f>
        <v>-16.458360999262343</v>
      </c>
    </row>
    <row r="90" spans="1:32" x14ac:dyDescent="0.3">
      <c r="A90" s="3" t="s">
        <v>55</v>
      </c>
      <c r="B90">
        <f>('Data Saham'!B90-'Data Saham'!B89)/'Data Saham'!B89</f>
        <v>1.6731067999841141E-3</v>
      </c>
      <c r="C90">
        <f>Return!C90-'Return Estimasi'!C90</f>
        <v>-5.6803949285090102E-3</v>
      </c>
      <c r="D90">
        <f>Return!D90-'Return Estimasi'!D90</f>
        <v>-2.0549972620260561E-2</v>
      </c>
      <c r="E90">
        <f>Return!E90-'Return Estimasi'!E90</f>
        <v>-2.4630901788858711E-2</v>
      </c>
      <c r="F90">
        <f>Return!F90-'Return Estimasi'!F90</f>
        <v>-3.2112861927784481E-2</v>
      </c>
      <c r="G90">
        <f>Return!G90-'Return Estimasi'!G90</f>
        <v>-1.0167260911992446E-2</v>
      </c>
      <c r="H90">
        <f>Return!H90-'Return Estimasi'!H90</f>
        <v>-1.1479261024053245E-2</v>
      </c>
      <c r="I90">
        <f>Return!I90-'Return Estimasi'!I90</f>
        <v>2.0479789823864777E-2</v>
      </c>
      <c r="J90">
        <f>Return!J90-'Return Estimasi'!J90</f>
        <v>5.5672271259319108E-3</v>
      </c>
      <c r="K90">
        <f>Return!K90-'Return Estimasi'!K90</f>
        <v>-3.3275663122020641E-2</v>
      </c>
      <c r="L90">
        <f>Return!L90-'Return Estimasi'!L90</f>
        <v>-6.6167824191438358E-3</v>
      </c>
      <c r="M90">
        <f>Return!M90-'Return Estimasi'!M90</f>
        <v>-2.6540567921376206E-2</v>
      </c>
      <c r="N90">
        <f>Return!N90-'Return Estimasi'!N90</f>
        <v>-2.0800359448833787E-2</v>
      </c>
      <c r="O90">
        <f>Return!O90-'Return Estimasi'!O90</f>
        <v>-1.2839586102543637E-2</v>
      </c>
      <c r="P90">
        <f>Return!P90-'Return Estimasi'!P90</f>
        <v>4.0891788720662106E-4</v>
      </c>
      <c r="Q90">
        <f>Return!Q90-'Return Estimasi'!Q90</f>
        <v>-2.6773840497454841E-2</v>
      </c>
      <c r="R90">
        <f>Return!R90-'Return Estimasi'!R90</f>
        <v>-1.6695294670875056E-2</v>
      </c>
      <c r="S90">
        <f>Return!S90-'Return Estimasi'!S90</f>
        <v>7.2654282909357555E-3</v>
      </c>
      <c r="T90">
        <f>Return!T90-'Return Estimasi'!T90</f>
        <v>-2.926409471753098E-2</v>
      </c>
      <c r="U90">
        <f>Return!U90-'Return Estimasi'!U90</f>
        <v>-1.4076142706860905E-2</v>
      </c>
      <c r="V90">
        <f>Return!V90-'Return Estimasi'!V90</f>
        <v>-1.6984989496202481E-2</v>
      </c>
      <c r="W90">
        <f>Return!W90-'Return Estimasi'!W90</f>
        <v>0.11170109153480134</v>
      </c>
      <c r="X90">
        <f>Return!X90-'Return Estimasi'!X90</f>
        <v>2.7253366047645519E-3</v>
      </c>
      <c r="Y90">
        <f>Return!Y90-'Return Estimasi'!Y90</f>
        <v>4.8322203540619203E-3</v>
      </c>
      <c r="Z90">
        <f>Return!Z90-'Return Estimasi'!Z90</f>
        <v>-4.4636191781588092E-3</v>
      </c>
      <c r="AA90">
        <f>Return!AA90-'Return Estimasi'!AA90</f>
        <v>8.7695885393858815E-3</v>
      </c>
      <c r="AB90">
        <f>Return!AB90-'Return Estimasi'!AB90</f>
        <v>-1.7835301681235271E-2</v>
      </c>
      <c r="AC90">
        <f>Return!AC90-'Return Estimasi'!AC90</f>
        <v>4.5634712596812196E-3</v>
      </c>
      <c r="AD90">
        <f>Return!AD90-'Return Estimasi'!AD90</f>
        <v>1.9012914667905674E-2</v>
      </c>
      <c r="AE90">
        <f>Return!AE90-'Return Estimasi'!AE90</f>
        <v>-6.7675493185438045E-3</v>
      </c>
      <c r="AF90">
        <f>Return!AF90-'Return Estimasi'!AF90</f>
        <v>-16.627531787350044</v>
      </c>
    </row>
    <row r="91" spans="1:32" x14ac:dyDescent="0.3">
      <c r="A91" s="4" t="s">
        <v>56</v>
      </c>
      <c r="B91">
        <f>('Data Saham'!B91-'Data Saham'!B90)/'Data Saham'!B90</f>
        <v>9.447869026314103E-3</v>
      </c>
      <c r="C91">
        <f>Return!C91-'Return Estimasi'!C91</f>
        <v>-5.5929677710860656E-4</v>
      </c>
      <c r="D91">
        <f>Return!D91-'Return Estimasi'!D91</f>
        <v>4.9898909461136825E-3</v>
      </c>
      <c r="E91">
        <f>Return!E91-'Return Estimasi'!E91</f>
        <v>-7.1908658731203914E-3</v>
      </c>
      <c r="F91">
        <f>Return!F91-'Return Estimasi'!F91</f>
        <v>2.1447317580900196E-2</v>
      </c>
      <c r="G91">
        <f>Return!G91-'Return Estimasi'!G91</f>
        <v>4.0554533521161215E-3</v>
      </c>
      <c r="H91">
        <f>Return!H91-'Return Estimasi'!H91</f>
        <v>1.3191011408269742E-2</v>
      </c>
      <c r="I91">
        <f>Return!I91-'Return Estimasi'!I91</f>
        <v>-3.2944644196446819E-2</v>
      </c>
      <c r="J91">
        <f>Return!J91-'Return Estimasi'!J91</f>
        <v>-5.6303897274850509E-3</v>
      </c>
      <c r="K91">
        <f>Return!K91-'Return Estimasi'!K91</f>
        <v>-4.9928443397227532E-3</v>
      </c>
      <c r="L91">
        <f>Return!L91-'Return Estimasi'!L91</f>
        <v>1.0124238079537199E-2</v>
      </c>
      <c r="M91">
        <f>Return!M91-'Return Estimasi'!M91</f>
        <v>-1.4282085015284229E-2</v>
      </c>
      <c r="N91">
        <f>Return!N91-'Return Estimasi'!N91</f>
        <v>8.1749027015810008E-2</v>
      </c>
      <c r="O91">
        <f>Return!O91-'Return Estimasi'!O91</f>
        <v>-1.4066017937741549E-3</v>
      </c>
      <c r="P91">
        <f>Return!P91-'Return Estimasi'!P91</f>
        <v>1.6298090433554738E-2</v>
      </c>
      <c r="Q91">
        <f>Return!Q91-'Return Estimasi'!Q91</f>
        <v>-2.381818889007347E-2</v>
      </c>
      <c r="R91">
        <f>Return!R91-'Return Estimasi'!R91</f>
        <v>-1.1425241997289802E-2</v>
      </c>
      <c r="S91">
        <f>Return!S91-'Return Estimasi'!S91</f>
        <v>-9.0530150461493354E-3</v>
      </c>
      <c r="T91">
        <f>Return!T91-'Return Estimasi'!T91</f>
        <v>1.8327555929708434E-2</v>
      </c>
      <c r="U91">
        <f>Return!U91-'Return Estimasi'!U91</f>
        <v>-6.5463653417246331E-3</v>
      </c>
      <c r="V91">
        <f>Return!V91-'Return Estimasi'!V91</f>
        <v>4.9849582908484801E-3</v>
      </c>
      <c r="W91">
        <f>Return!W91-'Return Estimasi'!W91</f>
        <v>-2.4202397434323671E-2</v>
      </c>
      <c r="X91">
        <f>Return!X91-'Return Estimasi'!X91</f>
        <v>5.8986064226779489E-2</v>
      </c>
      <c r="Y91">
        <f>Return!Y91-'Return Estimasi'!Y91</f>
        <v>-1.3781381183134676E-3</v>
      </c>
      <c r="Z91">
        <f>Return!Z91-'Return Estimasi'!Z91</f>
        <v>-1.0517630692590939E-2</v>
      </c>
      <c r="AA91">
        <f>Return!AA91-'Return Estimasi'!AA91</f>
        <v>-4.3542348534243193E-2</v>
      </c>
      <c r="AB91">
        <f>Return!AB91-'Return Estimasi'!AB91</f>
        <v>8.1685331950461324E-3</v>
      </c>
      <c r="AC91">
        <f>Return!AC91-'Return Estimasi'!AC91</f>
        <v>4.9000272004442423E-3</v>
      </c>
      <c r="AD91">
        <f>Return!AD91-'Return Estimasi'!AD91</f>
        <v>1.610314196423996E-2</v>
      </c>
      <c r="AE91">
        <f>Return!AE91-'Return Estimasi'!AE91</f>
        <v>-7.1745633323965271E-3</v>
      </c>
      <c r="AF91">
        <f>Return!AF91-'Return Estimasi'!AF91</f>
        <v>-16.414283492631331</v>
      </c>
    </row>
    <row r="92" spans="1:32" x14ac:dyDescent="0.3">
      <c r="A92" s="3" t="s">
        <v>57</v>
      </c>
      <c r="B92">
        <f>('Data Saham'!B92-'Data Saham'!B91)/'Data Saham'!B91</f>
        <v>4.1235651240935942E-4</v>
      </c>
      <c r="C92">
        <f>Return!C92-'Return Estimasi'!C92</f>
        <v>-1.0479780593871344E-2</v>
      </c>
      <c r="D92">
        <f>Return!D92-'Return Estimasi'!D92</f>
        <v>-6.664794725243125E-3</v>
      </c>
      <c r="E92">
        <f>Return!E92-'Return Estimasi'!E92</f>
        <v>1.6472667794604041E-3</v>
      </c>
      <c r="F92">
        <f>Return!F92-'Return Estimasi'!F92</f>
        <v>-1.4491078424007471E-2</v>
      </c>
      <c r="G92">
        <f>Return!G92-'Return Estimasi'!G92</f>
        <v>5.0037532880792338E-3</v>
      </c>
      <c r="H92">
        <f>Return!H92-'Return Estimasi'!H92</f>
        <v>-7.3006121643456683E-4</v>
      </c>
      <c r="I92">
        <f>Return!I92-'Return Estimasi'!I92</f>
        <v>-2.0314444420347091E-2</v>
      </c>
      <c r="J92">
        <f>Return!J92-'Return Estimasi'!J92</f>
        <v>-9.0138536503565642E-3</v>
      </c>
      <c r="K92">
        <f>Return!K92-'Return Estimasi'!K92</f>
        <v>-4.3064973718944296E-3</v>
      </c>
      <c r="L92">
        <f>Return!L92-'Return Estimasi'!L92</f>
        <v>-7.4054492453200899E-4</v>
      </c>
      <c r="M92">
        <f>Return!M92-'Return Estimasi'!M92</f>
        <v>4.5856708968057425E-3</v>
      </c>
      <c r="N92">
        <f>Return!N92-'Return Estimasi'!N92</f>
        <v>2.093964134629047E-2</v>
      </c>
      <c r="O92">
        <f>Return!O92-'Return Estimasi'!O92</f>
        <v>1.2537477796718311E-2</v>
      </c>
      <c r="P92">
        <f>Return!P92-'Return Estimasi'!P92</f>
        <v>1.5177796785511032E-3</v>
      </c>
      <c r="Q92">
        <f>Return!Q92-'Return Estimasi'!Q92</f>
        <v>9.4601845936662671E-3</v>
      </c>
      <c r="R92">
        <f>Return!R92-'Return Estimasi'!R92</f>
        <v>1.0768675165310522E-2</v>
      </c>
      <c r="S92">
        <f>Return!S92-'Return Estimasi'!S92</f>
        <v>-1.2201942148563872E-2</v>
      </c>
      <c r="T92">
        <f>Return!T92-'Return Estimasi'!T92</f>
        <v>1.9858897971531918E-2</v>
      </c>
      <c r="U92">
        <f>Return!U92-'Return Estimasi'!U92</f>
        <v>3.1563325681977096E-2</v>
      </c>
      <c r="V92">
        <f>Return!V92-'Return Estimasi'!V92</f>
        <v>-1.3819467821953846E-3</v>
      </c>
      <c r="W92">
        <f>Return!W92-'Return Estimasi'!W92</f>
        <v>5.3656653670085999E-2</v>
      </c>
      <c r="X92">
        <f>Return!X92-'Return Estimasi'!X92</f>
        <v>2.3003420963109356E-2</v>
      </c>
      <c r="Y92">
        <f>Return!Y92-'Return Estimasi'!Y92</f>
        <v>3.2943920367153989E-2</v>
      </c>
      <c r="Z92">
        <f>Return!Z92-'Return Estimasi'!Z92</f>
        <v>1.3428765534252245E-2</v>
      </c>
      <c r="AA92">
        <f>Return!AA92-'Return Estimasi'!AA92</f>
        <v>-7.3095202966940078E-3</v>
      </c>
      <c r="AB92">
        <f>Return!AB92-'Return Estimasi'!AB92</f>
        <v>4.4140021465675531E-4</v>
      </c>
      <c r="AC92">
        <f>Return!AC92-'Return Estimasi'!AC92</f>
        <v>2.6479917861452054E-2</v>
      </c>
      <c r="AD92">
        <f>Return!AD92-'Return Estimasi'!AD92</f>
        <v>9.6824757999879902E-3</v>
      </c>
      <c r="AE92">
        <f>Return!AE92-'Return Estimasi'!AE92</f>
        <v>-5.8363339340733273E-3</v>
      </c>
      <c r="AF92">
        <f>Return!AF92-'Return Estimasi'!AF92</f>
        <v>-16.657688447367832</v>
      </c>
    </row>
    <row r="93" spans="1:32" x14ac:dyDescent="0.3">
      <c r="A93" s="4" t="s">
        <v>58</v>
      </c>
      <c r="B93">
        <f>('Data Saham'!B93-'Data Saham'!B92)/'Data Saham'!B92</f>
        <v>-8.9289582050719324E-3</v>
      </c>
      <c r="C93">
        <f>Return!C93-'Return Estimasi'!C93</f>
        <v>6.3327965569634388E-3</v>
      </c>
      <c r="D93">
        <f>Return!D93-'Return Estimasi'!D93</f>
        <v>-2.8116843477652458E-2</v>
      </c>
      <c r="E93">
        <f>Return!E93-'Return Estimasi'!E93</f>
        <v>-1.0446728285964683E-2</v>
      </c>
      <c r="F93">
        <f>Return!F93-'Return Estimasi'!F93</f>
        <v>4.4404602488707853E-4</v>
      </c>
      <c r="G93">
        <f>Return!G93-'Return Estimasi'!G93</f>
        <v>6.4259199630429479E-3</v>
      </c>
      <c r="H93">
        <f>Return!H93-'Return Estimasi'!H93</f>
        <v>1.5358525850687064E-2</v>
      </c>
      <c r="I93">
        <f>Return!I93-'Return Estimasi'!I93</f>
        <v>-1.8505477670439432E-3</v>
      </c>
      <c r="J93">
        <f>Return!J93-'Return Estimasi'!J93</f>
        <v>1.1660929984040011E-2</v>
      </c>
      <c r="K93">
        <f>Return!K93-'Return Estimasi'!K93</f>
        <v>-3.3322094054126037E-3</v>
      </c>
      <c r="L93">
        <f>Return!L93-'Return Estimasi'!L93</f>
        <v>1.3416031993114023E-2</v>
      </c>
      <c r="M93">
        <f>Return!M93-'Return Estimasi'!M93</f>
        <v>2.1477920838517328E-4</v>
      </c>
      <c r="N93">
        <f>Return!N93-'Return Estimasi'!N93</f>
        <v>-1.9313436520594678E-2</v>
      </c>
      <c r="O93">
        <f>Return!O93-'Return Estimasi'!O93</f>
        <v>-1.2259313301034051E-3</v>
      </c>
      <c r="P93">
        <f>Return!P93-'Return Estimasi'!P93</f>
        <v>-1.2488519792573035E-2</v>
      </c>
      <c r="Q93">
        <f>Return!Q93-'Return Estimasi'!Q93</f>
        <v>-8.196737727798515E-3</v>
      </c>
      <c r="R93">
        <f>Return!R93-'Return Estimasi'!R93</f>
        <v>2.7129493107110937E-3</v>
      </c>
      <c r="S93">
        <f>Return!S93-'Return Estimasi'!S93</f>
        <v>8.7902641917122441E-4</v>
      </c>
      <c r="T93">
        <f>Return!T93-'Return Estimasi'!T93</f>
        <v>-2.56881015203476E-2</v>
      </c>
      <c r="U93">
        <f>Return!U93-'Return Estimasi'!U93</f>
        <v>-9.9907119088973855E-3</v>
      </c>
      <c r="V93">
        <f>Return!V93-'Return Estimasi'!V93</f>
        <v>1.7543713016537253E-2</v>
      </c>
      <c r="W93">
        <f>Return!W93-'Return Estimasi'!W93</f>
        <v>1.4703441600517942E-2</v>
      </c>
      <c r="X93">
        <f>Return!X93-'Return Estimasi'!X93</f>
        <v>-8.8706259405972598E-4</v>
      </c>
      <c r="Y93">
        <f>Return!Y93-'Return Estimasi'!Y93</f>
        <v>-3.5153178366089659E-2</v>
      </c>
      <c r="Z93">
        <f>Return!Z93-'Return Estimasi'!Z93</f>
        <v>-3.9875401231483261E-4</v>
      </c>
      <c r="AA93">
        <f>Return!AA93-'Return Estimasi'!AA93</f>
        <v>-9.3325692744114161E-4</v>
      </c>
      <c r="AB93">
        <f>Return!AB93-'Return Estimasi'!AB93</f>
        <v>9.5023413956109651E-2</v>
      </c>
      <c r="AC93">
        <f>Return!AC93-'Return Estimasi'!AC93</f>
        <v>2.6972037973172734E-2</v>
      </c>
      <c r="AD93">
        <f>Return!AD93-'Return Estimasi'!AD93</f>
        <v>4.1993551113584876E-3</v>
      </c>
      <c r="AE93">
        <f>Return!AE93-'Return Estimasi'!AE93</f>
        <v>2.3606099664180927E-2</v>
      </c>
      <c r="AF93">
        <f>Return!AF93-'Return Estimasi'!AF93</f>
        <v>-16.941494274886619</v>
      </c>
    </row>
    <row r="94" spans="1:32" x14ac:dyDescent="0.3">
      <c r="A94" s="3" t="s">
        <v>59</v>
      </c>
      <c r="B94">
        <f>('Data Saham'!B94-'Data Saham'!B93)/'Data Saham'!B93</f>
        <v>-8.6822457015930266E-3</v>
      </c>
      <c r="C94">
        <f>Return!C94-'Return Estimasi'!C94</f>
        <v>-2.8432341448288798E-3</v>
      </c>
      <c r="D94">
        <f>Return!D94-'Return Estimasi'!D94</f>
        <v>-1.1163689288857104E-2</v>
      </c>
      <c r="E94">
        <f>Return!E94-'Return Estimasi'!E94</f>
        <v>-1.5389418804823134E-2</v>
      </c>
      <c r="F94">
        <f>Return!F94-'Return Estimasi'!F94</f>
        <v>-1.9235037288852667E-2</v>
      </c>
      <c r="G94">
        <f>Return!G94-'Return Estimasi'!G94</f>
        <v>6.2036676756909801E-3</v>
      </c>
      <c r="H94">
        <f>Return!H94-'Return Estimasi'!H94</f>
        <v>-4.3201172369482753E-3</v>
      </c>
      <c r="I94">
        <f>Return!I94-'Return Estimasi'!I94</f>
        <v>-7.0495671240345757E-3</v>
      </c>
      <c r="J94">
        <f>Return!J94-'Return Estimasi'!J94</f>
        <v>2.0464361764357016E-2</v>
      </c>
      <c r="K94">
        <f>Return!K94-'Return Estimasi'!K94</f>
        <v>-1.9463577811987022E-2</v>
      </c>
      <c r="L94">
        <f>Return!L94-'Return Estimasi'!L94</f>
        <v>-1.5551194481467932E-2</v>
      </c>
      <c r="M94">
        <f>Return!M94-'Return Estimasi'!M94</f>
        <v>-4.3514003826276584E-2</v>
      </c>
      <c r="N94">
        <f>Return!N94-'Return Estimasi'!N94</f>
        <v>-6.007944582656477E-2</v>
      </c>
      <c r="O94">
        <f>Return!O94-'Return Estimasi'!O94</f>
        <v>1.095526576072656E-2</v>
      </c>
      <c r="P94">
        <f>Return!P94-'Return Estimasi'!P94</f>
        <v>-6.6240863219779747E-2</v>
      </c>
      <c r="Q94">
        <f>Return!Q94-'Return Estimasi'!Q94</f>
        <v>1.1211231660128305E-2</v>
      </c>
      <c r="R94">
        <f>Return!R94-'Return Estimasi'!R94</f>
        <v>-3.1112836648435022E-2</v>
      </c>
      <c r="S94">
        <f>Return!S94-'Return Estimasi'!S94</f>
        <v>1.2998088958491109E-2</v>
      </c>
      <c r="T94">
        <f>Return!T94-'Return Estimasi'!T94</f>
        <v>-1.756223902482535E-2</v>
      </c>
      <c r="U94">
        <f>Return!U94-'Return Estimasi'!U94</f>
        <v>-1.0650103481519065E-2</v>
      </c>
      <c r="V94">
        <f>Return!V94-'Return Estimasi'!V94</f>
        <v>-1.230293597233454E-3</v>
      </c>
      <c r="W94">
        <f>Return!W94-'Return Estimasi'!W94</f>
        <v>2.1898092197327579E-2</v>
      </c>
      <c r="X94">
        <f>Return!X94-'Return Estimasi'!X94</f>
        <v>2.5041616220960294E-2</v>
      </c>
      <c r="Y94">
        <f>Return!Y94-'Return Estimasi'!Y94</f>
        <v>7.273024277719653E-2</v>
      </c>
      <c r="Z94">
        <f>Return!Z94-'Return Estimasi'!Z94</f>
        <v>-6.6091798033035033E-4</v>
      </c>
      <c r="AA94">
        <f>Return!AA94-'Return Estimasi'!AA94</f>
        <v>6.626704040562717E-2</v>
      </c>
      <c r="AB94">
        <f>Return!AB94-'Return Estimasi'!AB94</f>
        <v>2.5642867028666319E-2</v>
      </c>
      <c r="AC94">
        <f>Return!AC94-'Return Estimasi'!AC94</f>
        <v>1.3017775586990913E-2</v>
      </c>
      <c r="AD94">
        <f>Return!AD94-'Return Estimasi'!AD94</f>
        <v>-8.6807205261127743E-4</v>
      </c>
      <c r="AE94">
        <f>Return!AE94-'Return Estimasi'!AE94</f>
        <v>-2.6308942984965895E-2</v>
      </c>
      <c r="AF94">
        <f>Return!AF94-'Return Estimasi'!AF94</f>
        <v>-16.945307964720726</v>
      </c>
    </row>
    <row r="95" spans="1:32" x14ac:dyDescent="0.3">
      <c r="A95" s="2">
        <v>45665</v>
      </c>
      <c r="B95">
        <f>('Data Saham'!B95-'Data Saham'!B94)/'Data Saham'!B94</f>
        <v>7.1389060358027952E-3</v>
      </c>
      <c r="C95">
        <f>Return!C95-'Return Estimasi'!C95</f>
        <v>-1.4719408345882532E-3</v>
      </c>
      <c r="D95">
        <f>Return!D95-'Return Estimasi'!D95</f>
        <v>-1.1717708649630447E-4</v>
      </c>
      <c r="E95">
        <f>Return!E95-'Return Estimasi'!E95</f>
        <v>-2.6287890146031246E-3</v>
      </c>
      <c r="F95">
        <f>Return!F95-'Return Estimasi'!F95</f>
        <v>-5.9368032644975593E-3</v>
      </c>
      <c r="G95">
        <f>Return!G95-'Return Estimasi'!G95</f>
        <v>2.6673320155417644E-2</v>
      </c>
      <c r="H95">
        <f>Return!H95-'Return Estimasi'!H95</f>
        <v>-2.4863403707059036E-2</v>
      </c>
      <c r="I95">
        <f>Return!I95-'Return Estimasi'!I95</f>
        <v>9.0437020859552939E-3</v>
      </c>
      <c r="J95">
        <f>Return!J95-'Return Estimasi'!J95</f>
        <v>-7.8560219866625394E-3</v>
      </c>
      <c r="K95">
        <f>Return!K95-'Return Estimasi'!K95</f>
        <v>6.6900023667687547E-5</v>
      </c>
      <c r="L95">
        <f>Return!L95-'Return Estimasi'!L95</f>
        <v>-5.3697369926718266E-3</v>
      </c>
      <c r="M95">
        <f>Return!M95-'Return Estimasi'!M95</f>
        <v>-1.5154877150658132E-3</v>
      </c>
      <c r="N95">
        <f>Return!N95-'Return Estimasi'!N95</f>
        <v>3.0306233195282341E-2</v>
      </c>
      <c r="O95">
        <f>Return!O95-'Return Estimasi'!O95</f>
        <v>-9.4718865569673842E-3</v>
      </c>
      <c r="P95">
        <f>Return!P95-'Return Estimasi'!P95</f>
        <v>2.8388494349210931E-2</v>
      </c>
      <c r="Q95">
        <f>Return!Q95-'Return Estimasi'!Q95</f>
        <v>1.0243276502638605E-2</v>
      </c>
      <c r="R95">
        <f>Return!R95-'Return Estimasi'!R95</f>
        <v>-3.339305150528269E-3</v>
      </c>
      <c r="S95">
        <f>Return!S95-'Return Estimasi'!S95</f>
        <v>-3.6243240078508175E-2</v>
      </c>
      <c r="T95">
        <f>Return!T95-'Return Estimasi'!T95</f>
        <v>4.7927445071994396E-2</v>
      </c>
      <c r="U95">
        <f>Return!U95-'Return Estimasi'!U95</f>
        <v>1.2260185264933426E-2</v>
      </c>
      <c r="V95">
        <f>Return!V95-'Return Estimasi'!V95</f>
        <v>-1.1698370777317019E-2</v>
      </c>
      <c r="W95">
        <f>Return!W95-'Return Estimasi'!W95</f>
        <v>7.0252523218119374E-3</v>
      </c>
      <c r="X95">
        <f>Return!X95-'Return Estimasi'!X95</f>
        <v>-1.4272390568926468E-2</v>
      </c>
      <c r="Y95">
        <f>Return!Y95-'Return Estimasi'!Y95</f>
        <v>-4.0853931442644386E-3</v>
      </c>
      <c r="Z95">
        <f>Return!Z95-'Return Estimasi'!Z95</f>
        <v>-2.5023601343970771E-4</v>
      </c>
      <c r="AA95">
        <f>Return!AA95-'Return Estimasi'!AA95</f>
        <v>1.4846424488940167E-2</v>
      </c>
      <c r="AB95">
        <f>Return!AB95-'Return Estimasi'!AB95</f>
        <v>-6.6415459953919854E-3</v>
      </c>
      <c r="AC95">
        <f>Return!AC95-'Return Estimasi'!AC95</f>
        <v>3.2441987710806607E-2</v>
      </c>
      <c r="AD95">
        <f>Return!AD95-'Return Estimasi'!AD95</f>
        <v>8.129325483705388E-3</v>
      </c>
      <c r="AE95">
        <f>Return!AE95-'Return Estimasi'!AE95</f>
        <v>2.6891411319383482E-4</v>
      </c>
      <c r="AF95">
        <f>Return!AF95-'Return Estimasi'!AF95</f>
        <v>-16.500941626538271</v>
      </c>
    </row>
    <row r="96" spans="1:32" x14ac:dyDescent="0.3">
      <c r="A96" s="1">
        <v>45755</v>
      </c>
      <c r="B96">
        <f>('Data Saham'!B96-'Data Saham'!B95)/'Data Saham'!B95</f>
        <v>-9.7004817074546976E-3</v>
      </c>
      <c r="C96">
        <f>Return!C96-'Return Estimasi'!C96</f>
        <v>6.9596669903080012E-3</v>
      </c>
      <c r="D96">
        <f>Return!D96-'Return Estimasi'!D96</f>
        <v>3.3475535005797995E-4</v>
      </c>
      <c r="E96">
        <f>Return!E96-'Return Estimasi'!E96</f>
        <v>2.9284158656542041E-2</v>
      </c>
      <c r="F96">
        <f>Return!F96-'Return Estimasi'!F96</f>
        <v>8.3264557278774701E-3</v>
      </c>
      <c r="G96">
        <f>Return!G96-'Return Estimasi'!G96</f>
        <v>2.3899474554895772E-2</v>
      </c>
      <c r="H96">
        <f>Return!H96-'Return Estimasi'!H96</f>
        <v>1.1073671167540777E-2</v>
      </c>
      <c r="I96">
        <f>Return!I96-'Return Estimasi'!I96</f>
        <v>-2.9377098451894422E-2</v>
      </c>
      <c r="J96">
        <f>Return!J96-'Return Estimasi'!J96</f>
        <v>-8.9529943782278628E-3</v>
      </c>
      <c r="K96">
        <f>Return!K96-'Return Estimasi'!K96</f>
        <v>2.6577495649838218E-2</v>
      </c>
      <c r="L96">
        <f>Return!L96-'Return Estimasi'!L96</f>
        <v>1.16420590601061E-2</v>
      </c>
      <c r="M96">
        <f>Return!M96-'Return Estimasi'!M96</f>
        <v>1.4713353284538027E-2</v>
      </c>
      <c r="N96">
        <f>Return!N96-'Return Estimasi'!N96</f>
        <v>-2.0871719064978929E-2</v>
      </c>
      <c r="O96">
        <f>Return!O96-'Return Estimasi'!O96</f>
        <v>1.456423962485388E-2</v>
      </c>
      <c r="P96">
        <f>Return!P96-'Return Estimasi'!P96</f>
        <v>1.834878481610806E-2</v>
      </c>
      <c r="Q96">
        <f>Return!Q96-'Return Estimasi'!Q96</f>
        <v>2.7765274046446055E-2</v>
      </c>
      <c r="R96">
        <f>Return!R96-'Return Estimasi'!R96</f>
        <v>-3.9691186834311769E-3</v>
      </c>
      <c r="S96">
        <f>Return!S96-'Return Estimasi'!S96</f>
        <v>1.1661377879723349E-2</v>
      </c>
      <c r="T96">
        <f>Return!T96-'Return Estimasi'!T96</f>
        <v>1.3328504277272304E-2</v>
      </c>
      <c r="U96">
        <f>Return!U96-'Return Estimasi'!U96</f>
        <v>-9.5344224654672471E-3</v>
      </c>
      <c r="V96">
        <f>Return!V96-'Return Estimasi'!V96</f>
        <v>2.8706226667833332E-2</v>
      </c>
      <c r="W96">
        <f>Return!W96-'Return Estimasi'!W96</f>
        <v>-2.84421088852727E-2</v>
      </c>
      <c r="X96">
        <f>Return!X96-'Return Estimasi'!X96</f>
        <v>-7.839464131167595E-3</v>
      </c>
      <c r="Y96">
        <f>Return!Y96-'Return Estimasi'!Y96</f>
        <v>-3.6103424772841921E-3</v>
      </c>
      <c r="Z96">
        <f>Return!Z96-'Return Estimasi'!Z96</f>
        <v>1.7043029726620661E-2</v>
      </c>
      <c r="AA96">
        <f>Return!AA96-'Return Estimasi'!AA96</f>
        <v>-2.4302718331732781E-2</v>
      </c>
      <c r="AB96">
        <f>Return!AB96-'Return Estimasi'!AB96</f>
        <v>-1.967917794403222E-2</v>
      </c>
      <c r="AC96">
        <f>Return!AC96-'Return Estimasi'!AC96</f>
        <v>6.4554080231896557E-2</v>
      </c>
      <c r="AD96">
        <f>Return!AD96-'Return Estimasi'!AD96</f>
        <v>4.939665988277729E-3</v>
      </c>
      <c r="AE96">
        <f>Return!AE96-'Return Estimasi'!AE96</f>
        <v>1.7852514823766029E-3</v>
      </c>
      <c r="AF96">
        <f>Return!AF96-'Return Estimasi'!AF96</f>
        <v>-16.963771291840168</v>
      </c>
    </row>
    <row r="97" spans="1:32" x14ac:dyDescent="0.3">
      <c r="A97" s="2">
        <v>45785</v>
      </c>
      <c r="B97">
        <f>('Data Saham'!B97-'Data Saham'!B96)/'Data Saham'!B96</f>
        <v>6.7705786607543507E-3</v>
      </c>
      <c r="C97">
        <f>Return!C97-'Return Estimasi'!C97</f>
        <v>1.3950187530681212E-2</v>
      </c>
      <c r="D97">
        <f>Return!D97-'Return Estimasi'!D97</f>
        <v>2.4502997942238078E-4</v>
      </c>
      <c r="E97">
        <f>Return!E97-'Return Estimasi'!E97</f>
        <v>2.1435615555434356E-2</v>
      </c>
      <c r="F97">
        <f>Return!F97-'Return Estimasi'!F97</f>
        <v>4.6744253837724382E-2</v>
      </c>
      <c r="G97">
        <f>Return!G97-'Return Estimasi'!G97</f>
        <v>-7.7170923674803535E-3</v>
      </c>
      <c r="H97">
        <f>Return!H97-'Return Estimasi'!H97</f>
        <v>-5.0077566561017132E-3</v>
      </c>
      <c r="I97">
        <f>Return!I97-'Return Estimasi'!I97</f>
        <v>1.6135248522010852E-3</v>
      </c>
      <c r="J97">
        <f>Return!J97-'Return Estimasi'!J97</f>
        <v>-7.8552617315461974E-3</v>
      </c>
      <c r="K97">
        <f>Return!K97-'Return Estimasi'!K97</f>
        <v>-2.6115531584560286E-2</v>
      </c>
      <c r="L97">
        <f>Return!L97-'Return Estimasi'!L97</f>
        <v>-5.2218163257072674E-3</v>
      </c>
      <c r="M97">
        <f>Return!M97-'Return Estimasi'!M97</f>
        <v>-1.375153896185274E-3</v>
      </c>
      <c r="N97">
        <f>Return!N97-'Return Estimasi'!N97</f>
        <v>-2.0023002770065575E-2</v>
      </c>
      <c r="O97">
        <f>Return!O97-'Return Estimasi'!O97</f>
        <v>-9.2641012405640273E-3</v>
      </c>
      <c r="P97">
        <f>Return!P97-'Return Estimasi'!P97</f>
        <v>-2.7696484890944506E-2</v>
      </c>
      <c r="Q97">
        <f>Return!Q97-'Return Estimasi'!Q97</f>
        <v>-2.4473467498875211E-2</v>
      </c>
      <c r="R97">
        <f>Return!R97-'Return Estimasi'!R97</f>
        <v>-3.1236443228206518E-3</v>
      </c>
      <c r="S97">
        <f>Return!S97-'Return Estimasi'!S97</f>
        <v>-2.4421835226436251E-2</v>
      </c>
      <c r="T97">
        <f>Return!T97-'Return Estimasi'!T97</f>
        <v>-3.4398814590504687E-2</v>
      </c>
      <c r="U97">
        <f>Return!U97-'Return Estimasi'!U97</f>
        <v>1.2663761506264625E-2</v>
      </c>
      <c r="V97">
        <f>Return!V97-'Return Estimasi'!V97</f>
        <v>-1.2306734007013879E-2</v>
      </c>
      <c r="W97">
        <f>Return!W97-'Return Estimasi'!W97</f>
        <v>-5.7891019938392463E-2</v>
      </c>
      <c r="X97">
        <f>Return!X97-'Return Estimasi'!X97</f>
        <v>1.2756752259481802E-2</v>
      </c>
      <c r="Y97">
        <f>Return!Y97-'Return Estimasi'!Y97</f>
        <v>5.2976396667881773E-2</v>
      </c>
      <c r="Z97">
        <f>Return!Z97-'Return Estimasi'!Z97</f>
        <v>1.2587134887804484E-2</v>
      </c>
      <c r="AA97">
        <f>Return!AA97-'Return Estimasi'!AA97</f>
        <v>-2.3132802466013246E-2</v>
      </c>
      <c r="AB97">
        <f>Return!AB97-'Return Estimasi'!AB97</f>
        <v>2.5492328429279617E-2</v>
      </c>
      <c r="AC97">
        <f>Return!AC97-'Return Estimasi'!AC97</f>
        <v>2.3145017209298388E-2</v>
      </c>
      <c r="AD97">
        <f>Return!AD97-'Return Estimasi'!AD97</f>
        <v>1.3150414302873094E-2</v>
      </c>
      <c r="AE97">
        <f>Return!AE97-'Return Estimasi'!AE97</f>
        <v>2.8959026127872621E-2</v>
      </c>
      <c r="AF97">
        <f>Return!AF97-'Return Estimasi'!AF97</f>
        <v>-16.467086510377069</v>
      </c>
    </row>
    <row r="98" spans="1:32" x14ac:dyDescent="0.3">
      <c r="A98" s="1">
        <v>45816</v>
      </c>
      <c r="B98">
        <f>('Data Saham'!B98-'Data Saham'!B97)/'Data Saham'!B97</f>
        <v>-1.5222502691215525E-3</v>
      </c>
      <c r="C98">
        <f>Return!C98-'Return Estimasi'!C98</f>
        <v>-1.1890069164161033E-2</v>
      </c>
      <c r="D98">
        <f>Return!D98-'Return Estimasi'!D98</f>
        <v>-7.7075825654797734E-3</v>
      </c>
      <c r="E98">
        <f>Return!E98-'Return Estimasi'!E98</f>
        <v>-9.11339175795697E-3</v>
      </c>
      <c r="F98">
        <f>Return!F98-'Return Estimasi'!F98</f>
        <v>-2.703666977770007E-2</v>
      </c>
      <c r="G98">
        <f>Return!G98-'Return Estimasi'!G98</f>
        <v>-1.3447772899579321E-2</v>
      </c>
      <c r="H98">
        <f>Return!H98-'Return Estimasi'!H98</f>
        <v>-2.4304115087837044E-2</v>
      </c>
      <c r="I98">
        <f>Return!I98-'Return Estimasi'!I98</f>
        <v>-1.006015295293883E-4</v>
      </c>
      <c r="J98">
        <f>Return!J98-'Return Estimasi'!J98</f>
        <v>-1.4517903612020402E-2</v>
      </c>
      <c r="K98">
        <f>Return!K98-'Return Estimasi'!K98</f>
        <v>-2.5688959941026529E-3</v>
      </c>
      <c r="L98">
        <f>Return!L98-'Return Estimasi'!L98</f>
        <v>3.2090719938994675E-3</v>
      </c>
      <c r="M98">
        <f>Return!M98-'Return Estimasi'!M98</f>
        <v>4.3980769165074388E-2</v>
      </c>
      <c r="N98">
        <f>Return!N98-'Return Estimasi'!N98</f>
        <v>3.4399453688420692E-2</v>
      </c>
      <c r="O98">
        <f>Return!O98-'Return Estimasi'!O98</f>
        <v>4.1107948995123239E-2</v>
      </c>
      <c r="P98">
        <f>Return!P98-'Return Estimasi'!P98</f>
        <v>-1.2909716944378091E-2</v>
      </c>
      <c r="Q98">
        <f>Return!Q98-'Return Estimasi'!Q98</f>
        <v>-3.87200477720194E-4</v>
      </c>
      <c r="R98">
        <f>Return!R98-'Return Estimasi'!R98</f>
        <v>-1.2402352659997385E-2</v>
      </c>
      <c r="S98">
        <f>Return!S98-'Return Estimasi'!S98</f>
        <v>-1.6098321077825405E-2</v>
      </c>
      <c r="T98">
        <f>Return!T98-'Return Estimasi'!T98</f>
        <v>-1.8429382402569059E-2</v>
      </c>
      <c r="U98">
        <f>Return!U98-'Return Estimasi'!U98</f>
        <v>5.4090732278140301E-3</v>
      </c>
      <c r="V98">
        <f>Return!V98-'Return Estimasi'!V98</f>
        <v>-1.0892296829595456E-2</v>
      </c>
      <c r="W98">
        <f>Return!W98-'Return Estimasi'!W98</f>
        <v>1.2842903906270119E-2</v>
      </c>
      <c r="X98">
        <f>Return!X98-'Return Estimasi'!X98</f>
        <v>-2.8102300281093392E-2</v>
      </c>
      <c r="Y98">
        <f>Return!Y98-'Return Estimasi'!Y98</f>
        <v>-3.8512432811591987E-2</v>
      </c>
      <c r="Z98">
        <f>Return!Z98-'Return Estimasi'!Z98</f>
        <v>2.2189192601648712E-3</v>
      </c>
      <c r="AA98">
        <f>Return!AA98-'Return Estimasi'!AA98</f>
        <v>2.9818917436437681E-2</v>
      </c>
      <c r="AB98">
        <f>Return!AB98-'Return Estimasi'!AB98</f>
        <v>2.4785093927760845E-3</v>
      </c>
      <c r="AC98">
        <f>Return!AC98-'Return Estimasi'!AC98</f>
        <v>1.7630202765372559E-4</v>
      </c>
      <c r="AD98">
        <f>Return!AD98-'Return Estimasi'!AD98</f>
        <v>-7.5569815590336856E-3</v>
      </c>
      <c r="AE98">
        <f>Return!AE98-'Return Estimasi'!AE98</f>
        <v>1.7678776470466711E-2</v>
      </c>
      <c r="AF98">
        <f>Return!AF98-'Return Estimasi'!AF98</f>
        <v>-16.722720317109275</v>
      </c>
    </row>
    <row r="99" spans="1:32" x14ac:dyDescent="0.3">
      <c r="A99" s="2">
        <v>45846</v>
      </c>
      <c r="B99">
        <f>('Data Saham'!B99-'Data Saham'!B98)/'Data Saham'!B98</f>
        <v>-1.8084291187739077E-3</v>
      </c>
      <c r="C99">
        <f>Return!C99-'Return Estimasi'!C99</f>
        <v>3.1925498108572193E-3</v>
      </c>
      <c r="D99">
        <f>Return!D99-'Return Estimasi'!D99</f>
        <v>5.9523136974493985E-4</v>
      </c>
      <c r="E99">
        <f>Return!E99-'Return Estimasi'!E99</f>
        <v>-2.5623241300669584E-3</v>
      </c>
      <c r="F99">
        <f>Return!F99-'Return Estimasi'!F99</f>
        <v>6.5197965029409324E-3</v>
      </c>
      <c r="G99">
        <f>Return!G99-'Return Estimasi'!G99</f>
        <v>-1.3366573431134822E-2</v>
      </c>
      <c r="H99">
        <f>Return!H99-'Return Estimasi'!H99</f>
        <v>1.3008940651884106E-2</v>
      </c>
      <c r="I99">
        <f>Return!I99-'Return Estimasi'!I99</f>
        <v>-2.6039501446895874E-3</v>
      </c>
      <c r="J99">
        <f>Return!J99-'Return Estimasi'!J99</f>
        <v>5.7932003114662632E-4</v>
      </c>
      <c r="K99">
        <f>Return!K99-'Return Estimasi'!K99</f>
        <v>5.7578109293179207E-3</v>
      </c>
      <c r="L99">
        <f>Return!L99-'Return Estimasi'!L99</f>
        <v>3.3083283645909383E-3</v>
      </c>
      <c r="M99">
        <f>Return!M99-'Return Estimasi'!M99</f>
        <v>1.9366660562571809E-2</v>
      </c>
      <c r="N99">
        <f>Return!N99-'Return Estimasi'!N99</f>
        <v>4.2259177255438971E-2</v>
      </c>
      <c r="O99">
        <f>Return!O99-'Return Estimasi'!O99</f>
        <v>1.2548146859040774E-3</v>
      </c>
      <c r="P99">
        <f>Return!P99-'Return Estimasi'!P99</f>
        <v>1.9864459478963165E-2</v>
      </c>
      <c r="Q99">
        <f>Return!Q99-'Return Estimasi'!Q99</f>
        <v>-1.9462705693489915E-2</v>
      </c>
      <c r="R99">
        <f>Return!R99-'Return Estimasi'!R99</f>
        <v>-8.8532034961032405E-3</v>
      </c>
      <c r="S99">
        <f>Return!S99-'Return Estimasi'!S99</f>
        <v>-1.8401877199607827E-2</v>
      </c>
      <c r="T99">
        <f>Return!T99-'Return Estimasi'!T99</f>
        <v>-1.2429687398688325E-2</v>
      </c>
      <c r="U99">
        <f>Return!U99-'Return Estimasi'!U99</f>
        <v>-1.0166186305748511E-2</v>
      </c>
      <c r="V99">
        <f>Return!V99-'Return Estimasi'!V99</f>
        <v>3.7697287133716755E-3</v>
      </c>
      <c r="W99">
        <f>Return!W99-'Return Estimasi'!W99</f>
        <v>-4.2985845201340203E-2</v>
      </c>
      <c r="X99">
        <f>Return!X99-'Return Estimasi'!X99</f>
        <v>3.3981157707073155E-2</v>
      </c>
      <c r="Y99">
        <f>Return!Y99-'Return Estimasi'!Y99</f>
        <v>2.8899781410025461E-2</v>
      </c>
      <c r="Z99">
        <f>Return!Z99-'Return Estimasi'!Z99</f>
        <v>-1.6911244498707548E-3</v>
      </c>
      <c r="AA99">
        <f>Return!AA99-'Return Estimasi'!AA99</f>
        <v>2.5033307503524473E-2</v>
      </c>
      <c r="AB99">
        <f>Return!AB99-'Return Estimasi'!AB99</f>
        <v>-2.7989379746322946E-2</v>
      </c>
      <c r="AC99">
        <f>Return!AC99-'Return Estimasi'!AC99</f>
        <v>6.2710569564084061E-3</v>
      </c>
      <c r="AD99">
        <f>Return!AD99-'Return Estimasi'!AD99</f>
        <v>2.1515819512070581E-3</v>
      </c>
      <c r="AE99">
        <f>Return!AE99-'Return Estimasi'!AE99</f>
        <v>1.7629820812264788E-2</v>
      </c>
      <c r="AF99">
        <f>Return!AF99-'Return Estimasi'!AF99</f>
        <v>-16.703294018965924</v>
      </c>
    </row>
    <row r="100" spans="1:32" x14ac:dyDescent="0.3">
      <c r="A100" s="1">
        <v>45877</v>
      </c>
      <c r="B100">
        <f>('Data Saham'!B100-'Data Saham'!B99)/'Data Saham'!B99</f>
        <v>5.7675516476239311E-3</v>
      </c>
      <c r="C100">
        <f>Return!C100-'Return Estimasi'!C100</f>
        <v>-3.315114183405151E-3</v>
      </c>
      <c r="D100">
        <f>Return!D100-'Return Estimasi'!D100</f>
        <v>-9.5502809574940783E-3</v>
      </c>
      <c r="E100">
        <f>Return!E100-'Return Estimasi'!E100</f>
        <v>-7.8580451268888667E-3</v>
      </c>
      <c r="F100">
        <f>Return!F100-'Return Estimasi'!F100</f>
        <v>-1.6911164194195336E-2</v>
      </c>
      <c r="G100">
        <f>Return!G100-'Return Estimasi'!G100</f>
        <v>-1.0203340589688243E-2</v>
      </c>
      <c r="H100">
        <f>Return!H100-'Return Estimasi'!H100</f>
        <v>-1.2397454576549078E-2</v>
      </c>
      <c r="I100">
        <f>Return!I100-'Return Estimasi'!I100</f>
        <v>-1.6368650119294267E-2</v>
      </c>
      <c r="J100">
        <f>Return!J100-'Return Estimasi'!J100</f>
        <v>-7.6945407879637252E-3</v>
      </c>
      <c r="K100">
        <f>Return!K100-'Return Estimasi'!K100</f>
        <v>-4.9531016817070353E-2</v>
      </c>
      <c r="L100">
        <f>Return!L100-'Return Estimasi'!L100</f>
        <v>8.1190418916944219E-3</v>
      </c>
      <c r="M100">
        <f>Return!M100-'Return Estimasi'!M100</f>
        <v>-2.975885991726961E-2</v>
      </c>
      <c r="N100">
        <f>Return!N100-'Return Estimasi'!N100</f>
        <v>-1.3932048595027349E-2</v>
      </c>
      <c r="O100">
        <f>Return!O100-'Return Estimasi'!O100</f>
        <v>-5.5917242463638201E-3</v>
      </c>
      <c r="P100">
        <f>Return!P100-'Return Estimasi'!P100</f>
        <v>-3.1922499991388882E-3</v>
      </c>
      <c r="Q100">
        <f>Return!Q100-'Return Estimasi'!Q100</f>
        <v>3.5338648001591845E-2</v>
      </c>
      <c r="R100">
        <f>Return!R100-'Return Estimasi'!R100</f>
        <v>-6.1595463890228375E-3</v>
      </c>
      <c r="S100">
        <f>Return!S100-'Return Estimasi'!S100</f>
        <v>-9.6653525867427328E-3</v>
      </c>
      <c r="T100">
        <f>Return!T100-'Return Estimasi'!T100</f>
        <v>-1.0663803747579623E-2</v>
      </c>
      <c r="U100">
        <f>Return!U100-'Return Estimasi'!U100</f>
        <v>-1.057848947745739E-2</v>
      </c>
      <c r="V100">
        <f>Return!V100-'Return Estimasi'!V100</f>
        <v>-3.1888779345834741E-3</v>
      </c>
      <c r="W100">
        <f>Return!W100-'Return Estimasi'!W100</f>
        <v>2.0427419451117132E-2</v>
      </c>
      <c r="X100">
        <f>Return!X100-'Return Estimasi'!X100</f>
        <v>-1.6222286049980177E-3</v>
      </c>
      <c r="Y100">
        <f>Return!Y100-'Return Estimasi'!Y100</f>
        <v>-1.5598679689987894E-2</v>
      </c>
      <c r="Z100">
        <f>Return!Z100-'Return Estimasi'!Z100</f>
        <v>-2.0038353483191881E-2</v>
      </c>
      <c r="AA100">
        <f>Return!AA100-'Return Estimasi'!AA100</f>
        <v>-2.1436806694121083E-2</v>
      </c>
      <c r="AB100">
        <f>Return!AB100-'Return Estimasi'!AB100</f>
        <v>-2.1070548212876926E-2</v>
      </c>
      <c r="AC100">
        <f>Return!AC100-'Return Estimasi'!AC100</f>
        <v>1.1331410001618591E-2</v>
      </c>
      <c r="AD100">
        <f>Return!AD100-'Return Estimasi'!AD100</f>
        <v>-1.9403620493161883E-2</v>
      </c>
      <c r="AE100">
        <f>Return!AE100-'Return Estimasi'!AE100</f>
        <v>-2.0324054694919026E-2</v>
      </c>
      <c r="AF100">
        <f>Return!AF100-'Return Estimasi'!AF100</f>
        <v>-16.496369240553665</v>
      </c>
    </row>
    <row r="101" spans="1:32" x14ac:dyDescent="0.3">
      <c r="A101" s="2">
        <v>45969</v>
      </c>
      <c r="B101">
        <f>('Data Saham'!B101-'Data Saham'!B100)/'Data Saham'!B100</f>
        <v>9.6291438902590815E-3</v>
      </c>
      <c r="C101">
        <f>Return!C101-'Return Estimasi'!C101</f>
        <v>2.3488312755283035E-2</v>
      </c>
      <c r="D101">
        <f>Return!D101-'Return Estimasi'!D101</f>
        <v>1.9077440438574272E-2</v>
      </c>
      <c r="E101">
        <f>Return!E101-'Return Estimasi'!E101</f>
        <v>1.2061701324394616E-3</v>
      </c>
      <c r="F101">
        <f>Return!F101-'Return Estimasi'!F101</f>
        <v>2.3894953208075137E-2</v>
      </c>
      <c r="G101">
        <f>Return!G101-'Return Estimasi'!G101</f>
        <v>6.7145564727000961E-3</v>
      </c>
      <c r="H101">
        <f>Return!H101-'Return Estimasi'!H101</f>
        <v>-1.0995987651379442E-2</v>
      </c>
      <c r="I101">
        <f>Return!I101-'Return Estimasi'!I101</f>
        <v>1.9174589995146509E-2</v>
      </c>
      <c r="J101">
        <f>Return!J101-'Return Estimasi'!J101</f>
        <v>-1.1908726821336757E-2</v>
      </c>
      <c r="K101">
        <f>Return!K101-'Return Estimasi'!K101</f>
        <v>7.8776276388679844E-4</v>
      </c>
      <c r="L101">
        <f>Return!L101-'Return Estimasi'!L101</f>
        <v>1.1975783281456416E-2</v>
      </c>
      <c r="M101">
        <f>Return!M101-'Return Estimasi'!M101</f>
        <v>-6.3001657070791153E-2</v>
      </c>
      <c r="N101">
        <f>Return!N101-'Return Estimasi'!N101</f>
        <v>-4.3721687544612739E-2</v>
      </c>
      <c r="O101">
        <f>Return!O101-'Return Estimasi'!O101</f>
        <v>-1.3516973182587478E-2</v>
      </c>
      <c r="P101">
        <f>Return!P101-'Return Estimasi'!P101</f>
        <v>3.3733962519985804E-2</v>
      </c>
      <c r="Q101">
        <f>Return!Q101-'Return Estimasi'!Q101</f>
        <v>1.0481011161597097E-2</v>
      </c>
      <c r="R101">
        <f>Return!R101-'Return Estimasi'!R101</f>
        <v>-8.4337378669059743E-3</v>
      </c>
      <c r="S101">
        <f>Return!S101-'Return Estimasi'!S101</f>
        <v>-1.4032504893061803E-2</v>
      </c>
      <c r="T101">
        <f>Return!T101-'Return Estimasi'!T101</f>
        <v>-9.7654201675974432E-3</v>
      </c>
      <c r="U101">
        <f>Return!U101-'Return Estimasi'!U101</f>
        <v>6.5819332050962465E-2</v>
      </c>
      <c r="V101">
        <f>Return!V101-'Return Estimasi'!V101</f>
        <v>-3.6322920445769624E-3</v>
      </c>
      <c r="W101">
        <f>Return!W101-'Return Estimasi'!W101</f>
        <v>-6.5229590609754362E-2</v>
      </c>
      <c r="X101">
        <f>Return!X101-'Return Estimasi'!X101</f>
        <v>-2.1048216658476199E-2</v>
      </c>
      <c r="Y101">
        <f>Return!Y101-'Return Estimasi'!Y101</f>
        <v>6.6980491880434794E-3</v>
      </c>
      <c r="Z101">
        <f>Return!Z101-'Return Estimasi'!Z101</f>
        <v>-2.2195529409027538E-3</v>
      </c>
      <c r="AA101">
        <f>Return!AA101-'Return Estimasi'!AA101</f>
        <v>-1.080688349517165E-3</v>
      </c>
      <c r="AB101">
        <f>Return!AB101-'Return Estimasi'!AB101</f>
        <v>-9.2637255708190713E-3</v>
      </c>
      <c r="AC101">
        <f>Return!AC101-'Return Estimasi'!AC101</f>
        <v>-1.5154987798946227E-2</v>
      </c>
      <c r="AD101">
        <f>Return!AD101-'Return Estimasi'!AD101</f>
        <v>5.8809575719820449E-2</v>
      </c>
      <c r="AE101">
        <f>Return!AE101-'Return Estimasi'!AE101</f>
        <v>3.0524968025575649E-2</v>
      </c>
      <c r="AF101">
        <f>Return!AF101-'Return Estimasi'!AF101</f>
        <v>-17.408139632433532</v>
      </c>
    </row>
    <row r="102" spans="1:32" x14ac:dyDescent="0.3">
      <c r="A102" s="1">
        <v>45999</v>
      </c>
      <c r="B102">
        <f>('Data Saham'!B102-'Data Saham'!B101)/'Data Saham'!B101</f>
        <v>2.4425710499190071E-2</v>
      </c>
      <c r="C102">
        <f>Return!C102-'Return Estimasi'!C102</f>
        <v>1.5745501522377553E-2</v>
      </c>
      <c r="D102">
        <f>Return!D102-'Return Estimasi'!D102</f>
        <v>3.7789137124848597E-2</v>
      </c>
      <c r="E102">
        <f>Return!E102-'Return Estimasi'!E102</f>
        <v>1.627300308261611E-2</v>
      </c>
      <c r="F102">
        <f>Return!F102-'Return Estimasi'!F102</f>
        <v>1.7516205969981474E-2</v>
      </c>
      <c r="G102">
        <f>Return!G102-'Return Estimasi'!G102</f>
        <v>3.9923337541348518E-2</v>
      </c>
      <c r="H102">
        <f>Return!H102-'Return Estimasi'!H102</f>
        <v>1.4815408547127137E-3</v>
      </c>
      <c r="I102">
        <f>Return!I102-'Return Estimasi'!I102</f>
        <v>-8.4868187447568345E-3</v>
      </c>
      <c r="J102">
        <f>Return!J102-'Return Estimasi'!J102</f>
        <v>-1.0052755899482149E-2</v>
      </c>
      <c r="K102">
        <f>Return!K102-'Return Estimasi'!K102</f>
        <v>3.3099728266608626E-3</v>
      </c>
      <c r="L102">
        <f>Return!L102-'Return Estimasi'!L102</f>
        <v>-5.6911948457670287E-2</v>
      </c>
      <c r="M102">
        <f>Return!M102-'Return Estimasi'!M102</f>
        <v>-4.2419843847052593E-2</v>
      </c>
      <c r="N102">
        <f>Return!N102-'Return Estimasi'!N102</f>
        <v>-7.8176296624290181E-2</v>
      </c>
      <c r="O102">
        <f>Return!O102-'Return Estimasi'!O102</f>
        <v>-6.2204031134908393E-3</v>
      </c>
      <c r="P102">
        <f>Return!P102-'Return Estimasi'!P102</f>
        <v>-2.7354510988309152E-2</v>
      </c>
      <c r="Q102">
        <f>Return!Q102-'Return Estimasi'!Q102</f>
        <v>2.7573737986803418E-2</v>
      </c>
      <c r="R102">
        <f>Return!R102-'Return Estimasi'!R102</f>
        <v>-6.1617007791508367E-3</v>
      </c>
      <c r="S102">
        <f>Return!S102-'Return Estimasi'!S102</f>
        <v>-1.3193230996839138E-2</v>
      </c>
      <c r="T102">
        <f>Return!T102-'Return Estimasi'!T102</f>
        <v>-2.1386391128334608E-2</v>
      </c>
      <c r="U102">
        <f>Return!U102-'Return Estimasi'!U102</f>
        <v>-4.1987440065169968E-2</v>
      </c>
      <c r="V102">
        <f>Return!V102-'Return Estimasi'!V102</f>
        <v>-2.5480229461979517E-2</v>
      </c>
      <c r="W102">
        <f>Return!W102-'Return Estimasi'!W102</f>
        <v>-5.2848807162569615E-2</v>
      </c>
      <c r="X102">
        <f>Return!X102-'Return Estimasi'!X102</f>
        <v>-4.0889095873898482E-2</v>
      </c>
      <c r="Y102">
        <f>Return!Y102-'Return Estimasi'!Y102</f>
        <v>-1.3645992676977924E-2</v>
      </c>
      <c r="Z102">
        <f>Return!Z102-'Return Estimasi'!Z102</f>
        <v>-1.372525500432532E-2</v>
      </c>
      <c r="AA102">
        <f>Return!AA102-'Return Estimasi'!AA102</f>
        <v>-4.3129137434693154E-2</v>
      </c>
      <c r="AB102">
        <f>Return!AB102-'Return Estimasi'!AB102</f>
        <v>2.3542829497708129E-2</v>
      </c>
      <c r="AC102">
        <f>Return!AC102-'Return Estimasi'!AC102</f>
        <v>-2.220131657755943E-2</v>
      </c>
      <c r="AD102">
        <f>Return!AD102-'Return Estimasi'!AD102</f>
        <v>-1.8496346834798557E-2</v>
      </c>
      <c r="AE102">
        <f>Return!AE102-'Return Estimasi'!AE102</f>
        <v>-1.8602140686574946E-2</v>
      </c>
      <c r="AF102">
        <f>Return!AF102-'Return Estimasi'!AF102</f>
        <v>-15.993165204213986</v>
      </c>
    </row>
    <row r="103" spans="1:32" x14ac:dyDescent="0.3">
      <c r="A103" s="4" t="s">
        <v>60</v>
      </c>
      <c r="B103">
        <f>('Data Saham'!B103-'Data Saham'!B102)/'Data Saham'!B102</f>
        <v>1.2989463146681731E-2</v>
      </c>
      <c r="C103">
        <f>Return!C103-'Return Estimasi'!C103</f>
        <v>-1.0440612422434655E-3</v>
      </c>
      <c r="D103">
        <f>Return!D103-'Return Estimasi'!D103</f>
        <v>-6.5493644198582786E-3</v>
      </c>
      <c r="E103">
        <f>Return!E103-'Return Estimasi'!E103</f>
        <v>-2.0935708077942101E-2</v>
      </c>
      <c r="F103">
        <f>Return!F103-'Return Estimasi'!F103</f>
        <v>-8.5987505426977657E-3</v>
      </c>
      <c r="G103">
        <f>Return!G103-'Return Estimasi'!G103</f>
        <v>4.3284365638421002E-2</v>
      </c>
      <c r="H103">
        <f>Return!H103-'Return Estimasi'!H103</f>
        <v>2.7882440028767309E-2</v>
      </c>
      <c r="I103">
        <f>Return!I103-'Return Estimasi'!I103</f>
        <v>-1.1493347435749104E-2</v>
      </c>
      <c r="J103">
        <f>Return!J103-'Return Estimasi'!J103</f>
        <v>-6.7771586768668153E-3</v>
      </c>
      <c r="K103">
        <f>Return!K103-'Return Estimasi'!K103</f>
        <v>-2.9677728308448219E-2</v>
      </c>
      <c r="L103">
        <f>Return!L103-'Return Estimasi'!L103</f>
        <v>-7.5601744278694961E-3</v>
      </c>
      <c r="M103">
        <f>Return!M103-'Return Estimasi'!M103</f>
        <v>-1.4270056446492527E-2</v>
      </c>
      <c r="N103">
        <f>Return!N103-'Return Estimasi'!N103</f>
        <v>-1.6060856334244873E-2</v>
      </c>
      <c r="O103">
        <f>Return!O103-'Return Estimasi'!O103</f>
        <v>-6.3393966693607159E-3</v>
      </c>
      <c r="P103">
        <f>Return!P103-'Return Estimasi'!P103</f>
        <v>-1.7316039710950238E-3</v>
      </c>
      <c r="Q103">
        <f>Return!Q103-'Return Estimasi'!Q103</f>
        <v>5.2328050609983141E-3</v>
      </c>
      <c r="R103">
        <f>Return!R103-'Return Estimasi'!R103</f>
        <v>7.7278654870976769E-3</v>
      </c>
      <c r="S103">
        <f>Return!S103-'Return Estimasi'!S103</f>
        <v>-2.4873889615014046E-3</v>
      </c>
      <c r="T103">
        <f>Return!T103-'Return Estimasi'!T103</f>
        <v>-1.4890449153465641E-2</v>
      </c>
      <c r="U103">
        <f>Return!U103-'Return Estimasi'!U103</f>
        <v>-1.4475472404698372E-2</v>
      </c>
      <c r="V103">
        <f>Return!V103-'Return Estimasi'!V103</f>
        <v>-2.0157308676610045E-2</v>
      </c>
      <c r="W103">
        <f>Return!W103-'Return Estimasi'!W103</f>
        <v>-3.5438007168827126E-2</v>
      </c>
      <c r="X103">
        <f>Return!X103-'Return Estimasi'!X103</f>
        <v>6.5824140575723167E-3</v>
      </c>
      <c r="Y103">
        <f>Return!Y103-'Return Estimasi'!Y103</f>
        <v>-2.5479509694341124E-2</v>
      </c>
      <c r="Z103">
        <f>Return!Z103-'Return Estimasi'!Z103</f>
        <v>-4.8637953119742032E-3</v>
      </c>
      <c r="AA103">
        <f>Return!AA103-'Return Estimasi'!AA103</f>
        <v>2.4179207167641638E-2</v>
      </c>
      <c r="AB103">
        <f>Return!AB103-'Return Estimasi'!AB103</f>
        <v>-2.818670196192942E-2</v>
      </c>
      <c r="AC103">
        <f>Return!AC103-'Return Estimasi'!AC103</f>
        <v>-1.2338654004019468E-2</v>
      </c>
      <c r="AD103">
        <f>Return!AD103-'Return Estimasi'!AD103</f>
        <v>1.948388226585087E-2</v>
      </c>
      <c r="AE103">
        <f>Return!AE103-'Return Estimasi'!AE103</f>
        <v>5.7483222914500882E-3</v>
      </c>
      <c r="AF103">
        <f>Return!AF103-'Return Estimasi'!AF103</f>
        <v>-16.244707725526368</v>
      </c>
    </row>
    <row r="104" spans="1:32" x14ac:dyDescent="0.3">
      <c r="A104" s="3" t="s">
        <v>61</v>
      </c>
      <c r="B104">
        <f>('Data Saham'!B104-'Data Saham'!B103)/'Data Saham'!B103</f>
        <v>4.8575240310608061E-3</v>
      </c>
      <c r="C104">
        <f>Return!C104-'Return Estimasi'!C104</f>
        <v>-1.9340135580370971E-2</v>
      </c>
      <c r="D104">
        <f>Return!D104-'Return Estimasi'!D104</f>
        <v>-1.086191780271259E-2</v>
      </c>
      <c r="E104">
        <f>Return!E104-'Return Estimasi'!E104</f>
        <v>-8.9374641055112621E-3</v>
      </c>
      <c r="F104">
        <f>Return!F104-'Return Estimasi'!F104</f>
        <v>5.7222664740135595E-4</v>
      </c>
      <c r="G104">
        <f>Return!G104-'Return Estimasi'!G104</f>
        <v>1.186343605497908E-2</v>
      </c>
      <c r="H104">
        <f>Return!H104-'Return Estimasi'!H104</f>
        <v>-1.8213442153272485E-2</v>
      </c>
      <c r="I104">
        <f>Return!I104-'Return Estimasi'!I104</f>
        <v>2.6191732886864223E-2</v>
      </c>
      <c r="J104">
        <f>Return!J104-'Return Estimasi'!J104</f>
        <v>1.4240761544179853E-2</v>
      </c>
      <c r="K104">
        <f>Return!K104-'Return Estimasi'!K104</f>
        <v>-4.2912251219267856E-4</v>
      </c>
      <c r="L104">
        <f>Return!L104-'Return Estimasi'!L104</f>
        <v>-4.6171381656292991E-3</v>
      </c>
      <c r="M104">
        <f>Return!M104-'Return Estimasi'!M104</f>
        <v>-1.6701134800387391E-2</v>
      </c>
      <c r="N104">
        <f>Return!N104-'Return Estimasi'!N104</f>
        <v>-9.0055130859218995E-3</v>
      </c>
      <c r="O104">
        <f>Return!O104-'Return Estimasi'!O104</f>
        <v>-1.4070884214210332E-2</v>
      </c>
      <c r="P104">
        <f>Return!P104-'Return Estimasi'!P104</f>
        <v>-1.789573364379839E-2</v>
      </c>
      <c r="Q104">
        <f>Return!Q104-'Return Estimasi'!Q104</f>
        <v>1.0010295640871678E-2</v>
      </c>
      <c r="R104">
        <f>Return!R104-'Return Estimasi'!R104</f>
        <v>2.2996475909446458E-2</v>
      </c>
      <c r="S104">
        <f>Return!S104-'Return Estimasi'!S104</f>
        <v>-9.2441921881481134E-3</v>
      </c>
      <c r="T104">
        <f>Return!T104-'Return Estimasi'!T104</f>
        <v>-2.3063037341111928E-2</v>
      </c>
      <c r="U104">
        <f>Return!U104-'Return Estimasi'!U104</f>
        <v>2.0392546197686963E-3</v>
      </c>
      <c r="V104">
        <f>Return!V104-'Return Estimasi'!V104</f>
        <v>2.8634503951712638E-3</v>
      </c>
      <c r="W104">
        <f>Return!W104-'Return Estimasi'!W104</f>
        <v>-2.0079762318084636E-2</v>
      </c>
      <c r="X104">
        <f>Return!X104-'Return Estimasi'!X104</f>
        <v>-2.0187192685192895E-2</v>
      </c>
      <c r="Y104">
        <f>Return!Y104-'Return Estimasi'!Y104</f>
        <v>-1.9290427850401283E-2</v>
      </c>
      <c r="Z104">
        <f>Return!Z104-'Return Estimasi'!Z104</f>
        <v>1.4323640251822519E-3</v>
      </c>
      <c r="AA104">
        <f>Return!AA104-'Return Estimasi'!AA104</f>
        <v>4.7966887752576251E-2</v>
      </c>
      <c r="AB104">
        <f>Return!AB104-'Return Estimasi'!AB104</f>
        <v>-3.5489288200669204E-2</v>
      </c>
      <c r="AC104">
        <f>Return!AC104-'Return Estimasi'!AC104</f>
        <v>4.2148720008869378E-4</v>
      </c>
      <c r="AD104">
        <f>Return!AD104-'Return Estimasi'!AD104</f>
        <v>-2.1711943423867477E-2</v>
      </c>
      <c r="AE104">
        <f>Return!AE104-'Return Estimasi'!AE104</f>
        <v>-1.9056903531991517E-2</v>
      </c>
      <c r="AF104">
        <f>Return!AF104-'Return Estimasi'!AF104</f>
        <v>-16.552691824582876</v>
      </c>
    </row>
    <row r="105" spans="1:32" x14ac:dyDescent="0.3">
      <c r="A105" s="4" t="s">
        <v>62</v>
      </c>
      <c r="B105">
        <f>('Data Saham'!B105-'Data Saham'!B104)/'Data Saham'!B104</f>
        <v>-4.1443656422379691E-3</v>
      </c>
      <c r="C105">
        <f>Return!C105-'Return Estimasi'!C105</f>
        <v>-3.3479211702095715E-3</v>
      </c>
      <c r="D105">
        <f>Return!D105-'Return Estimasi'!D105</f>
        <v>1.7670677944228629E-2</v>
      </c>
      <c r="E105">
        <f>Return!E105-'Return Estimasi'!E105</f>
        <v>3.9790760808138094E-3</v>
      </c>
      <c r="F105">
        <f>Return!F105-'Return Estimasi'!F105</f>
        <v>-9.3548141917926177E-4</v>
      </c>
      <c r="G105">
        <f>Return!G105-'Return Estimasi'!G105</f>
        <v>-3.0048048703170741E-2</v>
      </c>
      <c r="H105">
        <f>Return!H105-'Return Estimasi'!H105</f>
        <v>-1.2370264339240815E-2</v>
      </c>
      <c r="I105">
        <f>Return!I105-'Return Estimasi'!I105</f>
        <v>2.1616519845390265E-2</v>
      </c>
      <c r="J105">
        <f>Return!J105-'Return Estimasi'!J105</f>
        <v>-1.1019590214099992E-2</v>
      </c>
      <c r="K105">
        <f>Return!K105-'Return Estimasi'!K105</f>
        <v>-1.3723920772956274E-2</v>
      </c>
      <c r="L105">
        <f>Return!L105-'Return Estimasi'!L105</f>
        <v>-4.7063586998705009E-3</v>
      </c>
      <c r="M105">
        <f>Return!M105-'Return Estimasi'!M105</f>
        <v>2.3660481476455815E-3</v>
      </c>
      <c r="N105">
        <f>Return!N105-'Return Estimasi'!N105</f>
        <v>-1.3980686618401843E-2</v>
      </c>
      <c r="O105">
        <f>Return!O105-'Return Estimasi'!O105</f>
        <v>-5.5844145233366988E-4</v>
      </c>
      <c r="P105">
        <f>Return!P105-'Return Estimasi'!P105</f>
        <v>-2.5970530834072292E-2</v>
      </c>
      <c r="Q105">
        <f>Return!Q105-'Return Estimasi'!Q105</f>
        <v>-1.1112199304637627E-2</v>
      </c>
      <c r="R105">
        <f>Return!R105-'Return Estimasi'!R105</f>
        <v>-3.1575997405555195E-2</v>
      </c>
      <c r="S105">
        <f>Return!S105-'Return Estimasi'!S105</f>
        <v>1.0224537740089823E-4</v>
      </c>
      <c r="T105">
        <f>Return!T105-'Return Estimasi'!T105</f>
        <v>1.1023004033230921E-2</v>
      </c>
      <c r="U105">
        <f>Return!U105-'Return Estimasi'!U105</f>
        <v>-1.4569863683306154E-2</v>
      </c>
      <c r="V105">
        <f>Return!V105-'Return Estimasi'!V105</f>
        <v>-3.4039076829092984E-3</v>
      </c>
      <c r="W105">
        <f>Return!W105-'Return Estimasi'!W105</f>
        <v>-3.0718995778730839E-3</v>
      </c>
      <c r="X105">
        <f>Return!X105-'Return Estimasi'!X105</f>
        <v>1.2886511469778268E-2</v>
      </c>
      <c r="Y105">
        <f>Return!Y105-'Return Estimasi'!Y105</f>
        <v>-1.6747635653268034E-2</v>
      </c>
      <c r="Z105">
        <f>Return!Z105-'Return Estimasi'!Z105</f>
        <v>-1.6492172660626334E-2</v>
      </c>
      <c r="AA105">
        <f>Return!AA105-'Return Estimasi'!AA105</f>
        <v>3.2735686389814216E-2</v>
      </c>
      <c r="AB105">
        <f>Return!AB105-'Return Estimasi'!AB105</f>
        <v>5.239553830155925E-3</v>
      </c>
      <c r="AC105">
        <f>Return!AC105-'Return Estimasi'!AC105</f>
        <v>-1.4705232991188069E-2</v>
      </c>
      <c r="AD105">
        <f>Return!AD105-'Return Estimasi'!AD105</f>
        <v>-2.6718094892804543E-2</v>
      </c>
      <c r="AE105">
        <f>Return!AE105-'Return Estimasi'!AE105</f>
        <v>-1.763748959657295E-2</v>
      </c>
      <c r="AF105">
        <f>Return!AF105-'Return Estimasi'!AF105</f>
        <v>-16.820028845760273</v>
      </c>
    </row>
    <row r="106" spans="1:32" x14ac:dyDescent="0.3">
      <c r="A106" s="3" t="s">
        <v>63</v>
      </c>
      <c r="B106">
        <f>('Data Saham'!B106-'Data Saham'!B105)/'Data Saham'!B105</f>
        <v>-4.4857299851362295E-3</v>
      </c>
      <c r="C106">
        <f>Return!C106-'Return Estimasi'!C106</f>
        <v>-1.7496191062642479E-2</v>
      </c>
      <c r="D106">
        <f>Return!D106-'Return Estimasi'!D106</f>
        <v>-1.6189430842284681E-2</v>
      </c>
      <c r="E106">
        <f>Return!E106-'Return Estimasi'!E106</f>
        <v>-5.9961236028868532E-3</v>
      </c>
      <c r="F106">
        <f>Return!F106-'Return Estimasi'!F106</f>
        <v>-5.2438492101602244E-3</v>
      </c>
      <c r="G106">
        <f>Return!G106-'Return Estimasi'!G106</f>
        <v>-1.5703674324024166E-2</v>
      </c>
      <c r="H106">
        <f>Return!H106-'Return Estimasi'!H106</f>
        <v>0.10206776925526573</v>
      </c>
      <c r="I106">
        <f>Return!I106-'Return Estimasi'!I106</f>
        <v>-8.8599254285581762E-3</v>
      </c>
      <c r="J106">
        <f>Return!J106-'Return Estimasi'!J106</f>
        <v>-1.4179540489439389E-2</v>
      </c>
      <c r="K106">
        <f>Return!K106-'Return Estimasi'!K106</f>
        <v>-2.6230876484836952E-3</v>
      </c>
      <c r="L106">
        <f>Return!L106-'Return Estimasi'!L106</f>
        <v>-6.8746848365919093E-3</v>
      </c>
      <c r="M106">
        <f>Return!M106-'Return Estimasi'!M106</f>
        <v>-3.1797431966288175E-2</v>
      </c>
      <c r="N106">
        <f>Return!N106-'Return Estimasi'!N106</f>
        <v>4.9066571410495738E-2</v>
      </c>
      <c r="O106">
        <f>Return!O106-'Return Estimasi'!O106</f>
        <v>8.6710894491642473E-3</v>
      </c>
      <c r="P106">
        <f>Return!P106-'Return Estimasi'!P106</f>
        <v>5.8257707386019852E-3</v>
      </c>
      <c r="Q106">
        <f>Return!Q106-'Return Estimasi'!Q106</f>
        <v>1.6462971653284086E-2</v>
      </c>
      <c r="R106">
        <f>Return!R106-'Return Estimasi'!R106</f>
        <v>-1.0973351448227487E-2</v>
      </c>
      <c r="S106">
        <f>Return!S106-'Return Estimasi'!S106</f>
        <v>2.0553163132549224E-2</v>
      </c>
      <c r="T106">
        <f>Return!T106-'Return Estimasi'!T106</f>
        <v>-1.1457113508852364E-2</v>
      </c>
      <c r="U106">
        <f>Return!U106-'Return Estimasi'!U106</f>
        <v>4.3133632158187579E-2</v>
      </c>
      <c r="V106">
        <f>Return!V106-'Return Estimasi'!V106</f>
        <v>-9.3933393299128736E-3</v>
      </c>
      <c r="W106">
        <f>Return!W106-'Return Estimasi'!W106</f>
        <v>-1.5658267156483788E-2</v>
      </c>
      <c r="X106">
        <f>Return!X106-'Return Estimasi'!X106</f>
        <v>-2.2481116386157143E-2</v>
      </c>
      <c r="Y106">
        <f>Return!Y106-'Return Estimasi'!Y106</f>
        <v>-1.6954742621272868E-2</v>
      </c>
      <c r="Z106">
        <f>Return!Z106-'Return Estimasi'!Z106</f>
        <v>-2.5141268232679519E-2</v>
      </c>
      <c r="AA106">
        <f>Return!AA106-'Return Estimasi'!AA106</f>
        <v>-2.6582231934314211E-2</v>
      </c>
      <c r="AB106">
        <f>Return!AB106-'Return Estimasi'!AB106</f>
        <v>-1.0530027379437422E-2</v>
      </c>
      <c r="AC106">
        <f>Return!AC106-'Return Estimasi'!AC106</f>
        <v>4.342969245883415E-2</v>
      </c>
      <c r="AD106">
        <f>Return!AD106-'Return Estimasi'!AD106</f>
        <v>2.7656350199093339E-2</v>
      </c>
      <c r="AE106">
        <f>Return!AE106-'Return Estimasi'!AE106</f>
        <v>3.4562929771594468E-3</v>
      </c>
      <c r="AF106">
        <f>Return!AF106-'Return Estimasi'!AF106</f>
        <v>-16.80121085166363</v>
      </c>
    </row>
    <row r="107" spans="1:32" x14ac:dyDescent="0.3">
      <c r="A107" s="4" t="s">
        <v>64</v>
      </c>
      <c r="B107">
        <f>('Data Saham'!B107-'Data Saham'!B106)/'Data Saham'!B106</f>
        <v>1.0286215733280779E-2</v>
      </c>
      <c r="C107">
        <f>Return!C107-'Return Estimasi'!C107</f>
        <v>-4.2554084397254856E-3</v>
      </c>
      <c r="D107">
        <f>Return!D107-'Return Estimasi'!D107</f>
        <v>1.5929279867567061E-2</v>
      </c>
      <c r="E107">
        <f>Return!E107-'Return Estimasi'!E107</f>
        <v>2.1106483936699248E-2</v>
      </c>
      <c r="F107">
        <f>Return!F107-'Return Estimasi'!F107</f>
        <v>1.4492058026400596E-2</v>
      </c>
      <c r="G107">
        <f>Return!G107-'Return Estimasi'!G107</f>
        <v>-2.0114942187398496E-2</v>
      </c>
      <c r="H107">
        <f>Return!H107-'Return Estimasi'!H107</f>
        <v>-7.3730129056943103E-3</v>
      </c>
      <c r="I107">
        <f>Return!I107-'Return Estimasi'!I107</f>
        <v>-1.5281986247290697E-2</v>
      </c>
      <c r="J107">
        <f>Return!J107-'Return Estimasi'!J107</f>
        <v>3.4141229261600882E-3</v>
      </c>
      <c r="K107">
        <f>Return!K107-'Return Estimasi'!K107</f>
        <v>-5.4484080332666543E-3</v>
      </c>
      <c r="L107">
        <f>Return!L107-'Return Estimasi'!L107</f>
        <v>6.9518733836137683E-3</v>
      </c>
      <c r="M107">
        <f>Return!M107-'Return Estimasi'!M107</f>
        <v>-4.4193380163594052E-3</v>
      </c>
      <c r="N107">
        <f>Return!N107-'Return Estimasi'!N107</f>
        <v>-7.928492652529321E-3</v>
      </c>
      <c r="O107">
        <f>Return!O107-'Return Estimasi'!O107</f>
        <v>1.006291268694795E-2</v>
      </c>
      <c r="P107">
        <f>Return!P107-'Return Estimasi'!P107</f>
        <v>9.0936331580270917E-3</v>
      </c>
      <c r="Q107">
        <f>Return!Q107-'Return Estimasi'!Q107</f>
        <v>-1.6323409534133908E-2</v>
      </c>
      <c r="R107">
        <f>Return!R107-'Return Estimasi'!R107</f>
        <v>2.0458926659816072E-2</v>
      </c>
      <c r="S107">
        <f>Return!S107-'Return Estimasi'!S107</f>
        <v>-7.7134650237294577E-3</v>
      </c>
      <c r="T107">
        <f>Return!T107-'Return Estimasi'!T107</f>
        <v>1.9147497600029061E-2</v>
      </c>
      <c r="U107">
        <f>Return!U107-'Return Estimasi'!U107</f>
        <v>3.2930919764498148E-2</v>
      </c>
      <c r="V107">
        <f>Return!V107-'Return Estimasi'!V107</f>
        <v>2.1211592264153173E-2</v>
      </c>
      <c r="W107">
        <f>Return!W107-'Return Estimasi'!W107</f>
        <v>3.2050594937100635E-2</v>
      </c>
      <c r="X107">
        <f>Return!X107-'Return Estimasi'!X107</f>
        <v>1.7764828408103816E-3</v>
      </c>
      <c r="Y107">
        <f>Return!Y107-'Return Estimasi'!Y107</f>
        <v>6.128229031534467E-2</v>
      </c>
      <c r="Z107">
        <f>Return!Z107-'Return Estimasi'!Z107</f>
        <v>-1.1315921438748619E-2</v>
      </c>
      <c r="AA107">
        <f>Return!AA107-'Return Estimasi'!AA107</f>
        <v>-1.8132491373036571E-2</v>
      </c>
      <c r="AB107">
        <f>Return!AB107-'Return Estimasi'!AB107</f>
        <v>-9.9556114335596479E-3</v>
      </c>
      <c r="AC107">
        <f>Return!AC107-'Return Estimasi'!AC107</f>
        <v>-3.2353732019508474E-2</v>
      </c>
      <c r="AD107">
        <f>Return!AD107-'Return Estimasi'!AD107</f>
        <v>3.9873590283663218E-2</v>
      </c>
      <c r="AE107">
        <f>Return!AE107-'Return Estimasi'!AE107</f>
        <v>2.4100700611628688E-2</v>
      </c>
      <c r="AF107">
        <f>Return!AF107-'Return Estimasi'!AF107</f>
        <v>-16.37628938706721</v>
      </c>
    </row>
    <row r="108" spans="1:32" x14ac:dyDescent="0.3">
      <c r="A108" s="3" t="s">
        <v>65</v>
      </c>
      <c r="B108">
        <f>('Data Saham'!B108-'Data Saham'!B107)/'Data Saham'!B107</f>
        <v>-6.6869507529743076E-3</v>
      </c>
      <c r="C108">
        <f>Return!C108-'Return Estimasi'!C108</f>
        <v>1.0315684576140315E-2</v>
      </c>
      <c r="D108">
        <f>Return!D108-'Return Estimasi'!D108</f>
        <v>5.3926890849423153E-3</v>
      </c>
      <c r="E108">
        <f>Return!E108-'Return Estimasi'!E108</f>
        <v>-3.6336148335871631E-3</v>
      </c>
      <c r="F108">
        <f>Return!F108-'Return Estimasi'!F108</f>
        <v>1.9317959815120335E-2</v>
      </c>
      <c r="G108">
        <f>Return!G108-'Return Estimasi'!G108</f>
        <v>1.3722965662526556E-2</v>
      </c>
      <c r="H108">
        <f>Return!H108-'Return Estimasi'!H108</f>
        <v>2.2145770231706177E-2</v>
      </c>
      <c r="I108">
        <f>Return!I108-'Return Estimasi'!I108</f>
        <v>-5.6634426274271487E-3</v>
      </c>
      <c r="J108">
        <f>Return!J108-'Return Estimasi'!J108</f>
        <v>-4.2888531180765091E-3</v>
      </c>
      <c r="K108">
        <f>Return!K108-'Return Estimasi'!K108</f>
        <v>-1.1600667392521335E-2</v>
      </c>
      <c r="L108">
        <f>Return!L108-'Return Estimasi'!L108</f>
        <v>2.913729005512442E-3</v>
      </c>
      <c r="M108">
        <f>Return!M108-'Return Estimasi'!M108</f>
        <v>-2.1483318235562244E-3</v>
      </c>
      <c r="N108">
        <f>Return!N108-'Return Estimasi'!N108</f>
        <v>-5.6183201945709145E-3</v>
      </c>
      <c r="O108">
        <f>Return!O108-'Return Estimasi'!O108</f>
        <v>2.4468509086542817E-2</v>
      </c>
      <c r="P108">
        <f>Return!P108-'Return Estimasi'!P108</f>
        <v>-8.2381998764950344E-3</v>
      </c>
      <c r="Q108">
        <f>Return!Q108-'Return Estimasi'!Q108</f>
        <v>-1.6744093704226092E-3</v>
      </c>
      <c r="R108">
        <f>Return!R108-'Return Estimasi'!R108</f>
        <v>1.1898784442652376E-2</v>
      </c>
      <c r="S108">
        <f>Return!S108-'Return Estimasi'!S108</f>
        <v>8.1672410772665807E-3</v>
      </c>
      <c r="T108">
        <f>Return!T108-'Return Estimasi'!T108</f>
        <v>5.0474846153411281E-2</v>
      </c>
      <c r="U108">
        <f>Return!U108-'Return Estimasi'!U108</f>
        <v>-1.0646525541480087E-2</v>
      </c>
      <c r="V108">
        <f>Return!V108-'Return Estimasi'!V108</f>
        <v>6.3545964405842856E-2</v>
      </c>
      <c r="W108">
        <f>Return!W108-'Return Estimasi'!W108</f>
        <v>-1.9338434847513346E-2</v>
      </c>
      <c r="X108">
        <f>Return!X108-'Return Estimasi'!X108</f>
        <v>7.5371759030050294E-3</v>
      </c>
      <c r="Y108">
        <f>Return!Y108-'Return Estimasi'!Y108</f>
        <v>2.8108016207646212E-2</v>
      </c>
      <c r="Z108">
        <f>Return!Z108-'Return Estimasi'!Z108</f>
        <v>1.5000694315669147E-2</v>
      </c>
      <c r="AA108">
        <f>Return!AA108-'Return Estimasi'!AA108</f>
        <v>1.6795558054954605E-2</v>
      </c>
      <c r="AB108">
        <f>Return!AB108-'Return Estimasi'!AB108</f>
        <v>7.9168542069962423E-3</v>
      </c>
      <c r="AC108">
        <f>Return!AC108-'Return Estimasi'!AC108</f>
        <v>1.0344644793658073E-2</v>
      </c>
      <c r="AD108">
        <f>Return!AD108-'Return Estimasi'!AD108</f>
        <v>-1.0261278161940002E-2</v>
      </c>
      <c r="AE108">
        <f>Return!AE108-'Return Estimasi'!AE108</f>
        <v>-1.8890540642752494E-5</v>
      </c>
      <c r="AF108">
        <f>Return!AF108-'Return Estimasi'!AF108</f>
        <v>-16.89636750230089</v>
      </c>
    </row>
    <row r="109" spans="1:32" x14ac:dyDescent="0.3">
      <c r="A109" s="4" t="s">
        <v>66</v>
      </c>
      <c r="B109">
        <f>('Data Saham'!B109-'Data Saham'!B108)/'Data Saham'!B108</f>
        <v>-4.0376594755097668E-3</v>
      </c>
      <c r="C109">
        <f>Return!C109-'Return Estimasi'!C109</f>
        <v>-6.5884781956167086E-3</v>
      </c>
      <c r="D109">
        <f>Return!D109-'Return Estimasi'!D109</f>
        <v>-9.2607730344987302E-3</v>
      </c>
      <c r="E109">
        <f>Return!E109-'Return Estimasi'!E109</f>
        <v>1.8338309975512723E-3</v>
      </c>
      <c r="F109">
        <f>Return!F109-'Return Estimasi'!F109</f>
        <v>-1.8741769694047051E-2</v>
      </c>
      <c r="G109">
        <f>Return!G109-'Return Estimasi'!G109</f>
        <v>-1.057355914965117E-3</v>
      </c>
      <c r="H109">
        <f>Return!H109-'Return Estimasi'!H109</f>
        <v>1.559716139189405E-2</v>
      </c>
      <c r="I109">
        <f>Return!I109-'Return Estimasi'!I109</f>
        <v>6.1942384080925002E-3</v>
      </c>
      <c r="J109">
        <f>Return!J109-'Return Estimasi'!J109</f>
        <v>-8.2440267072455414E-3</v>
      </c>
      <c r="K109">
        <f>Return!K109-'Return Estimasi'!K109</f>
        <v>-3.2901076525384491E-4</v>
      </c>
      <c r="L109">
        <f>Return!L109-'Return Estimasi'!L109</f>
        <v>3.0736405803874229E-3</v>
      </c>
      <c r="M109">
        <f>Return!M109-'Return Estimasi'!M109</f>
        <v>-4.731260497631209E-3</v>
      </c>
      <c r="N109">
        <f>Return!N109-'Return Estimasi'!N109</f>
        <v>7.8956138555843665E-3</v>
      </c>
      <c r="O109">
        <f>Return!O109-'Return Estimasi'!O109</f>
        <v>-4.997051061565185E-4</v>
      </c>
      <c r="P109">
        <f>Return!P109-'Return Estimasi'!P109</f>
        <v>-1.0828481218267249E-2</v>
      </c>
      <c r="Q109">
        <f>Return!Q109-'Return Estimasi'!Q109</f>
        <v>2.287836474020033E-3</v>
      </c>
      <c r="R109">
        <f>Return!R109-'Return Estimasi'!R109</f>
        <v>-3.5802361981711335E-2</v>
      </c>
      <c r="S109">
        <f>Return!S109-'Return Estimasi'!S109</f>
        <v>8.3880676053982479E-5</v>
      </c>
      <c r="T109">
        <f>Return!T109-'Return Estimasi'!T109</f>
        <v>1.190032764940907E-3</v>
      </c>
      <c r="U109">
        <f>Return!U109-'Return Estimasi'!U109</f>
        <v>-3.0390736899875894E-3</v>
      </c>
      <c r="V109">
        <f>Return!V109-'Return Estimasi'!V109</f>
        <v>3.7370256362199189E-3</v>
      </c>
      <c r="W109">
        <f>Return!W109-'Return Estimasi'!W109</f>
        <v>-7.7366377130015443E-3</v>
      </c>
      <c r="X109">
        <f>Return!X109-'Return Estimasi'!X109</f>
        <v>1.2870777589432506E-2</v>
      </c>
      <c r="Y109">
        <f>Return!Y109-'Return Estimasi'!Y109</f>
        <v>-4.0830717889646546E-2</v>
      </c>
      <c r="Z109">
        <f>Return!Z109-'Return Estimasi'!Z109</f>
        <v>-4.5237829524405731E-3</v>
      </c>
      <c r="AA109">
        <f>Return!AA109-'Return Estimasi'!AA109</f>
        <v>1.7346191450574672E-2</v>
      </c>
      <c r="AB109">
        <f>Return!AB109-'Return Estimasi'!AB109</f>
        <v>5.1271939885182676E-3</v>
      </c>
      <c r="AC109">
        <f>Return!AC109-'Return Estimasi'!AC109</f>
        <v>2.5072873080879639E-2</v>
      </c>
      <c r="AD109">
        <f>Return!AD109-'Return Estimasi'!AD109</f>
        <v>-5.7199148586698466E-5</v>
      </c>
      <c r="AE109">
        <f>Return!AE109-'Return Estimasi'!AE109</f>
        <v>-7.2482636950599259E-3</v>
      </c>
      <c r="AF109">
        <f>Return!AF109-'Return Estimasi'!AF109</f>
        <v>-16.808077926613421</v>
      </c>
    </row>
    <row r="110" spans="1:32" x14ac:dyDescent="0.3">
      <c r="A110" s="3" t="s">
        <v>67</v>
      </c>
      <c r="B110">
        <f>('Data Saham'!B110-'Data Saham'!B109)/'Data Saham'!B109</f>
        <v>8.6603001711445683E-3</v>
      </c>
      <c r="C110">
        <f>Return!C110-'Return Estimasi'!C110</f>
        <v>-2.8413657699678254E-3</v>
      </c>
      <c r="D110">
        <f>Return!D110-'Return Estimasi'!D110</f>
        <v>1.7129723936079398E-2</v>
      </c>
      <c r="E110">
        <f>Return!E110-'Return Estimasi'!E110</f>
        <v>3.7176365337824868E-3</v>
      </c>
      <c r="F110">
        <f>Return!F110-'Return Estimasi'!F110</f>
        <v>6.4419749859684298E-3</v>
      </c>
      <c r="G110">
        <f>Return!G110-'Return Estimasi'!G110</f>
        <v>1.2185480104985619E-2</v>
      </c>
      <c r="H110">
        <f>Return!H110-'Return Estimasi'!H110</f>
        <v>2.4928031378700427E-3</v>
      </c>
      <c r="I110">
        <f>Return!I110-'Return Estimasi'!I110</f>
        <v>-9.6380702052483915E-3</v>
      </c>
      <c r="J110">
        <f>Return!J110-'Return Estimasi'!J110</f>
        <v>-2.1536240022485106E-2</v>
      </c>
      <c r="K110">
        <f>Return!K110-'Return Estimasi'!K110</f>
        <v>-2.9191699483413311E-2</v>
      </c>
      <c r="L110">
        <f>Return!L110-'Return Estimasi'!L110</f>
        <v>1.8227521365516506E-3</v>
      </c>
      <c r="M110">
        <f>Return!M110-'Return Estimasi'!M110</f>
        <v>4.2125535889780998E-3</v>
      </c>
      <c r="N110">
        <f>Return!N110-'Return Estimasi'!N110</f>
        <v>-1.8741829626009537E-2</v>
      </c>
      <c r="O110">
        <f>Return!O110-'Return Estimasi'!O110</f>
        <v>-4.1176898182868175E-3</v>
      </c>
      <c r="P110">
        <f>Return!P110-'Return Estimasi'!P110</f>
        <v>0.12649490940884325</v>
      </c>
      <c r="Q110">
        <f>Return!Q110-'Return Estimasi'!Q110</f>
        <v>-1.1215935071477071E-2</v>
      </c>
      <c r="R110">
        <f>Return!R110-'Return Estimasi'!R110</f>
        <v>-4.4820508591572356E-2</v>
      </c>
      <c r="S110">
        <f>Return!S110-'Return Estimasi'!S110</f>
        <v>-1.3466104028821126E-2</v>
      </c>
      <c r="T110">
        <f>Return!T110-'Return Estimasi'!T110</f>
        <v>-2.4304138313969197E-2</v>
      </c>
      <c r="U110">
        <f>Return!U110-'Return Estimasi'!U110</f>
        <v>1.208617253931733E-2</v>
      </c>
      <c r="V110">
        <f>Return!V110-'Return Estimasi'!V110</f>
        <v>-3.0205757092692204E-2</v>
      </c>
      <c r="W110">
        <f>Return!W110-'Return Estimasi'!W110</f>
        <v>-9.7866863815428435E-3</v>
      </c>
      <c r="X110">
        <f>Return!X110-'Return Estimasi'!X110</f>
        <v>1.1566354500643371E-2</v>
      </c>
      <c r="Y110">
        <f>Return!Y110-'Return Estimasi'!Y110</f>
        <v>-1.3992249646723911E-2</v>
      </c>
      <c r="Z110">
        <f>Return!Z110-'Return Estimasi'!Z110</f>
        <v>3.0851725698167951E-3</v>
      </c>
      <c r="AA110">
        <f>Return!AA110-'Return Estimasi'!AA110</f>
        <v>-8.7505884907505046E-3</v>
      </c>
      <c r="AB110">
        <f>Return!AB110-'Return Estimasi'!AB110</f>
        <v>-2.4636991664248147E-2</v>
      </c>
      <c r="AC110">
        <f>Return!AC110-'Return Estimasi'!AC110</f>
        <v>8.0614990360615008E-3</v>
      </c>
      <c r="AD110">
        <f>Return!AD110-'Return Estimasi'!AD110</f>
        <v>2.7040871634912825E-2</v>
      </c>
      <c r="AE110">
        <f>Return!AE110-'Return Estimasi'!AE110</f>
        <v>9.1331308706908854E-3</v>
      </c>
      <c r="AF110">
        <f>Return!AF110-'Return Estimasi'!AF110</f>
        <v>-16.381971401247679</v>
      </c>
    </row>
    <row r="111" spans="1:32" x14ac:dyDescent="0.3">
      <c r="A111" s="4" t="s">
        <v>68</v>
      </c>
      <c r="B111">
        <f>('Data Saham'!B111-'Data Saham'!B110)/'Data Saham'!B110</f>
        <v>-2.6681266723098452E-3</v>
      </c>
      <c r="C111">
        <f>Return!C111-'Return Estimasi'!C111</f>
        <v>-2.2617654300061751E-2</v>
      </c>
      <c r="D111">
        <f>Return!D111-'Return Estimasi'!D111</f>
        <v>-8.0605438832768439E-3</v>
      </c>
      <c r="E111">
        <f>Return!E111-'Return Estimasi'!E111</f>
        <v>-7.5666658946106895E-3</v>
      </c>
      <c r="F111">
        <f>Return!F111-'Return Estimasi'!F111</f>
        <v>2.2594645843393164E-2</v>
      </c>
      <c r="G111">
        <f>Return!G111-'Return Estimasi'!G111</f>
        <v>-1.4319924020263983E-2</v>
      </c>
      <c r="H111">
        <f>Return!H111-'Return Estimasi'!H111</f>
        <v>-2.0396698969489365E-2</v>
      </c>
      <c r="I111">
        <f>Return!I111-'Return Estimasi'!I111</f>
        <v>-1.0161888469056898E-2</v>
      </c>
      <c r="J111">
        <f>Return!J111-'Return Estimasi'!J111</f>
        <v>1.3813292416408943E-2</v>
      </c>
      <c r="K111">
        <f>Return!K111-'Return Estimasi'!K111</f>
        <v>-1.6828103804929718E-3</v>
      </c>
      <c r="L111">
        <f>Return!L111-'Return Estimasi'!L111</f>
        <v>3.3771684410690184E-4</v>
      </c>
      <c r="M111">
        <f>Return!M111-'Return Estimasi'!M111</f>
        <v>9.5783373041327885E-4</v>
      </c>
      <c r="N111">
        <f>Return!N111-'Return Estimasi'!N111</f>
        <v>-7.3055994755820836E-3</v>
      </c>
      <c r="O111">
        <f>Return!O111-'Return Estimasi'!O111</f>
        <v>-7.0249226520148226E-3</v>
      </c>
      <c r="P111">
        <f>Return!P111-'Return Estimasi'!P111</f>
        <v>-6.8765558114021214E-2</v>
      </c>
      <c r="Q111">
        <f>Return!Q111-'Return Estimasi'!Q111</f>
        <v>1.1070301035864235E-2</v>
      </c>
      <c r="R111">
        <f>Return!R111-'Return Estimasi'!R111</f>
        <v>-5.2894580792670932E-3</v>
      </c>
      <c r="S111">
        <f>Return!S111-'Return Estimasi'!S111</f>
        <v>-9.6143801071481849E-3</v>
      </c>
      <c r="T111">
        <f>Return!T111-'Return Estimasi'!T111</f>
        <v>-5.784627814647017E-3</v>
      </c>
      <c r="U111">
        <f>Return!U111-'Return Estimasi'!U111</f>
        <v>-1.1554329384651731E-2</v>
      </c>
      <c r="V111">
        <f>Return!V111-'Return Estimasi'!V111</f>
        <v>-2.2297129805408145E-2</v>
      </c>
      <c r="W111">
        <f>Return!W111-'Return Estimasi'!W111</f>
        <v>-3.6825273223235595E-2</v>
      </c>
      <c r="X111">
        <f>Return!X111-'Return Estimasi'!X111</f>
        <v>-1.2665052980655924E-2</v>
      </c>
      <c r="Y111">
        <f>Return!Y111-'Return Estimasi'!Y111</f>
        <v>3.7221303569314104E-3</v>
      </c>
      <c r="Z111">
        <f>Return!Z111-'Return Estimasi'!Z111</f>
        <v>3.1085714374673072E-3</v>
      </c>
      <c r="AA111">
        <f>Return!AA111-'Return Estimasi'!AA111</f>
        <v>-2.5113905750491893E-2</v>
      </c>
      <c r="AB111">
        <f>Return!AB111-'Return Estimasi'!AB111</f>
        <v>2.0351765098729616E-2</v>
      </c>
      <c r="AC111">
        <f>Return!AC111-'Return Estimasi'!AC111</f>
        <v>-1.5228932491075826E-2</v>
      </c>
      <c r="AD111">
        <f>Return!AD111-'Return Estimasi'!AD111</f>
        <v>-1.8120546688853375E-2</v>
      </c>
      <c r="AE111">
        <f>Return!AE111-'Return Estimasi'!AE111</f>
        <v>-8.2397541206517613E-3</v>
      </c>
      <c r="AF111">
        <f>Return!AF111-'Return Estimasi'!AF111</f>
        <v>-16.750243041650556</v>
      </c>
    </row>
    <row r="112" spans="1:32" x14ac:dyDescent="0.3">
      <c r="A112" s="3" t="s">
        <v>69</v>
      </c>
      <c r="B112">
        <f>('Data Saham'!B112-'Data Saham'!B111)/'Data Saham'!B111</f>
        <v>3.8478274068527341E-3</v>
      </c>
      <c r="C112">
        <f>Return!C112-'Return Estimasi'!C112</f>
        <v>4.3945087775591994E-3</v>
      </c>
      <c r="D112">
        <f>Return!D112-'Return Estimasi'!D112</f>
        <v>-1.4559364149840371E-2</v>
      </c>
      <c r="E112">
        <f>Return!E112-'Return Estimasi'!E112</f>
        <v>-2.4250704334361155E-2</v>
      </c>
      <c r="F112">
        <f>Return!F112-'Return Estimasi'!F112</f>
        <v>-2.2972990054401763E-2</v>
      </c>
      <c r="G112">
        <f>Return!G112-'Return Estimasi'!G112</f>
        <v>-3.2691478124030865E-2</v>
      </c>
      <c r="H112">
        <f>Return!H112-'Return Estimasi'!H112</f>
        <v>-2.5263605351511769E-2</v>
      </c>
      <c r="I112">
        <f>Return!I112-'Return Estimasi'!I112</f>
        <v>-5.098898267411273E-3</v>
      </c>
      <c r="J112">
        <f>Return!J112-'Return Estimasi'!J112</f>
        <v>-2.6686539485661593E-2</v>
      </c>
      <c r="K112">
        <f>Return!K112-'Return Estimasi'!K112</f>
        <v>3.5402707251812833E-2</v>
      </c>
      <c r="L112">
        <f>Return!L112-'Return Estimasi'!L112</f>
        <v>2.0401957485657266E-4</v>
      </c>
      <c r="M112">
        <f>Return!M112-'Return Estimasi'!M112</f>
        <v>1.8929157807640123E-2</v>
      </c>
      <c r="N112">
        <f>Return!N112-'Return Estimasi'!N112</f>
        <v>6.8549932904425404E-2</v>
      </c>
      <c r="O112">
        <f>Return!O112-'Return Estimasi'!O112</f>
        <v>-2.5108361127619147E-2</v>
      </c>
      <c r="P112">
        <f>Return!P112-'Return Estimasi'!P112</f>
        <v>2.2118243308770401E-2</v>
      </c>
      <c r="Q112">
        <f>Return!Q112-'Return Estimasi'!Q112</f>
        <v>-7.3665630588234762E-2</v>
      </c>
      <c r="R112">
        <f>Return!R112-'Return Estimasi'!R112</f>
        <v>-1.4123326004242547E-3</v>
      </c>
      <c r="S112">
        <f>Return!S112-'Return Estimasi'!S112</f>
        <v>-1.328515107376332E-2</v>
      </c>
      <c r="T112">
        <f>Return!T112-'Return Estimasi'!T112</f>
        <v>3.4066527229952778E-2</v>
      </c>
      <c r="U112">
        <f>Return!U112-'Return Estimasi'!U112</f>
        <v>-1.8899416913823894E-2</v>
      </c>
      <c r="V112">
        <f>Return!V112-'Return Estimasi'!V112</f>
        <v>1.2758786926951643E-2</v>
      </c>
      <c r="W112">
        <f>Return!W112-'Return Estimasi'!W112</f>
        <v>4.0915737400456731E-2</v>
      </c>
      <c r="X112">
        <f>Return!X112-'Return Estimasi'!X112</f>
        <v>-7.7470914824430553E-3</v>
      </c>
      <c r="Y112">
        <f>Return!Y112-'Return Estimasi'!Y112</f>
        <v>-1.4623211604767088E-2</v>
      </c>
      <c r="Z112">
        <f>Return!Z112-'Return Estimasi'!Z112</f>
        <v>-6.2982057873259487E-3</v>
      </c>
      <c r="AA112">
        <f>Return!AA112-'Return Estimasi'!AA112</f>
        <v>-4.8525886393707994E-2</v>
      </c>
      <c r="AB112">
        <f>Return!AB112-'Return Estimasi'!AB112</f>
        <v>-1.9569536855767445E-2</v>
      </c>
      <c r="AC112">
        <f>Return!AC112-'Return Estimasi'!AC112</f>
        <v>-2.6677095306412987E-2</v>
      </c>
      <c r="AD112">
        <f>Return!AD112-'Return Estimasi'!AD112</f>
        <v>-3.2758460087119155E-3</v>
      </c>
      <c r="AE112">
        <f>Return!AE112-'Return Estimasi'!AE112</f>
        <v>-8.1102577204649785E-3</v>
      </c>
      <c r="AF112">
        <f>Return!AF112-'Return Estimasi'!AF112</f>
        <v>-16.567061850752744</v>
      </c>
    </row>
    <row r="113" spans="1:32" x14ac:dyDescent="0.3">
      <c r="A113" s="4" t="s">
        <v>70</v>
      </c>
      <c r="B113">
        <f>('Data Saham'!B113-'Data Saham'!B112)/'Data Saham'!B112</f>
        <v>2.004742835973964E-3</v>
      </c>
      <c r="C113">
        <f>Return!C113-'Return Estimasi'!C113</f>
        <v>2.9291353805041258E-3</v>
      </c>
      <c r="D113">
        <f>Return!D113-'Return Estimasi'!D113</f>
        <v>-7.3327153509234041E-4</v>
      </c>
      <c r="E113">
        <f>Return!E113-'Return Estimasi'!E113</f>
        <v>-8.2887931115549103E-3</v>
      </c>
      <c r="F113">
        <f>Return!F113-'Return Estimasi'!F113</f>
        <v>6.591147043203808E-4</v>
      </c>
      <c r="G113">
        <f>Return!G113-'Return Estimasi'!G113</f>
        <v>-2.6918936731713762E-4</v>
      </c>
      <c r="H113">
        <f>Return!H113-'Return Estimasi'!H113</f>
        <v>1.1834974058702543E-2</v>
      </c>
      <c r="I113">
        <f>Return!I113-'Return Estimasi'!I113</f>
        <v>-1.6653997648190238E-3</v>
      </c>
      <c r="J113">
        <f>Return!J113-'Return Estimasi'!J113</f>
        <v>-5.1606362731854724E-4</v>
      </c>
      <c r="K113">
        <f>Return!K113-'Return Estimasi'!K113</f>
        <v>-2.2598687329365499E-2</v>
      </c>
      <c r="L113">
        <f>Return!L113-'Return Estimasi'!L113</f>
        <v>8.7232022267818426E-4</v>
      </c>
      <c r="M113">
        <f>Return!M113-'Return Estimasi'!M113</f>
        <v>-3.0360229111975334E-4</v>
      </c>
      <c r="N113">
        <f>Return!N113-'Return Estimasi'!N113</f>
        <v>4.9603404159413667E-2</v>
      </c>
      <c r="O113">
        <f>Return!O113-'Return Estimasi'!O113</f>
        <v>2.932794212204758E-2</v>
      </c>
      <c r="P113">
        <f>Return!P113-'Return Estimasi'!P113</f>
        <v>-7.5750720934703959E-3</v>
      </c>
      <c r="Q113">
        <f>Return!Q113-'Return Estimasi'!Q113</f>
        <v>-5.1482798716363928E-4</v>
      </c>
      <c r="R113">
        <f>Return!R113-'Return Estimasi'!R113</f>
        <v>-1.5837056784842863E-2</v>
      </c>
      <c r="S113">
        <f>Return!S113-'Return Estimasi'!S113</f>
        <v>-9.9579613090383136E-4</v>
      </c>
      <c r="T113">
        <f>Return!T113-'Return Estimasi'!T113</f>
        <v>-1.1272306750796577E-2</v>
      </c>
      <c r="U113">
        <f>Return!U113-'Return Estimasi'!U113</f>
        <v>-2.4395162543121595E-3</v>
      </c>
      <c r="V113">
        <f>Return!V113-'Return Estimasi'!V113</f>
        <v>-1.4809535212194148E-2</v>
      </c>
      <c r="W113">
        <f>Return!W113-'Return Estimasi'!W113</f>
        <v>-1.9145805730076449E-2</v>
      </c>
      <c r="X113">
        <f>Return!X113-'Return Estimasi'!X113</f>
        <v>1.0603651359620046E-2</v>
      </c>
      <c r="Y113">
        <f>Return!Y113-'Return Estimasi'!Y113</f>
        <v>-8.886898924042352E-3</v>
      </c>
      <c r="Z113">
        <f>Return!Z113-'Return Estimasi'!Z113</f>
        <v>1.6947829996431844E-2</v>
      </c>
      <c r="AA113">
        <f>Return!AA113-'Return Estimasi'!AA113</f>
        <v>-1.6574122021659417E-2</v>
      </c>
      <c r="AB113">
        <f>Return!AB113-'Return Estimasi'!AB113</f>
        <v>-1.7902023106547319E-2</v>
      </c>
      <c r="AC113">
        <f>Return!AC113-'Return Estimasi'!AC113</f>
        <v>8.4982463202341527E-3</v>
      </c>
      <c r="AD113">
        <f>Return!AD113-'Return Estimasi'!AD113</f>
        <v>7.1133646969399889E-3</v>
      </c>
      <c r="AE113">
        <f>Return!AE113-'Return Estimasi'!AE113</f>
        <v>-1.1966918505747649E-2</v>
      </c>
      <c r="AF113">
        <f>Return!AF113-'Return Estimasi'!AF113</f>
        <v>-16.637508561786717</v>
      </c>
    </row>
    <row r="114" spans="1:32" x14ac:dyDescent="0.3">
      <c r="A114" s="3" t="s">
        <v>71</v>
      </c>
      <c r="B114">
        <f>('Data Saham'!B114-'Data Saham'!B113)/'Data Saham'!B113</f>
        <v>-1.5291577434360069E-2</v>
      </c>
      <c r="C114">
        <f>Return!C114-'Return Estimasi'!C114</f>
        <v>-1.5255639989084814E-2</v>
      </c>
      <c r="D114">
        <f>Return!D114-'Return Estimasi'!D114</f>
        <v>-7.8847933846830677E-3</v>
      </c>
      <c r="E114">
        <f>Return!E114-'Return Estimasi'!E114</f>
        <v>6.5026307569548431E-3</v>
      </c>
      <c r="F114">
        <f>Return!F114-'Return Estimasi'!F114</f>
        <v>-4.8750071204576497E-3</v>
      </c>
      <c r="G114">
        <f>Return!G114-'Return Estimasi'!G114</f>
        <v>-3.5655506806092935E-3</v>
      </c>
      <c r="H114">
        <f>Return!H114-'Return Estimasi'!H114</f>
        <v>-3.6176568009333825E-3</v>
      </c>
      <c r="I114">
        <f>Return!I114-'Return Estimasi'!I114</f>
        <v>-2.6600199019020082E-2</v>
      </c>
      <c r="J114">
        <f>Return!J114-'Return Estimasi'!J114</f>
        <v>-1.5284310872307024E-2</v>
      </c>
      <c r="K114">
        <f>Return!K114-'Return Estimasi'!K114</f>
        <v>4.5994044103285902E-3</v>
      </c>
      <c r="L114">
        <f>Return!L114-'Return Estimasi'!L114</f>
        <v>-7.3383464876502482E-3</v>
      </c>
      <c r="M114">
        <f>Return!M114-'Return Estimasi'!M114</f>
        <v>2.9855700059285183E-2</v>
      </c>
      <c r="N114">
        <f>Return!N114-'Return Estimasi'!N114</f>
        <v>7.79316450914741E-3</v>
      </c>
      <c r="O114">
        <f>Return!O114-'Return Estimasi'!O114</f>
        <v>5.2588534998157833E-3</v>
      </c>
      <c r="P114">
        <f>Return!P114-'Return Estimasi'!P114</f>
        <v>-3.1181840807933452E-2</v>
      </c>
      <c r="Q114">
        <f>Return!Q114-'Return Estimasi'!Q114</f>
        <v>7.0357109102526898E-3</v>
      </c>
      <c r="R114">
        <f>Return!R114-'Return Estimasi'!R114</f>
        <v>-3.351303009039993E-2</v>
      </c>
      <c r="S114">
        <f>Return!S114-'Return Estimasi'!S114</f>
        <v>-1.6700422628124781E-2</v>
      </c>
      <c r="T114">
        <f>Return!T114-'Return Estimasi'!T114</f>
        <v>1.5612225703029534E-3</v>
      </c>
      <c r="U114">
        <f>Return!U114-'Return Estimasi'!U114</f>
        <v>-1.2791970420479502E-2</v>
      </c>
      <c r="V114">
        <f>Return!V114-'Return Estimasi'!V114</f>
        <v>2.9225600085883534E-3</v>
      </c>
      <c r="W114">
        <f>Return!W114-'Return Estimasi'!W114</f>
        <v>-4.1957101711705379E-3</v>
      </c>
      <c r="X114">
        <f>Return!X114-'Return Estimasi'!X114</f>
        <v>-3.7510109179412048E-3</v>
      </c>
      <c r="Y114">
        <f>Return!Y114-'Return Estimasi'!Y114</f>
        <v>3.1893104599643035E-4</v>
      </c>
      <c r="Z114">
        <f>Return!Z114-'Return Estimasi'!Z114</f>
        <v>-8.5498778449476544E-3</v>
      </c>
      <c r="AA114">
        <f>Return!AA114-'Return Estimasi'!AA114</f>
        <v>-2.060738323576582E-2</v>
      </c>
      <c r="AB114">
        <f>Return!AB114-'Return Estimasi'!AB114</f>
        <v>2.8232287322058069E-5</v>
      </c>
      <c r="AC114">
        <f>Return!AC114-'Return Estimasi'!AC114</f>
        <v>-1.0420888737573198E-2</v>
      </c>
      <c r="AD114">
        <f>Return!AD114-'Return Estimasi'!AD114</f>
        <v>-2.7645784456003384E-2</v>
      </c>
      <c r="AE114">
        <f>Return!AE114-'Return Estimasi'!AE114</f>
        <v>-4.1722333392617186E-3</v>
      </c>
      <c r="AF114">
        <f>Return!AF114-'Return Estimasi'!AF114</f>
        <v>-17.152312742745298</v>
      </c>
    </row>
    <row r="115" spans="1:32" x14ac:dyDescent="0.3">
      <c r="A115" s="2">
        <v>45666</v>
      </c>
      <c r="B115">
        <f>('Data Saham'!B115-'Data Saham'!B114)/'Data Saham'!B114</f>
        <v>-1.2057993816478927E-2</v>
      </c>
      <c r="C115">
        <f>Return!C115-'Return Estimasi'!C115</f>
        <v>2.7088601857109922E-3</v>
      </c>
      <c r="D115">
        <f>Return!D115-'Return Estimasi'!D115</f>
        <v>-6.6094663665627051E-3</v>
      </c>
      <c r="E115">
        <f>Return!E115-'Return Estimasi'!E115</f>
        <v>-1.5760338611776156E-2</v>
      </c>
      <c r="F115">
        <f>Return!F115-'Return Estimasi'!F115</f>
        <v>-3.3753199924667129E-3</v>
      </c>
      <c r="G115">
        <f>Return!G115-'Return Estimasi'!G115</f>
        <v>2.8549521861937315E-3</v>
      </c>
      <c r="H115">
        <f>Return!H115-'Return Estimasi'!H115</f>
        <v>-1.4311469434616095E-3</v>
      </c>
      <c r="I115">
        <f>Return!I115-'Return Estimasi'!I115</f>
        <v>3.2045228165601548E-2</v>
      </c>
      <c r="J115">
        <f>Return!J115-'Return Estimasi'!J115</f>
        <v>-3.187767469699729E-3</v>
      </c>
      <c r="K115">
        <f>Return!K115-'Return Estimasi'!K115</f>
        <v>-9.9130096945490697E-3</v>
      </c>
      <c r="L115">
        <f>Return!L115-'Return Estimasi'!L115</f>
        <v>8.2547284103672812E-3</v>
      </c>
      <c r="M115">
        <f>Return!M115-'Return Estimasi'!M115</f>
        <v>5.9215652072043094E-2</v>
      </c>
      <c r="N115">
        <f>Return!N115-'Return Estimasi'!N115</f>
        <v>2.727706462156149E-2</v>
      </c>
      <c r="O115">
        <f>Return!O115-'Return Estimasi'!O115</f>
        <v>-1.980094456066887E-2</v>
      </c>
      <c r="P115">
        <f>Return!P115-'Return Estimasi'!P115</f>
        <v>-3.7743941463407194E-3</v>
      </c>
      <c r="Q115">
        <f>Return!Q115-'Return Estimasi'!Q115</f>
        <v>-9.1950068641519916E-5</v>
      </c>
      <c r="R115">
        <f>Return!R115-'Return Estimasi'!R115</f>
        <v>-2.5021062593095646E-2</v>
      </c>
      <c r="S115">
        <f>Return!S115-'Return Estimasi'!S115</f>
        <v>1.3680362466316608E-2</v>
      </c>
      <c r="T115">
        <f>Return!T115-'Return Estimasi'!T115</f>
        <v>-6.4213385807963689E-3</v>
      </c>
      <c r="U115">
        <f>Return!U115-'Return Estimasi'!U115</f>
        <v>3.9384116210615411E-2</v>
      </c>
      <c r="V115">
        <f>Return!V115-'Return Estimasi'!V115</f>
        <v>1.4172979272012973E-2</v>
      </c>
      <c r="W115">
        <f>Return!W115-'Return Estimasi'!W115</f>
        <v>-6.7558689186098704E-3</v>
      </c>
      <c r="X115">
        <f>Return!X115-'Return Estimasi'!X115</f>
        <v>1.3121199417827873E-2</v>
      </c>
      <c r="Y115">
        <f>Return!Y115-'Return Estimasi'!Y115</f>
        <v>-6.9842759869552483E-3</v>
      </c>
      <c r="Z115">
        <f>Return!Z115-'Return Estimasi'!Z115</f>
        <v>-1.5916976500439391E-2</v>
      </c>
      <c r="AA115">
        <f>Return!AA115-'Return Estimasi'!AA115</f>
        <v>-8.1494189888472145E-4</v>
      </c>
      <c r="AB115">
        <f>Return!AB115-'Return Estimasi'!AB115</f>
        <v>1.357247436980843E-2</v>
      </c>
      <c r="AC115">
        <f>Return!AC115-'Return Estimasi'!AC115</f>
        <v>-2.5220391875648909E-2</v>
      </c>
      <c r="AD115">
        <f>Return!AD115-'Return Estimasi'!AD115</f>
        <v>3.0579205493090969E-3</v>
      </c>
      <c r="AE115">
        <f>Return!AE115-'Return Estimasi'!AE115</f>
        <v>-3.9153427208049506E-2</v>
      </c>
      <c r="AF115">
        <f>Return!AF115-'Return Estimasi'!AF115</f>
        <v>952.42440555827136</v>
      </c>
    </row>
    <row r="116" spans="1:32" x14ac:dyDescent="0.3">
      <c r="A116" s="1">
        <v>45697</v>
      </c>
      <c r="B116">
        <f>('Data Saham'!B116-'Data Saham'!B115)/'Data Saham'!B115</f>
        <v>8.4681239957756609E-3</v>
      </c>
      <c r="C116">
        <f>Return!C116-'Return Estimasi'!C116</f>
        <v>-5.6348689420122958E-3</v>
      </c>
      <c r="D116">
        <f>Return!D116-'Return Estimasi'!D116</f>
        <v>-1.4535687103385788E-2</v>
      </c>
      <c r="E116">
        <f>Return!E116-'Return Estimasi'!E116</f>
        <v>-1.4885966652185254E-2</v>
      </c>
      <c r="F116">
        <f>Return!F116-'Return Estimasi'!F116</f>
        <v>-9.3774891804158308E-3</v>
      </c>
      <c r="G116">
        <f>Return!G116-'Return Estimasi'!G116</f>
        <v>-2.2108071558538715E-2</v>
      </c>
      <c r="H116">
        <f>Return!H116-'Return Estimasi'!H116</f>
        <v>-1.5626781114275387E-3</v>
      </c>
      <c r="I116">
        <f>Return!I116-'Return Estimasi'!I116</f>
        <v>-1.7237245295912166E-3</v>
      </c>
      <c r="J116">
        <f>Return!J116-'Return Estimasi'!J116</f>
        <v>1.1140758872808295E-2</v>
      </c>
      <c r="K116">
        <f>Return!K116-'Return Estimasi'!K116</f>
        <v>-9.2924824126669938E-3</v>
      </c>
      <c r="L116">
        <f>Return!L116-'Return Estimasi'!L116</f>
        <v>4.1650168761597104E-3</v>
      </c>
      <c r="M116">
        <f>Return!M116-'Return Estimasi'!M116</f>
        <v>7.1043516915616917E-2</v>
      </c>
      <c r="N116">
        <f>Return!N116-'Return Estimasi'!N116</f>
        <v>2.2428998330734518E-2</v>
      </c>
      <c r="O116">
        <f>Return!O116-'Return Estimasi'!O116</f>
        <v>1.7001955146402507E-2</v>
      </c>
      <c r="P116">
        <f>Return!P116-'Return Estimasi'!P116</f>
        <v>-2.2096397358868973E-2</v>
      </c>
      <c r="Q116">
        <f>Return!Q116-'Return Estimasi'!Q116</f>
        <v>7.3707895357688295E-3</v>
      </c>
      <c r="R116">
        <f>Return!R116-'Return Estimasi'!R116</f>
        <v>-1.6883538296811669E-2</v>
      </c>
      <c r="S116">
        <f>Return!S116-'Return Estimasi'!S116</f>
        <v>2.4647451911719949E-3</v>
      </c>
      <c r="T116">
        <f>Return!T116-'Return Estimasi'!T116</f>
        <v>5.268475084943984E-2</v>
      </c>
      <c r="U116">
        <f>Return!U116-'Return Estimasi'!U116</f>
        <v>-1.3197912464884328E-2</v>
      </c>
      <c r="V116">
        <f>Return!V116-'Return Estimasi'!V116</f>
        <v>5.0480146949993129E-2</v>
      </c>
      <c r="W116">
        <f>Return!W116-'Return Estimasi'!W116</f>
        <v>5.2111651371402778E-2</v>
      </c>
      <c r="X116">
        <f>Return!X116-'Return Estimasi'!X116</f>
        <v>3.9136098337082164E-3</v>
      </c>
      <c r="Y116">
        <f>Return!Y116-'Return Estimasi'!Y116</f>
        <v>-2.8291751331022415E-2</v>
      </c>
      <c r="Z116">
        <f>Return!Z116-'Return Estimasi'!Z116</f>
        <v>-1.0042057226921808E-2</v>
      </c>
      <c r="AA116">
        <f>Return!AA116-'Return Estimasi'!AA116</f>
        <v>-2.063422585838727E-2</v>
      </c>
      <c r="AB116">
        <f>Return!AB116-'Return Estimasi'!AB116</f>
        <v>-8.0411906838278677E-3</v>
      </c>
      <c r="AC116">
        <f>Return!AC116-'Return Estimasi'!AC116</f>
        <v>3.9179613442250724E-2</v>
      </c>
      <c r="AD116">
        <f>Return!AD116-'Return Estimasi'!AD116</f>
        <v>1.9317802373583222E-2</v>
      </c>
      <c r="AE116">
        <f>Return!AE116-'Return Estimasi'!AE116</f>
        <v>3.3120970991986548E-2</v>
      </c>
      <c r="AF116">
        <f>Return!AF116-'Return Estimasi'!AF116</f>
        <v>-17.440804708076925</v>
      </c>
    </row>
    <row r="117" spans="1:32" x14ac:dyDescent="0.3">
      <c r="A117" s="2">
        <v>45725</v>
      </c>
      <c r="B117">
        <f>('Data Saham'!B117-'Data Saham'!B116)/'Data Saham'!B116</f>
        <v>1.0802939917298771E-2</v>
      </c>
      <c r="C117">
        <f>Return!C117-'Return Estimasi'!C117</f>
        <v>-1.0765443926193632E-2</v>
      </c>
      <c r="D117">
        <f>Return!D117-'Return Estimasi'!D117</f>
        <v>5.8701867316586203E-3</v>
      </c>
      <c r="E117">
        <f>Return!E117-'Return Estimasi'!E117</f>
        <v>2.9170713864487899E-4</v>
      </c>
      <c r="F117">
        <f>Return!F117-'Return Estimasi'!F117</f>
        <v>1.4161551438133281E-2</v>
      </c>
      <c r="G117">
        <f>Return!G117-'Return Estimasi'!G117</f>
        <v>1.6796492404537629E-3</v>
      </c>
      <c r="H117">
        <f>Return!H117-'Return Estimasi'!H117</f>
        <v>-3.1544454296009447E-3</v>
      </c>
      <c r="I117">
        <f>Return!I117-'Return Estimasi'!I117</f>
        <v>8.1563063337829027E-3</v>
      </c>
      <c r="J117">
        <f>Return!J117-'Return Estimasi'!J117</f>
        <v>2.3623205528506937E-2</v>
      </c>
      <c r="K117">
        <f>Return!K117-'Return Estimasi'!K117</f>
        <v>-5.6764342428448945E-3</v>
      </c>
      <c r="L117">
        <f>Return!L117-'Return Estimasi'!L117</f>
        <v>-6.7956262354770536E-3</v>
      </c>
      <c r="M117">
        <f>Return!M117-'Return Estimasi'!M117</f>
        <v>-1.2715004134900792E-2</v>
      </c>
      <c r="N117">
        <f>Return!N117-'Return Estimasi'!N117</f>
        <v>-2.0766608095594462E-2</v>
      </c>
      <c r="O117">
        <f>Return!O117-'Return Estimasi'!O117</f>
        <v>3.0076834805752729E-2</v>
      </c>
      <c r="P117">
        <f>Return!P117-'Return Estimasi'!P117</f>
        <v>-7.6210014433026997E-3</v>
      </c>
      <c r="Q117">
        <f>Return!Q117-'Return Estimasi'!Q117</f>
        <v>-2.0714763237745952E-2</v>
      </c>
      <c r="R117">
        <f>Return!R117-'Return Estimasi'!R117</f>
        <v>1.1756731095027406E-2</v>
      </c>
      <c r="S117">
        <f>Return!S117-'Return Estimasi'!S117</f>
        <v>1.7312504747979497E-2</v>
      </c>
      <c r="T117">
        <f>Return!T117-'Return Estimasi'!T117</f>
        <v>-2.7699772731290637E-2</v>
      </c>
      <c r="U117">
        <f>Return!U117-'Return Estimasi'!U117</f>
        <v>2.1130632824043143E-2</v>
      </c>
      <c r="V117">
        <f>Return!V117-'Return Estimasi'!V117</f>
        <v>-2.1468761014699529E-2</v>
      </c>
      <c r="W117">
        <f>Return!W117-'Return Estimasi'!W117</f>
        <v>-5.7829367549443483E-2</v>
      </c>
      <c r="X117">
        <f>Return!X117-'Return Estimasi'!X117</f>
        <v>2.2197759898082196E-2</v>
      </c>
      <c r="Y117">
        <f>Return!Y117-'Return Estimasi'!Y117</f>
        <v>7.2156248762997987E-3</v>
      </c>
      <c r="Z117">
        <f>Return!Z117-'Return Estimasi'!Z117</f>
        <v>-2.0924951677769241E-2</v>
      </c>
      <c r="AA117">
        <f>Return!AA117-'Return Estimasi'!AA117</f>
        <v>-1.4945365960158108E-2</v>
      </c>
      <c r="AB117">
        <f>Return!AB117-'Return Estimasi'!AB117</f>
        <v>-1.0499713515630454E-2</v>
      </c>
      <c r="AC117">
        <f>Return!AC117-'Return Estimasi'!AC117</f>
        <v>-2.1816624540754913E-2</v>
      </c>
      <c r="AD117">
        <f>Return!AD117-'Return Estimasi'!AD117</f>
        <v>-2.3107478390328721E-2</v>
      </c>
      <c r="AE117">
        <f>Return!AE117-'Return Estimasi'!AE117</f>
        <v>-2.773653158201236E-3</v>
      </c>
      <c r="AF117">
        <f>Return!AF117-'Return Estimasi'!AF117</f>
        <v>962.82183559991279</v>
      </c>
    </row>
    <row r="118" spans="1:32" x14ac:dyDescent="0.3">
      <c r="A118" s="1">
        <v>45756</v>
      </c>
      <c r="B118">
        <f>('Data Saham'!B118-'Data Saham'!B117)/'Data Saham'!B117</f>
        <v>-2.3472392357966423E-3</v>
      </c>
      <c r="C118">
        <f>Return!C118-'Return Estimasi'!C118</f>
        <v>6.7901765797500225E-3</v>
      </c>
      <c r="D118">
        <f>Return!D118-'Return Estimasi'!D118</f>
        <v>-6.3190803820867524E-3</v>
      </c>
      <c r="E118">
        <f>Return!E118-'Return Estimasi'!E118</f>
        <v>1.5207318398153986E-2</v>
      </c>
      <c r="F118">
        <f>Return!F118-'Return Estimasi'!F118</f>
        <v>-6.9721653715350681E-3</v>
      </c>
      <c r="G118">
        <f>Return!G118-'Return Estimasi'!G118</f>
        <v>1.3358479320188237E-2</v>
      </c>
      <c r="H118">
        <f>Return!H118-'Return Estimasi'!H118</f>
        <v>1.1265442735919743E-3</v>
      </c>
      <c r="I118">
        <f>Return!I118-'Return Estimasi'!I118</f>
        <v>-2.5163353241960769E-3</v>
      </c>
      <c r="J118">
        <f>Return!J118-'Return Estimasi'!J118</f>
        <v>-2.1993172422850586E-2</v>
      </c>
      <c r="K118">
        <f>Return!K118-'Return Estimasi'!K118</f>
        <v>1.8229722290415657E-2</v>
      </c>
      <c r="L118">
        <f>Return!L118-'Return Estimasi'!L118</f>
        <v>4.7042210633595587E-3</v>
      </c>
      <c r="M118">
        <f>Return!M118-'Return Estimasi'!M118</f>
        <v>-2.8699898241133854E-2</v>
      </c>
      <c r="N118">
        <f>Return!N118-'Return Estimasi'!N118</f>
        <v>3.2968241605340433E-2</v>
      </c>
      <c r="O118">
        <f>Return!O118-'Return Estimasi'!O118</f>
        <v>7.2131477818480798E-3</v>
      </c>
      <c r="P118">
        <f>Return!P118-'Return Estimasi'!P118</f>
        <v>1.2348275337393712E-2</v>
      </c>
      <c r="Q118">
        <f>Return!Q118-'Return Estimasi'!Q118</f>
        <v>-3.1462213878867573E-3</v>
      </c>
      <c r="R118">
        <f>Return!R118-'Return Estimasi'!R118</f>
        <v>2.2149655326072328E-3</v>
      </c>
      <c r="S118">
        <f>Return!S118-'Return Estimasi'!S118</f>
        <v>2.1687792369088126E-2</v>
      </c>
      <c r="T118">
        <f>Return!T118-'Return Estimasi'!T118</f>
        <v>4.7842977916448731E-2</v>
      </c>
      <c r="U118">
        <f>Return!U118-'Return Estimasi'!U118</f>
        <v>-4.8139073915270522E-3</v>
      </c>
      <c r="V118">
        <f>Return!V118-'Return Estimasi'!V118</f>
        <v>-7.5803031788571062E-3</v>
      </c>
      <c r="W118">
        <f>Return!W118-'Return Estimasi'!W118</f>
        <v>2.2133579473977332E-3</v>
      </c>
      <c r="X118">
        <f>Return!X118-'Return Estimasi'!X118</f>
        <v>2.945639185924432E-3</v>
      </c>
      <c r="Y118">
        <f>Return!Y118-'Return Estimasi'!Y118</f>
        <v>-2.4570716045487811E-2</v>
      </c>
      <c r="Z118">
        <f>Return!Z118-'Return Estimasi'!Z118</f>
        <v>1.2033748111990955E-2</v>
      </c>
      <c r="AA118">
        <f>Return!AA118-'Return Estimasi'!AA118</f>
        <v>-8.1312935626267572E-3</v>
      </c>
      <c r="AB118">
        <f>Return!AB118-'Return Estimasi'!AB118</f>
        <v>2.0588588540165369E-2</v>
      </c>
      <c r="AC118">
        <f>Return!AC118-'Return Estimasi'!AC118</f>
        <v>6.6349020408987894E-3</v>
      </c>
      <c r="AD118">
        <f>Return!AD118-'Return Estimasi'!AD118</f>
        <v>7.1130385009135471E-3</v>
      </c>
      <c r="AE118">
        <f>Return!AE118-'Return Estimasi'!AE118</f>
        <v>7.2301035694184767E-3</v>
      </c>
      <c r="AF118">
        <f>Return!AF118-'Return Estimasi'!AF118</f>
        <v>-16.745915778367063</v>
      </c>
    </row>
    <row r="119" spans="1:32" x14ac:dyDescent="0.3">
      <c r="A119" s="2">
        <v>45878</v>
      </c>
      <c r="B119">
        <f>('Data Saham'!B119-'Data Saham'!B118)/'Data Saham'!B118</f>
        <v>-1.2774314095597627E-2</v>
      </c>
      <c r="C119">
        <f>Return!C119-'Return Estimasi'!C119</f>
        <v>-2.4887904782505074E-2</v>
      </c>
      <c r="D119">
        <f>Return!D119-'Return Estimasi'!D119</f>
        <v>-1.3621098200831502E-2</v>
      </c>
      <c r="E119">
        <f>Return!E119-'Return Estimasi'!E119</f>
        <v>-2.817345345906971E-2</v>
      </c>
      <c r="F119">
        <f>Return!F119-'Return Estimasi'!F119</f>
        <v>-3.2548214790323104E-2</v>
      </c>
      <c r="G119">
        <f>Return!G119-'Return Estimasi'!G119</f>
        <v>-9.1575895226350228E-3</v>
      </c>
      <c r="H119">
        <f>Return!H119-'Return Estimasi'!H119</f>
        <v>-5.4946743212526648E-3</v>
      </c>
      <c r="I119">
        <f>Return!I119-'Return Estimasi'!I119</f>
        <v>2.0792692408010953E-2</v>
      </c>
      <c r="J119">
        <f>Return!J119-'Return Estimasi'!J119</f>
        <v>-9.5596222229742851E-3</v>
      </c>
      <c r="K119">
        <f>Return!K119-'Return Estimasi'!K119</f>
        <v>-1.2022946299634655E-2</v>
      </c>
      <c r="L119">
        <f>Return!L119-'Return Estimasi'!L119</f>
        <v>1.7694148837432773E-3</v>
      </c>
      <c r="M119">
        <f>Return!M119-'Return Estimasi'!M119</f>
        <v>7.217584119256984E-2</v>
      </c>
      <c r="N119">
        <f>Return!N119-'Return Estimasi'!N119</f>
        <v>2.782131996441875E-2</v>
      </c>
      <c r="O119">
        <f>Return!O119-'Return Estimasi'!O119</f>
        <v>-1.8541271574402874E-2</v>
      </c>
      <c r="P119">
        <f>Return!P119-'Return Estimasi'!P119</f>
        <v>-3.550876393652579E-3</v>
      </c>
      <c r="Q119">
        <f>Return!Q119-'Return Estimasi'!Q119</f>
        <v>-1.0318891449491562E-2</v>
      </c>
      <c r="R119">
        <f>Return!R119-'Return Estimasi'!R119</f>
        <v>-1.7103565168706973E-2</v>
      </c>
      <c r="S119">
        <f>Return!S119-'Return Estimasi'!S119</f>
        <v>9.2566826432058137E-3</v>
      </c>
      <c r="T119">
        <f>Return!T119-'Return Estimasi'!T119</f>
        <v>-3.3589555294106434E-2</v>
      </c>
      <c r="U119">
        <f>Return!U119-'Return Estimasi'!U119</f>
        <v>1.3753893877310566E-2</v>
      </c>
      <c r="V119">
        <f>Return!V119-'Return Estimasi'!V119</f>
        <v>5.5149252519463357E-2</v>
      </c>
      <c r="W119">
        <f>Return!W119-'Return Estimasi'!W119</f>
        <v>-7.2652521428843986E-4</v>
      </c>
      <c r="X119">
        <f>Return!X119-'Return Estimasi'!X119</f>
        <v>9.9358220458956956E-3</v>
      </c>
      <c r="Y119">
        <f>Return!Y119-'Return Estimasi'!Y119</f>
        <v>1.1767815342721E-2</v>
      </c>
      <c r="Z119">
        <f>Return!Z119-'Return Estimasi'!Z119</f>
        <v>-7.2268580585049258E-3</v>
      </c>
      <c r="AA119">
        <f>Return!AA119-'Return Estimasi'!AA119</f>
        <v>-1.3175027164263494E-2</v>
      </c>
      <c r="AB119">
        <f>Return!AB119-'Return Estimasi'!AB119</f>
        <v>-2.6224046793685996E-3</v>
      </c>
      <c r="AC119">
        <f>Return!AC119-'Return Estimasi'!AC119</f>
        <v>-1.2977018819017491E-2</v>
      </c>
      <c r="AD119">
        <f>Return!AD119-'Return Estimasi'!AD119</f>
        <v>-6.0050335930480168E-4</v>
      </c>
      <c r="AE119">
        <f>Return!AE119-'Return Estimasi'!AE119</f>
        <v>-1.1725179068003294E-2</v>
      </c>
      <c r="AF119">
        <f>Return!AF119-'Return Estimasi'!AF119</f>
        <v>-17.069387348750507</v>
      </c>
    </row>
    <row r="120" spans="1:32" x14ac:dyDescent="0.3">
      <c r="A120" s="1">
        <v>45909</v>
      </c>
      <c r="B120">
        <f>('Data Saham'!B120-'Data Saham'!B119)/'Data Saham'!B119</f>
        <v>-1.780000901266279E-2</v>
      </c>
      <c r="C120">
        <f>Return!C120-'Return Estimasi'!C120</f>
        <v>-5.7981742244747302E-3</v>
      </c>
      <c r="D120">
        <f>Return!D120-'Return Estimasi'!D120</f>
        <v>-1.1884040911674349E-2</v>
      </c>
      <c r="E120">
        <f>Return!E120-'Return Estimasi'!E120</f>
        <v>-2.2745817281226134E-2</v>
      </c>
      <c r="F120">
        <f>Return!F120-'Return Estimasi'!F120</f>
        <v>-8.7365464915286125E-3</v>
      </c>
      <c r="G120">
        <f>Return!G120-'Return Estimasi'!G120</f>
        <v>1.4724700365594794E-3</v>
      </c>
      <c r="H120">
        <f>Return!H120-'Return Estimasi'!H120</f>
        <v>2.9956064556213097E-2</v>
      </c>
      <c r="I120">
        <f>Return!I120-'Return Estimasi'!I120</f>
        <v>-6.5908468632499499E-3</v>
      </c>
      <c r="J120">
        <f>Return!J120-'Return Estimasi'!J120</f>
        <v>-4.9278989960055593E-3</v>
      </c>
      <c r="K120">
        <f>Return!K120-'Return Estimasi'!K120</f>
        <v>-4.9135161512946918E-3</v>
      </c>
      <c r="L120">
        <f>Return!L120-'Return Estimasi'!L120</f>
        <v>5.8284974670231712E-3</v>
      </c>
      <c r="M120">
        <f>Return!M120-'Return Estimasi'!M120</f>
        <v>2.6005704170385731E-2</v>
      </c>
      <c r="N120">
        <f>Return!N120-'Return Estimasi'!N120</f>
        <v>4.9985953599190266E-2</v>
      </c>
      <c r="O120">
        <f>Return!O120-'Return Estimasi'!O120</f>
        <v>9.4616211310553245E-3</v>
      </c>
      <c r="P120">
        <f>Return!P120-'Return Estimasi'!P120</f>
        <v>1.7536016168189464E-2</v>
      </c>
      <c r="Q120">
        <f>Return!Q120-'Return Estimasi'!Q120</f>
        <v>-1.6658545511770616E-2</v>
      </c>
      <c r="R120">
        <f>Return!R120-'Return Estimasi'!R120</f>
        <v>2.5671261095544292E-3</v>
      </c>
      <c r="S120">
        <f>Return!S120-'Return Estimasi'!S120</f>
        <v>-1.259160256922345E-3</v>
      </c>
      <c r="T120">
        <f>Return!T120-'Return Estimasi'!T120</f>
        <v>6.5268455540939477E-2</v>
      </c>
      <c r="U120">
        <f>Return!U120-'Return Estimasi'!U120</f>
        <v>4.8720577227430555E-3</v>
      </c>
      <c r="V120">
        <f>Return!V120-'Return Estimasi'!V120</f>
        <v>4.4725419899550992E-2</v>
      </c>
      <c r="W120">
        <f>Return!W120-'Return Estimasi'!W120</f>
        <v>3.1537974827342954E-2</v>
      </c>
      <c r="X120">
        <f>Return!X120-'Return Estimasi'!X120</f>
        <v>2.340228891040922E-2</v>
      </c>
      <c r="Y120">
        <f>Return!Y120-'Return Estimasi'!Y120</f>
        <v>1.3457683277392982E-3</v>
      </c>
      <c r="Z120">
        <f>Return!Z120-'Return Estimasi'!Z120</f>
        <v>-3.6616363266607516E-3</v>
      </c>
      <c r="AA120">
        <f>Return!AA120-'Return Estimasi'!AA120</f>
        <v>7.65107429712239E-4</v>
      </c>
      <c r="AB120">
        <f>Return!AB120-'Return Estimasi'!AB120</f>
        <v>-1.4864036523066206E-2</v>
      </c>
      <c r="AC120">
        <f>Return!AC120-'Return Estimasi'!AC120</f>
        <v>2.518395735381776E-3</v>
      </c>
      <c r="AD120">
        <f>Return!AD120-'Return Estimasi'!AD120</f>
        <v>4.0432943717521493E-3</v>
      </c>
      <c r="AE120">
        <f>Return!AE120-'Return Estimasi'!AE120</f>
        <v>1.9109134956779319E-2</v>
      </c>
      <c r="AF120">
        <f>Return!AF120-'Return Estimasi'!AF120</f>
        <v>-17.196012192123561</v>
      </c>
    </row>
    <row r="121" spans="1:32" x14ac:dyDescent="0.3">
      <c r="A121" s="2">
        <v>45939</v>
      </c>
      <c r="B121">
        <f>('Data Saham'!B121-'Data Saham'!B120)/'Data Saham'!B120</f>
        <v>9.2297407125815807E-3</v>
      </c>
      <c r="C121">
        <f>Return!C121-'Return Estimasi'!C121</f>
        <v>3.0255763199890227E-2</v>
      </c>
      <c r="D121">
        <f>Return!D121-'Return Estimasi'!D121</f>
        <v>1.3487179053511203E-2</v>
      </c>
      <c r="E121">
        <f>Return!E121-'Return Estimasi'!E121</f>
        <v>1.1772081339919877E-2</v>
      </c>
      <c r="F121">
        <f>Return!F121-'Return Estimasi'!F121</f>
        <v>-2.8058163991777334E-3</v>
      </c>
      <c r="G121">
        <f>Return!G121-'Return Estimasi'!G121</f>
        <v>2.2854443500984922E-2</v>
      </c>
      <c r="H121">
        <f>Return!H121-'Return Estimasi'!H121</f>
        <v>-1.5712009611928899E-2</v>
      </c>
      <c r="I121">
        <f>Return!I121-'Return Estimasi'!I121</f>
        <v>-2.0465105355139432E-3</v>
      </c>
      <c r="J121">
        <f>Return!J121-'Return Estimasi'!J121</f>
        <v>7.6125426005006266E-3</v>
      </c>
      <c r="K121">
        <f>Return!K121-'Return Estimasi'!K121</f>
        <v>-1.0009438904668433E-2</v>
      </c>
      <c r="L121">
        <f>Return!L121-'Return Estimasi'!L121</f>
        <v>-5.1156076622898231E-3</v>
      </c>
      <c r="M121">
        <f>Return!M121-'Return Estimasi'!M121</f>
        <v>-5.5054051615575306E-2</v>
      </c>
      <c r="N121">
        <f>Return!N121-'Return Estimasi'!N121</f>
        <v>-4.780811655971632E-2</v>
      </c>
      <c r="O121">
        <f>Return!O121-'Return Estimasi'!O121</f>
        <v>-1.3105576301542965E-2</v>
      </c>
      <c r="P121">
        <f>Return!P121-'Return Estimasi'!P121</f>
        <v>-2.3186485462672383E-2</v>
      </c>
      <c r="Q121">
        <f>Return!Q121-'Return Estimasi'!Q121</f>
        <v>-7.9605084208509147E-3</v>
      </c>
      <c r="R121">
        <f>Return!R121-'Return Estimasi'!R121</f>
        <v>1.2980341563200871E-2</v>
      </c>
      <c r="S121">
        <f>Return!S121-'Return Estimasi'!S121</f>
        <v>-2.6941901859131989E-3</v>
      </c>
      <c r="T121">
        <f>Return!T121-'Return Estimasi'!T121</f>
        <v>-1.479586205762024E-2</v>
      </c>
      <c r="U121">
        <f>Return!U121-'Return Estimasi'!U121</f>
        <v>-2.1304850291419469E-2</v>
      </c>
      <c r="V121">
        <f>Return!V121-'Return Estimasi'!V121</f>
        <v>-3.9691647456045434E-2</v>
      </c>
      <c r="W121">
        <f>Return!W121-'Return Estimasi'!W121</f>
        <v>3.1406591956196869E-2</v>
      </c>
      <c r="X121">
        <f>Return!X121-'Return Estimasi'!X121</f>
        <v>2.898269606999856E-3</v>
      </c>
      <c r="Y121">
        <f>Return!Y121-'Return Estimasi'!Y121</f>
        <v>3.3274452750503551E-2</v>
      </c>
      <c r="Z121">
        <f>Return!Z121-'Return Estimasi'!Z121</f>
        <v>8.0220756170621237E-3</v>
      </c>
      <c r="AA121">
        <f>Return!AA121-'Return Estimasi'!AA121</f>
        <v>3.5990808246809801E-2</v>
      </c>
      <c r="AB121">
        <f>Return!AB121-'Return Estimasi'!AB121</f>
        <v>-8.8431605822207101E-3</v>
      </c>
      <c r="AC121">
        <f>Return!AC121-'Return Estimasi'!AC121</f>
        <v>-4.4599213867370646E-2</v>
      </c>
      <c r="AD121">
        <f>Return!AD121-'Return Estimasi'!AD121</f>
        <v>-4.02582113502244E-2</v>
      </c>
      <c r="AE121">
        <f>Return!AE121-'Return Estimasi'!AE121</f>
        <v>-1.7937100687847384E-2</v>
      </c>
      <c r="AF121">
        <f>Return!AF121-'Return Estimasi'!AF121</f>
        <v>-16.425707412488212</v>
      </c>
    </row>
    <row r="122" spans="1:32" x14ac:dyDescent="0.3">
      <c r="A122" s="1">
        <v>45970</v>
      </c>
      <c r="B122">
        <f>('Data Saham'!B122-'Data Saham'!B121)/'Data Saham'!B121</f>
        <v>6.3501670994062119E-3</v>
      </c>
      <c r="C122">
        <f>Return!C122-'Return Estimasi'!C122</f>
        <v>2.5946835120032826E-3</v>
      </c>
      <c r="D122">
        <f>Return!D122-'Return Estimasi'!D122</f>
        <v>4.411859415844567E-2</v>
      </c>
      <c r="E122">
        <f>Return!E122-'Return Estimasi'!E122</f>
        <v>1.1890344393814296E-2</v>
      </c>
      <c r="F122">
        <f>Return!F122-'Return Estimasi'!F122</f>
        <v>7.278005304047587E-2</v>
      </c>
      <c r="G122">
        <f>Return!G122-'Return Estimasi'!G122</f>
        <v>-2.9560584570667181E-2</v>
      </c>
      <c r="H122">
        <f>Return!H122-'Return Estimasi'!H122</f>
        <v>8.9737186814459399E-3</v>
      </c>
      <c r="I122">
        <f>Return!I122-'Return Estimasi'!I122</f>
        <v>7.303982613998298E-3</v>
      </c>
      <c r="J122">
        <f>Return!J122-'Return Estimasi'!J122</f>
        <v>4.9696629914064532E-3</v>
      </c>
      <c r="K122">
        <f>Return!K122-'Return Estimasi'!K122</f>
        <v>-1.0266078835369979E-2</v>
      </c>
      <c r="L122">
        <f>Return!L122-'Return Estimasi'!L122</f>
        <v>3.8082928142526857E-3</v>
      </c>
      <c r="M122">
        <f>Return!M122-'Return Estimasi'!M122</f>
        <v>-4.5464560265748216E-2</v>
      </c>
      <c r="N122">
        <f>Return!N122-'Return Estimasi'!N122</f>
        <v>-4.5181174827665448E-2</v>
      </c>
      <c r="O122">
        <f>Return!O122-'Return Estimasi'!O122</f>
        <v>2.0459672887069697E-2</v>
      </c>
      <c r="P122">
        <f>Return!P122-'Return Estimasi'!P122</f>
        <v>4.9160146184227616E-3</v>
      </c>
      <c r="Q122">
        <f>Return!Q122-'Return Estimasi'!Q122</f>
        <v>-1.2605354914017066E-2</v>
      </c>
      <c r="R122">
        <f>Return!R122-'Return Estimasi'!R122</f>
        <v>3.1605271144848582E-2</v>
      </c>
      <c r="S122">
        <f>Return!S122-'Return Estimasi'!S122</f>
        <v>3.8956468382087002E-2</v>
      </c>
      <c r="T122">
        <f>Return!T122-'Return Estimasi'!T122</f>
        <v>6.0224973524828099E-2</v>
      </c>
      <c r="U122">
        <f>Return!U122-'Return Estimasi'!U122</f>
        <v>1.8629461432094215E-2</v>
      </c>
      <c r="V122">
        <f>Return!V122-'Return Estimasi'!V122</f>
        <v>8.4299365086987904E-4</v>
      </c>
      <c r="W122">
        <f>Return!W122-'Return Estimasi'!W122</f>
        <v>-1.8716430097556906E-2</v>
      </c>
      <c r="X122">
        <f>Return!X122-'Return Estimasi'!X122</f>
        <v>-1.0370942898339631E-2</v>
      </c>
      <c r="Y122">
        <f>Return!Y122-'Return Estimasi'!Y122</f>
        <v>1.5321876288633903E-2</v>
      </c>
      <c r="Z122">
        <f>Return!Z122-'Return Estimasi'!Z122</f>
        <v>5.40914301883565E-3</v>
      </c>
      <c r="AA122">
        <f>Return!AA122-'Return Estimasi'!AA122</f>
        <v>-9.7684874992778788E-3</v>
      </c>
      <c r="AB122">
        <f>Return!AB122-'Return Estimasi'!AB122</f>
        <v>1.2046126012073652E-2</v>
      </c>
      <c r="AC122">
        <f>Return!AC122-'Return Estimasi'!AC122</f>
        <v>-3.7287746838202428E-2</v>
      </c>
      <c r="AD122">
        <f>Return!AD122-'Return Estimasi'!AD122</f>
        <v>4.5966241022072626E-2</v>
      </c>
      <c r="AE122">
        <f>Return!AE122-'Return Estimasi'!AE122</f>
        <v>-4.8111234165693038E-3</v>
      </c>
      <c r="AF122">
        <f>Return!AF122-'Return Estimasi'!AF122</f>
        <v>-16.480102152624863</v>
      </c>
    </row>
    <row r="123" spans="1:32" x14ac:dyDescent="0.3">
      <c r="A123" s="2">
        <v>46000</v>
      </c>
      <c r="B123">
        <f>('Data Saham'!B123-'Data Saham'!B122)/'Data Saham'!B122</f>
        <v>1.3701777255772631E-2</v>
      </c>
      <c r="C123">
        <f>Return!C123-'Return Estimasi'!C123</f>
        <v>-5.7636547589925632E-4</v>
      </c>
      <c r="D123">
        <f>Return!D123-'Return Estimasi'!D123</f>
        <v>9.8525541473885609E-3</v>
      </c>
      <c r="E123">
        <f>Return!E123-'Return Estimasi'!E123</f>
        <v>-4.5576084588712911E-3</v>
      </c>
      <c r="F123">
        <f>Return!F123-'Return Estimasi'!F123</f>
        <v>1.1128763226876372E-2</v>
      </c>
      <c r="G123">
        <f>Return!G123-'Return Estimasi'!G123</f>
        <v>-7.467593454097466E-3</v>
      </c>
      <c r="H123">
        <f>Return!H123-'Return Estimasi'!H123</f>
        <v>1.2851582364873189E-2</v>
      </c>
      <c r="I123">
        <f>Return!I123-'Return Estimasi'!I123</f>
        <v>-9.3181791099092529E-3</v>
      </c>
      <c r="J123">
        <f>Return!J123-'Return Estimasi'!J123</f>
        <v>6.1572546305820675E-3</v>
      </c>
      <c r="K123">
        <f>Return!K123-'Return Estimasi'!K123</f>
        <v>-2.0171621928562394E-2</v>
      </c>
      <c r="L123">
        <f>Return!L123-'Return Estimasi'!L123</f>
        <v>-4.4929984135498747E-3</v>
      </c>
      <c r="M123">
        <f>Return!M123-'Return Estimasi'!M123</f>
        <v>1.1089066863645112E-2</v>
      </c>
      <c r="N123">
        <f>Return!N123-'Return Estimasi'!N123</f>
        <v>-5.0630533641758541E-3</v>
      </c>
      <c r="O123">
        <f>Return!O123-'Return Estimasi'!O123</f>
        <v>1.9009332667115617E-2</v>
      </c>
      <c r="P123">
        <f>Return!P123-'Return Estimasi'!P123</f>
        <v>-1.017060226087602E-2</v>
      </c>
      <c r="Q123">
        <f>Return!Q123-'Return Estimasi'!Q123</f>
        <v>-1.6577344045604153E-2</v>
      </c>
      <c r="R123">
        <f>Return!R123-'Return Estimasi'!R123</f>
        <v>-2.3848624672555024E-2</v>
      </c>
      <c r="S123">
        <f>Return!S123-'Return Estimasi'!S123</f>
        <v>-3.0857021081608848E-3</v>
      </c>
      <c r="T123">
        <f>Return!T123-'Return Estimasi'!T123</f>
        <v>1.7576857117406201E-2</v>
      </c>
      <c r="U123">
        <f>Return!U123-'Return Estimasi'!U123</f>
        <v>1.7118145868216979E-2</v>
      </c>
      <c r="V123">
        <f>Return!V123-'Return Estimasi'!V123</f>
        <v>-1.4431721390149801E-2</v>
      </c>
      <c r="W123">
        <f>Return!W123-'Return Estimasi'!W123</f>
        <v>-2.3798307853180614E-2</v>
      </c>
      <c r="X123">
        <f>Return!X123-'Return Estimasi'!X123</f>
        <v>-2.234203345992531E-2</v>
      </c>
      <c r="Y123">
        <f>Return!Y123-'Return Estimasi'!Y123</f>
        <v>-1.8526781659215702E-2</v>
      </c>
      <c r="Z123">
        <f>Return!Z123-'Return Estimasi'!Z123</f>
        <v>-9.6009325119365326E-3</v>
      </c>
      <c r="AA123">
        <f>Return!AA123-'Return Estimasi'!AA123</f>
        <v>-1.4060290296099138E-2</v>
      </c>
      <c r="AB123">
        <f>Return!AB123-'Return Estimasi'!AB123</f>
        <v>-1.355214163924486E-2</v>
      </c>
      <c r="AC123">
        <f>Return!AC123-'Return Estimasi'!AC123</f>
        <v>-2.5611184209160465E-2</v>
      </c>
      <c r="AD123">
        <f>Return!AD123-'Return Estimasi'!AD123</f>
        <v>-3.802574686024936E-3</v>
      </c>
      <c r="AE123">
        <f>Return!AE123-'Return Estimasi'!AE123</f>
        <v>6.2957490821557473E-4</v>
      </c>
      <c r="AF123">
        <f>Return!AF123-'Return Estimasi'!AF123</f>
        <v>-16.310305240325704</v>
      </c>
    </row>
    <row r="124" spans="1:32" x14ac:dyDescent="0.3">
      <c r="A124" s="3" t="s">
        <v>72</v>
      </c>
      <c r="B124">
        <f>('Data Saham'!B124-'Data Saham'!B123)/'Data Saham'!B123</f>
        <v>1.0575422138358949E-2</v>
      </c>
      <c r="C124">
        <f>Return!C124-'Return Estimasi'!C124</f>
        <v>5.1732872681061054E-3</v>
      </c>
      <c r="D124">
        <f>Return!D124-'Return Estimasi'!D124</f>
        <v>-2.1152221704107205E-2</v>
      </c>
      <c r="E124">
        <f>Return!E124-'Return Estimasi'!E124</f>
        <v>-8.2141606089921517E-3</v>
      </c>
      <c r="F124">
        <f>Return!F124-'Return Estimasi'!F124</f>
        <v>-3.3183876316902845E-2</v>
      </c>
      <c r="G124">
        <f>Return!G124-'Return Estimasi'!G124</f>
        <v>4.0468197121731914E-2</v>
      </c>
      <c r="H124">
        <f>Return!H124-'Return Estimasi'!H124</f>
        <v>-1.6378158366763859E-2</v>
      </c>
      <c r="I124">
        <f>Return!I124-'Return Estimasi'!I124</f>
        <v>-5.3195357155025082E-3</v>
      </c>
      <c r="J124">
        <f>Return!J124-'Return Estimasi'!J124</f>
        <v>1.0266929440600432E-2</v>
      </c>
      <c r="K124">
        <f>Return!K124-'Return Estimasi'!K124</f>
        <v>-5.2881873501415856E-3</v>
      </c>
      <c r="L124">
        <f>Return!L124-'Return Estimasi'!L124</f>
        <v>2.241834263707481E-3</v>
      </c>
      <c r="M124">
        <f>Return!M124-'Return Estimasi'!M124</f>
        <v>-1.537609838824755E-2</v>
      </c>
      <c r="N124">
        <f>Return!N124-'Return Estimasi'!N124</f>
        <v>-1.6616967821006568E-2</v>
      </c>
      <c r="O124">
        <f>Return!O124-'Return Estimasi'!O124</f>
        <v>-1.9028098348265091E-2</v>
      </c>
      <c r="P124">
        <f>Return!P124-'Return Estimasi'!P124</f>
        <v>1.1261147494500664E-3</v>
      </c>
      <c r="Q124">
        <f>Return!Q124-'Return Estimasi'!Q124</f>
        <v>-1.3252590585171347E-2</v>
      </c>
      <c r="R124">
        <f>Return!R124-'Return Estimasi'!R124</f>
        <v>-9.5887215103957132E-3</v>
      </c>
      <c r="S124">
        <f>Return!S124-'Return Estimasi'!S124</f>
        <v>4.979888418142355E-3</v>
      </c>
      <c r="T124">
        <f>Return!T124-'Return Estimasi'!T124</f>
        <v>-2.7833414006196704E-2</v>
      </c>
      <c r="U124">
        <f>Return!U124-'Return Estimasi'!U124</f>
        <v>-4.861766973141033E-3</v>
      </c>
      <c r="V124">
        <f>Return!V124-'Return Estimasi'!V124</f>
        <v>-1.6286911277206877E-2</v>
      </c>
      <c r="W124">
        <f>Return!W124-'Return Estimasi'!W124</f>
        <v>1.3088340790360899E-2</v>
      </c>
      <c r="X124">
        <f>Return!X124-'Return Estimasi'!X124</f>
        <v>-1.0876701334910336E-2</v>
      </c>
      <c r="Y124">
        <f>Return!Y124-'Return Estimasi'!Y124</f>
        <v>-1.6123579921549353E-2</v>
      </c>
      <c r="Z124">
        <f>Return!Z124-'Return Estimasi'!Z124</f>
        <v>6.651237308542066E-3</v>
      </c>
      <c r="AA124">
        <f>Return!AA124-'Return Estimasi'!AA124</f>
        <v>2.2683030840511126E-3</v>
      </c>
      <c r="AB124">
        <f>Return!AB124-'Return Estimasi'!AB124</f>
        <v>-1.0260141029847647E-2</v>
      </c>
      <c r="AC124">
        <f>Return!AC124-'Return Estimasi'!AC124</f>
        <v>-1.6667032402206322E-2</v>
      </c>
      <c r="AD124">
        <f>Return!AD124-'Return Estimasi'!AD124</f>
        <v>1.6817402270704329E-2</v>
      </c>
      <c r="AE124">
        <f>Return!AE124-'Return Estimasi'!AE124</f>
        <v>1.3823075962226181E-2</v>
      </c>
      <c r="AF124">
        <f>Return!AF124-'Return Estimasi'!AF124</f>
        <v>-16.345544074613436</v>
      </c>
    </row>
    <row r="125" spans="1:32" x14ac:dyDescent="0.3">
      <c r="A125" s="4" t="s">
        <v>73</v>
      </c>
      <c r="B125">
        <f>('Data Saham'!B125-'Data Saham'!B124)/'Data Saham'!B124</f>
        <v>2.5928800370915305E-3</v>
      </c>
      <c r="C125">
        <f>Return!C125-'Return Estimasi'!C125</f>
        <v>-1.304917382440079E-2</v>
      </c>
      <c r="D125">
        <f>Return!D125-'Return Estimasi'!D125</f>
        <v>-6.1484024019665563E-3</v>
      </c>
      <c r="E125">
        <f>Return!E125-'Return Estimasi'!E125</f>
        <v>-1.3651905402900739E-2</v>
      </c>
      <c r="F125">
        <f>Return!F125-'Return Estimasi'!F125</f>
        <v>-1.1156533693990292E-2</v>
      </c>
      <c r="G125">
        <f>Return!G125-'Return Estimasi'!G125</f>
        <v>8.3163485856418591E-3</v>
      </c>
      <c r="H125">
        <f>Return!H125-'Return Estimasi'!H125</f>
        <v>2.2473669269126003E-3</v>
      </c>
      <c r="I125">
        <f>Return!I125-'Return Estimasi'!I125</f>
        <v>8.8963842212476107E-3</v>
      </c>
      <c r="J125">
        <f>Return!J125-'Return Estimasi'!J125</f>
        <v>-6.8501375248598796E-4</v>
      </c>
      <c r="K125">
        <f>Return!K125-'Return Estimasi'!K125</f>
        <v>-2.1618898061068412E-2</v>
      </c>
      <c r="L125">
        <f>Return!L125-'Return Estimasi'!L125</f>
        <v>-4.9117500854535022E-3</v>
      </c>
      <c r="M125">
        <f>Return!M125-'Return Estimasi'!M125</f>
        <v>2.3887622884282221E-2</v>
      </c>
      <c r="N125">
        <f>Return!N125-'Return Estimasi'!N125</f>
        <v>6.5032219127259781E-3</v>
      </c>
      <c r="O125">
        <f>Return!O125-'Return Estimasi'!O125</f>
        <v>-1.5128211043788403E-2</v>
      </c>
      <c r="P125">
        <f>Return!P125-'Return Estimasi'!P125</f>
        <v>1.6549106585286768E-2</v>
      </c>
      <c r="Q125">
        <f>Return!Q125-'Return Estimasi'!Q125</f>
        <v>1.8402546413894227E-2</v>
      </c>
      <c r="R125">
        <f>Return!R125-'Return Estimasi'!R125</f>
        <v>1.2088414076906698E-2</v>
      </c>
      <c r="S125">
        <f>Return!S125-'Return Estimasi'!S125</f>
        <v>1.1315824939952672E-2</v>
      </c>
      <c r="T125">
        <f>Return!T125-'Return Estimasi'!T125</f>
        <v>2.6424319051115537E-2</v>
      </c>
      <c r="U125">
        <f>Return!U125-'Return Estimasi'!U125</f>
        <v>1.0756892365660721E-2</v>
      </c>
      <c r="V125">
        <f>Return!V125-'Return Estimasi'!V125</f>
        <v>1.2859715788494264E-2</v>
      </c>
      <c r="W125">
        <f>Return!W125-'Return Estimasi'!W125</f>
        <v>-1.5708481591757945E-2</v>
      </c>
      <c r="X125">
        <f>Return!X125-'Return Estimasi'!X125</f>
        <v>3.5082035919245746E-2</v>
      </c>
      <c r="Y125">
        <f>Return!Y125-'Return Estimasi'!Y125</f>
        <v>-9.8559061039981653E-3</v>
      </c>
      <c r="Z125">
        <f>Return!Z125-'Return Estimasi'!Z125</f>
        <v>-1.006695451159394E-2</v>
      </c>
      <c r="AA125">
        <f>Return!AA125-'Return Estimasi'!AA125</f>
        <v>1.9599805979805734E-2</v>
      </c>
      <c r="AB125">
        <f>Return!AB125-'Return Estimasi'!AB125</f>
        <v>-1.854655256481468E-3</v>
      </c>
      <c r="AC125">
        <f>Return!AC125-'Return Estimasi'!AC125</f>
        <v>-2.917905338256252E-2</v>
      </c>
      <c r="AD125">
        <f>Return!AD125-'Return Estimasi'!AD125</f>
        <v>-1.5002703062103655E-2</v>
      </c>
      <c r="AE125">
        <f>Return!AE125-'Return Estimasi'!AE125</f>
        <v>3.4031508308327556E-3</v>
      </c>
      <c r="AF125">
        <f>Return!AF125-'Return Estimasi'!AF125</f>
        <v>-16.612120997732607</v>
      </c>
    </row>
    <row r="126" spans="1:32" x14ac:dyDescent="0.3">
      <c r="A126" s="3" t="s">
        <v>74</v>
      </c>
      <c r="B126">
        <f>('Data Saham'!B126-'Data Saham'!B125)/'Data Saham'!B125</f>
        <v>8.4798371388718433E-3</v>
      </c>
      <c r="C126">
        <f>Return!C126-'Return Estimasi'!C126</f>
        <v>-1.5108652769412634E-2</v>
      </c>
      <c r="D126">
        <f>Return!D126-'Return Estimasi'!D126</f>
        <v>1.2269687567494617E-2</v>
      </c>
      <c r="E126">
        <f>Return!E126-'Return Estimasi'!E126</f>
        <v>-1.679262101969667E-3</v>
      </c>
      <c r="F126">
        <f>Return!F126-'Return Estimasi'!F126</f>
        <v>1.1234040550816483E-2</v>
      </c>
      <c r="G126">
        <f>Return!G126-'Return Estimasi'!G126</f>
        <v>2.8643250490428852E-3</v>
      </c>
      <c r="H126">
        <f>Return!H126-'Return Estimasi'!H126</f>
        <v>2.6918430591911001E-3</v>
      </c>
      <c r="I126">
        <f>Return!I126-'Return Estimasi'!I126</f>
        <v>1.9776687586959631E-2</v>
      </c>
      <c r="J126">
        <f>Return!J126-'Return Estimasi'!J126</f>
        <v>1.3963749886353804E-2</v>
      </c>
      <c r="K126">
        <f>Return!K126-'Return Estimasi'!K126</f>
        <v>5.8480064393995751E-3</v>
      </c>
      <c r="L126">
        <f>Return!L126-'Return Estimasi'!L126</f>
        <v>7.4711191142659344E-3</v>
      </c>
      <c r="M126">
        <f>Return!M126-'Return Estimasi'!M126</f>
        <v>-5.2231736701948417E-2</v>
      </c>
      <c r="N126">
        <f>Return!N126-'Return Estimasi'!N126</f>
        <v>-2.9401035012325411E-2</v>
      </c>
      <c r="O126">
        <f>Return!O126-'Return Estimasi'!O126</f>
        <v>4.5709115320244119E-3</v>
      </c>
      <c r="P126">
        <f>Return!P126-'Return Estimasi'!P126</f>
        <v>1.1088892921784051E-2</v>
      </c>
      <c r="Q126">
        <f>Return!Q126-'Return Estimasi'!Q126</f>
        <v>3.0485414098271664E-2</v>
      </c>
      <c r="R126">
        <f>Return!R126-'Return Estimasi'!R126</f>
        <v>-4.1244390590484351E-3</v>
      </c>
      <c r="S126">
        <f>Return!S126-'Return Estimasi'!S126</f>
        <v>5.8766392264573333E-3</v>
      </c>
      <c r="T126">
        <f>Return!T126-'Return Estimasi'!T126</f>
        <v>1.4548901803169872E-2</v>
      </c>
      <c r="U126">
        <f>Return!U126-'Return Estimasi'!U126</f>
        <v>-6.1213066822434145E-3</v>
      </c>
      <c r="V126">
        <f>Return!V126-'Return Estimasi'!V126</f>
        <v>3.4826738471350083E-3</v>
      </c>
      <c r="W126">
        <f>Return!W126-'Return Estimasi'!W126</f>
        <v>5.0632405448939294E-2</v>
      </c>
      <c r="X126">
        <f>Return!X126-'Return Estimasi'!X126</f>
        <v>-4.69930701012671E-4</v>
      </c>
      <c r="Y126">
        <f>Return!Y126-'Return Estimasi'!Y126</f>
        <v>1.8543754275463342E-2</v>
      </c>
      <c r="Z126">
        <f>Return!Z126-'Return Estimasi'!Z126</f>
        <v>1.7389133073808079E-2</v>
      </c>
      <c r="AA126">
        <f>Return!AA126-'Return Estimasi'!AA126</f>
        <v>2.0275842766215444E-2</v>
      </c>
      <c r="AB126">
        <f>Return!AB126-'Return Estimasi'!AB126</f>
        <v>-8.0535244311989874E-3</v>
      </c>
      <c r="AC126">
        <f>Return!AC126-'Return Estimasi'!AC126</f>
        <v>1.804053058986814E-2</v>
      </c>
      <c r="AD126">
        <f>Return!AD126-'Return Estimasi'!AD126</f>
        <v>5.3799727496360635E-3</v>
      </c>
      <c r="AE126">
        <f>Return!AE126-'Return Estimasi'!AE126</f>
        <v>3.611720315758131E-2</v>
      </c>
      <c r="AF126">
        <f>Return!AF126-'Return Estimasi'!AF126</f>
        <v>-16.431244350785146</v>
      </c>
    </row>
    <row r="127" spans="1:32" x14ac:dyDescent="0.3">
      <c r="A127" s="4" t="s">
        <v>75</v>
      </c>
      <c r="B127">
        <f>('Data Saham'!B127-'Data Saham'!B126)/'Data Saham'!B126</f>
        <v>-2.0871805990644444E-3</v>
      </c>
      <c r="C127">
        <f>Return!C127-'Return Estimasi'!C127</f>
        <v>-1.5676286729954803E-2</v>
      </c>
      <c r="D127">
        <f>Return!D127-'Return Estimasi'!D127</f>
        <v>7.9783557174413766E-3</v>
      </c>
      <c r="E127">
        <f>Return!E127-'Return Estimasi'!E127</f>
        <v>-1.7989856944164023E-2</v>
      </c>
      <c r="F127">
        <f>Return!F127-'Return Estimasi'!F127</f>
        <v>-2.2841245971435865E-2</v>
      </c>
      <c r="G127">
        <f>Return!G127-'Return Estimasi'!G127</f>
        <v>-2.6683640022012668E-2</v>
      </c>
      <c r="H127">
        <f>Return!H127-'Return Estimasi'!H127</f>
        <v>-2.0978242976821219E-2</v>
      </c>
      <c r="I127">
        <f>Return!I127-'Return Estimasi'!I127</f>
        <v>-5.1449453152803189E-3</v>
      </c>
      <c r="J127">
        <f>Return!J127-'Return Estimasi'!J127</f>
        <v>-1.5417775367976104E-2</v>
      </c>
      <c r="K127">
        <f>Return!K127-'Return Estimasi'!K127</f>
        <v>-2.0251649692791633E-2</v>
      </c>
      <c r="L127">
        <f>Return!L127-'Return Estimasi'!L127</f>
        <v>5.6724235871103154E-3</v>
      </c>
      <c r="M127">
        <f>Return!M127-'Return Estimasi'!M127</f>
        <v>-1.4650845954882242E-2</v>
      </c>
      <c r="N127">
        <f>Return!N127-'Return Estimasi'!N127</f>
        <v>-4.3041401814068597E-2</v>
      </c>
      <c r="O127">
        <f>Return!O127-'Return Estimasi'!O127</f>
        <v>4.2387777752438084E-3</v>
      </c>
      <c r="P127">
        <f>Return!P127-'Return Estimasi'!P127</f>
        <v>-2.907069940692639E-2</v>
      </c>
      <c r="Q127">
        <f>Return!Q127-'Return Estimasi'!Q127</f>
        <v>1.8329522332347817E-2</v>
      </c>
      <c r="R127">
        <f>Return!R127-'Return Estimasi'!R127</f>
        <v>-2.3147386468715114E-2</v>
      </c>
      <c r="S127">
        <f>Return!S127-'Return Estimasi'!S127</f>
        <v>1.7691193762830914E-2</v>
      </c>
      <c r="T127">
        <f>Return!T127-'Return Estimasi'!T127</f>
        <v>5.5351684496069899E-2</v>
      </c>
      <c r="U127">
        <f>Return!U127-'Return Estimasi'!U127</f>
        <v>-1.496279917318483E-2</v>
      </c>
      <c r="V127">
        <f>Return!V127-'Return Estimasi'!V127</f>
        <v>-2.0275618543042398E-2</v>
      </c>
      <c r="W127">
        <f>Return!W127-'Return Estimasi'!W127</f>
        <v>0.17107468513787102</v>
      </c>
      <c r="X127">
        <f>Return!X127-'Return Estimasi'!X127</f>
        <v>2.7020223500317971E-3</v>
      </c>
      <c r="Y127">
        <f>Return!Y127-'Return Estimasi'!Y127</f>
        <v>-5.2295924942918744E-2</v>
      </c>
      <c r="Z127">
        <f>Return!Z127-'Return Estimasi'!Z127</f>
        <v>-1.9763996582648626E-2</v>
      </c>
      <c r="AA127">
        <f>Return!AA127-'Return Estimasi'!AA127</f>
        <v>-3.9329145154296127E-2</v>
      </c>
      <c r="AB127">
        <f>Return!AB127-'Return Estimasi'!AB127</f>
        <v>-1.4470487894076924E-2</v>
      </c>
      <c r="AC127">
        <f>Return!AC127-'Return Estimasi'!AC127</f>
        <v>5.2276403287049689E-2</v>
      </c>
      <c r="AD127">
        <f>Return!AD127-'Return Estimasi'!AD127</f>
        <v>-4.0684391967517358E-2</v>
      </c>
      <c r="AE127">
        <f>Return!AE127-'Return Estimasi'!AE127</f>
        <v>-3.4757584382770915E-3</v>
      </c>
      <c r="AF127">
        <f>Return!AF127-'Return Estimasi'!AF127</f>
        <v>-16.763984657867102</v>
      </c>
    </row>
    <row r="128" spans="1:32" x14ac:dyDescent="0.3">
      <c r="A128" s="3" t="s">
        <v>76</v>
      </c>
      <c r="B128">
        <f>('Data Saham'!B128-'Data Saham'!B127)/'Data Saham'!B127</f>
        <v>5.3306328456388576E-3</v>
      </c>
      <c r="C128">
        <f>Return!C128-'Return Estimasi'!C128</f>
        <v>1.004720608642271E-2</v>
      </c>
      <c r="D128">
        <f>Return!D128-'Return Estimasi'!D128</f>
        <v>-6.4252044238246615E-3</v>
      </c>
      <c r="E128">
        <f>Return!E128-'Return Estimasi'!E128</f>
        <v>-1.4343473021052242E-2</v>
      </c>
      <c r="F128">
        <f>Return!F128-'Return Estimasi'!F128</f>
        <v>-2.0534196175959134E-2</v>
      </c>
      <c r="G128">
        <f>Return!G128-'Return Estimasi'!G128</f>
        <v>-1.2573755579402062E-2</v>
      </c>
      <c r="H128">
        <f>Return!H128-'Return Estimasi'!H128</f>
        <v>2.2866842118703056E-2</v>
      </c>
      <c r="I128">
        <f>Return!I128-'Return Estimasi'!I128</f>
        <v>2.8783715952816598E-2</v>
      </c>
      <c r="J128">
        <f>Return!J128-'Return Estimasi'!J128</f>
        <v>2.1404347837710481E-2</v>
      </c>
      <c r="K128">
        <f>Return!K128-'Return Estimasi'!K128</f>
        <v>8.9049327303870555E-3</v>
      </c>
      <c r="L128">
        <f>Return!L128-'Return Estimasi'!L128</f>
        <v>1.729114325334984E-2</v>
      </c>
      <c r="M128">
        <f>Return!M128-'Return Estimasi'!M128</f>
        <v>-1.5153886531728E-3</v>
      </c>
      <c r="N128">
        <f>Return!N128-'Return Estimasi'!N128</f>
        <v>-1.0657837837668195E-3</v>
      </c>
      <c r="O128">
        <f>Return!O128-'Return Estimasi'!O128</f>
        <v>-1.3740364371642208E-2</v>
      </c>
      <c r="P128">
        <f>Return!P128-'Return Estimasi'!P128</f>
        <v>3.1090336231695867E-2</v>
      </c>
      <c r="Q128">
        <f>Return!Q128-'Return Estimasi'!Q128</f>
        <v>-1.1233686081369099E-2</v>
      </c>
      <c r="R128">
        <f>Return!R128-'Return Estimasi'!R128</f>
        <v>1.4960843394280752E-2</v>
      </c>
      <c r="S128">
        <f>Return!S128-'Return Estimasi'!S128</f>
        <v>2.4522791369871854E-2</v>
      </c>
      <c r="T128">
        <f>Return!T128-'Return Estimasi'!T128</f>
        <v>-2.7973621405463917E-2</v>
      </c>
      <c r="U128">
        <f>Return!U128-'Return Estimasi'!U128</f>
        <v>-1.3004108589344083E-2</v>
      </c>
      <c r="V128">
        <f>Return!V128-'Return Estimasi'!V128</f>
        <v>8.3950741318941577E-3</v>
      </c>
      <c r="W128">
        <f>Return!W128-'Return Estimasi'!W128</f>
        <v>2.2125870554431663E-2</v>
      </c>
      <c r="X128">
        <f>Return!X128-'Return Estimasi'!X128</f>
        <v>-1.3255073486103375E-2</v>
      </c>
      <c r="Y128">
        <f>Return!Y128-'Return Estimasi'!Y128</f>
        <v>-2.2253643302788024E-2</v>
      </c>
      <c r="Z128">
        <f>Return!Z128-'Return Estimasi'!Z128</f>
        <v>-1.2275933666222334E-2</v>
      </c>
      <c r="AA128">
        <f>Return!AA128-'Return Estimasi'!AA128</f>
        <v>-2.0878239530670053E-2</v>
      </c>
      <c r="AB128">
        <f>Return!AB128-'Return Estimasi'!AB128</f>
        <v>-2.2594606871950088E-2</v>
      </c>
      <c r="AC128">
        <f>Return!AC128-'Return Estimasi'!AC128</f>
        <v>6.7885981850505012E-2</v>
      </c>
      <c r="AD128">
        <f>Return!AD128-'Return Estimasi'!AD128</f>
        <v>-2.2716681337282541E-2</v>
      </c>
      <c r="AE128">
        <f>Return!AE128-'Return Estimasi'!AE128</f>
        <v>-2.9674279524707983E-2</v>
      </c>
      <c r="AF128">
        <f>Return!AF128-'Return Estimasi'!AF128</f>
        <v>-16.556085728439808</v>
      </c>
    </row>
    <row r="129" spans="1:32" x14ac:dyDescent="0.3">
      <c r="A129" s="4" t="s">
        <v>77</v>
      </c>
      <c r="B129">
        <f>('Data Saham'!B129-'Data Saham'!B128)/'Data Saham'!B128</f>
        <v>-1.3762060433827751E-3</v>
      </c>
      <c r="C129">
        <f>Return!C129-'Return Estimasi'!C129</f>
        <v>-6.7941085223393299E-3</v>
      </c>
      <c r="D129">
        <f>Return!D129-'Return Estimasi'!D129</f>
        <v>-2.1006280262314974E-2</v>
      </c>
      <c r="E129">
        <f>Return!E129-'Return Estimasi'!E129</f>
        <v>1.0402416892021872E-2</v>
      </c>
      <c r="F129">
        <f>Return!F129-'Return Estimasi'!F129</f>
        <v>-1.2775875108589411E-2</v>
      </c>
      <c r="G129">
        <f>Return!G129-'Return Estimasi'!G129</f>
        <v>-3.4739927269965224E-3</v>
      </c>
      <c r="H129">
        <f>Return!H129-'Return Estimasi'!H129</f>
        <v>-3.8935613053094598E-3</v>
      </c>
      <c r="I129">
        <f>Return!I129-'Return Estimasi'!I129</f>
        <v>-5.2834902402410008E-3</v>
      </c>
      <c r="J129">
        <f>Return!J129-'Return Estimasi'!J129</f>
        <v>3.6500464625143342E-3</v>
      </c>
      <c r="K129">
        <f>Return!K129-'Return Estimasi'!K129</f>
        <v>-3.0284142298126399E-3</v>
      </c>
      <c r="L129">
        <f>Return!L129-'Return Estimasi'!L129</f>
        <v>9.8446502988352612E-4</v>
      </c>
      <c r="M129">
        <f>Return!M129-'Return Estimasi'!M129</f>
        <v>3.3901180913081405E-2</v>
      </c>
      <c r="N129">
        <f>Return!N129-'Return Estimasi'!N129</f>
        <v>6.2974586349360373E-2</v>
      </c>
      <c r="O129">
        <f>Return!O129-'Return Estimasi'!O129</f>
        <v>-1.0428318292301997E-2</v>
      </c>
      <c r="P129">
        <f>Return!P129-'Return Estimasi'!P129</f>
        <v>3.0908657203258397E-3</v>
      </c>
      <c r="Q129">
        <f>Return!Q129-'Return Estimasi'!Q129</f>
        <v>-2.5542512662889653E-2</v>
      </c>
      <c r="R129">
        <f>Return!R129-'Return Estimasi'!R129</f>
        <v>1.6464120223502205E-3</v>
      </c>
      <c r="S129">
        <f>Return!S129-'Return Estimasi'!S129</f>
        <v>-6.3195904198733693E-2</v>
      </c>
      <c r="T129">
        <f>Return!T129-'Return Estimasi'!T129</f>
        <v>-4.1794445488543372E-2</v>
      </c>
      <c r="U129">
        <f>Return!U129-'Return Estimasi'!U129</f>
        <v>1.5202271079799176E-2</v>
      </c>
      <c r="V129">
        <f>Return!V129-'Return Estimasi'!V129</f>
        <v>1.2939719225574828E-3</v>
      </c>
      <c r="W129">
        <f>Return!W129-'Return Estimasi'!W129</f>
        <v>7.3703968147181498E-2</v>
      </c>
      <c r="X129">
        <f>Return!X129-'Return Estimasi'!X129</f>
        <v>-1.4445003970330973E-2</v>
      </c>
      <c r="Y129">
        <f>Return!Y129-'Return Estimasi'!Y129</f>
        <v>-4.480638672588446E-2</v>
      </c>
      <c r="Z129">
        <f>Return!Z129-'Return Estimasi'!Z129</f>
        <v>-1.1783357567466308E-2</v>
      </c>
      <c r="AA129">
        <f>Return!AA129-'Return Estimasi'!AA129</f>
        <v>-2.568192453001563E-2</v>
      </c>
      <c r="AB129">
        <f>Return!AB129-'Return Estimasi'!AB129</f>
        <v>-1.5857090960956312E-2</v>
      </c>
      <c r="AC129">
        <f>Return!AC129-'Return Estimasi'!AC129</f>
        <v>2.8621781511512102E-2</v>
      </c>
      <c r="AD129">
        <f>Return!AD129-'Return Estimasi'!AD129</f>
        <v>-7.4374671065154108E-3</v>
      </c>
      <c r="AE129">
        <f>Return!AE129-'Return Estimasi'!AE129</f>
        <v>1.6873306955249565E-2</v>
      </c>
      <c r="AF129">
        <f>Return!AF129-'Return Estimasi'!AF129</f>
        <v>-16.734656905754907</v>
      </c>
    </row>
    <row r="130" spans="1:32" x14ac:dyDescent="0.3">
      <c r="A130" s="3" t="s">
        <v>78</v>
      </c>
      <c r="B130">
        <f>('Data Saham'!B130-'Data Saham'!B129)/'Data Saham'!B129</f>
        <v>1.0591987104541751E-2</v>
      </c>
      <c r="C130">
        <f>Return!C130-'Return Estimasi'!C130</f>
        <v>1.195823738661104E-2</v>
      </c>
      <c r="D130">
        <f>Return!D130-'Return Estimasi'!D130</f>
        <v>-1.6406825735912442E-2</v>
      </c>
      <c r="E130">
        <f>Return!E130-'Return Estimasi'!E130</f>
        <v>-1.2705204851608061E-2</v>
      </c>
      <c r="F130">
        <f>Return!F130-'Return Estimasi'!F130</f>
        <v>-1.1236920862257437E-2</v>
      </c>
      <c r="G130">
        <f>Return!G130-'Return Estimasi'!G130</f>
        <v>-2.0476398929401163E-2</v>
      </c>
      <c r="H130">
        <f>Return!H130-'Return Estimasi'!H130</f>
        <v>2.7508989012770178E-2</v>
      </c>
      <c r="I130">
        <f>Return!I130-'Return Estimasi'!I130</f>
        <v>5.16835426744389E-3</v>
      </c>
      <c r="J130">
        <f>Return!J130-'Return Estimasi'!J130</f>
        <v>-1.2537002303176902E-2</v>
      </c>
      <c r="K130">
        <f>Return!K130-'Return Estimasi'!K130</f>
        <v>4.8949158935315248E-2</v>
      </c>
      <c r="L130">
        <f>Return!L130-'Return Estimasi'!L130</f>
        <v>-8.7745429389290211E-3</v>
      </c>
      <c r="M130">
        <f>Return!M130-'Return Estimasi'!M130</f>
        <v>9.7474941848269617E-3</v>
      </c>
      <c r="N130">
        <f>Return!N130-'Return Estimasi'!N130</f>
        <v>-4.0465482663668076E-2</v>
      </c>
      <c r="O130">
        <f>Return!O130-'Return Estimasi'!O130</f>
        <v>-5.1090228122880298E-3</v>
      </c>
      <c r="P130">
        <f>Return!P130-'Return Estimasi'!P130</f>
        <v>7.6125820684950097E-4</v>
      </c>
      <c r="Q130">
        <f>Return!Q130-'Return Estimasi'!Q130</f>
        <v>-2.4259217752309853E-2</v>
      </c>
      <c r="R130">
        <f>Return!R130-'Return Estimasi'!R130</f>
        <v>3.1134438770876963E-3</v>
      </c>
      <c r="S130">
        <f>Return!S130-'Return Estimasi'!S130</f>
        <v>2.7536315192265041E-3</v>
      </c>
      <c r="T130">
        <f>Return!T130-'Return Estimasi'!T130</f>
        <v>-9.7155757886604119E-3</v>
      </c>
      <c r="U130">
        <f>Return!U130-'Return Estimasi'!U130</f>
        <v>-1.184855831871387E-2</v>
      </c>
      <c r="V130">
        <f>Return!V130-'Return Estimasi'!V130</f>
        <v>7.1303224324373027E-3</v>
      </c>
      <c r="W130">
        <f>Return!W130-'Return Estimasi'!W130</f>
        <v>2.4242526409051571E-2</v>
      </c>
      <c r="X130">
        <f>Return!X130-'Return Estimasi'!X130</f>
        <v>1.588420572183751E-3</v>
      </c>
      <c r="Y130">
        <f>Return!Y130-'Return Estimasi'!Y130</f>
        <v>3.6642457097932849E-3</v>
      </c>
      <c r="Z130">
        <f>Return!Z130-'Return Estimasi'!Z130</f>
        <v>-2.4916727525514555E-3</v>
      </c>
      <c r="AA130">
        <f>Return!AA130-'Return Estimasi'!AA130</f>
        <v>-2.3210746501282645E-2</v>
      </c>
      <c r="AB130">
        <f>Return!AB130-'Return Estimasi'!AB130</f>
        <v>-1.0277583667270596E-2</v>
      </c>
      <c r="AC130">
        <f>Return!AC130-'Return Estimasi'!AC130</f>
        <v>-3.8048839458640078E-2</v>
      </c>
      <c r="AD130">
        <f>Return!AD130-'Return Estimasi'!AD130</f>
        <v>2.7289871924681589E-2</v>
      </c>
      <c r="AE130">
        <f>Return!AE130-'Return Estimasi'!AE130</f>
        <v>2.3152082666136782E-3</v>
      </c>
      <c r="AF130">
        <f>Return!AF130-'Return Estimasi'!AF130</f>
        <v>-16.349506673974041</v>
      </c>
    </row>
    <row r="131" spans="1:32" x14ac:dyDescent="0.3">
      <c r="A131" s="4" t="s">
        <v>79</v>
      </c>
      <c r="B131">
        <f>('Data Saham'!B131-'Data Saham'!B130)/'Data Saham'!B130</f>
        <v>1.6738049524941934E-4</v>
      </c>
      <c r="C131">
        <f>Return!C131-'Return Estimasi'!C131</f>
        <v>-1.1203056357439459E-2</v>
      </c>
      <c r="D131">
        <f>Return!D131-'Return Estimasi'!D131</f>
        <v>5.8986295932958481E-3</v>
      </c>
      <c r="E131">
        <f>Return!E131-'Return Estimasi'!E131</f>
        <v>-4.7757926479985949E-3</v>
      </c>
      <c r="F131">
        <f>Return!F131-'Return Estimasi'!F131</f>
        <v>-2.4127503166971385E-3</v>
      </c>
      <c r="G131">
        <f>Return!G131-'Return Estimasi'!G131</f>
        <v>-1.1172954455361079E-2</v>
      </c>
      <c r="H131">
        <f>Return!H131-'Return Estimasi'!H131</f>
        <v>-5.6524583770394682E-4</v>
      </c>
      <c r="I131">
        <f>Return!I131-'Return Estimasi'!I131</f>
        <v>-1.3669647004046924E-2</v>
      </c>
      <c r="J131">
        <f>Return!J131-'Return Estimasi'!J131</f>
        <v>1.287347913873808E-2</v>
      </c>
      <c r="K131">
        <f>Return!K131-'Return Estimasi'!K131</f>
        <v>-1.8523938381383914E-2</v>
      </c>
      <c r="L131">
        <f>Return!L131-'Return Estimasi'!L131</f>
        <v>-6.105117988455107E-3</v>
      </c>
      <c r="M131">
        <f>Return!M131-'Return Estimasi'!M131</f>
        <v>-5.9773562951164025E-2</v>
      </c>
      <c r="N131">
        <f>Return!N131-'Return Estimasi'!N131</f>
        <v>-6.7408461751204615E-2</v>
      </c>
      <c r="O131">
        <f>Return!O131-'Return Estimasi'!O131</f>
        <v>-2.6577125927922159E-3</v>
      </c>
      <c r="P131">
        <f>Return!P131-'Return Estimasi'!P131</f>
        <v>-2.2657001615708029E-2</v>
      </c>
      <c r="Q131">
        <f>Return!Q131-'Return Estimasi'!Q131</f>
        <v>8.927055983256561E-3</v>
      </c>
      <c r="R131">
        <f>Return!R131-'Return Estimasi'!R131</f>
        <v>-2.0265782838379806E-2</v>
      </c>
      <c r="S131">
        <f>Return!S131-'Return Estimasi'!S131</f>
        <v>-2.296074530074578E-2</v>
      </c>
      <c r="T131">
        <f>Return!T131-'Return Estimasi'!T131</f>
        <v>-2.4172399163851874E-2</v>
      </c>
      <c r="U131">
        <f>Return!U131-'Return Estimasi'!U131</f>
        <v>-7.299170888067111E-3</v>
      </c>
      <c r="V131">
        <f>Return!V131-'Return Estimasi'!V131</f>
        <v>-2.0343535647128652E-2</v>
      </c>
      <c r="W131">
        <f>Return!W131-'Return Estimasi'!W131</f>
        <v>0.1161357430784388</v>
      </c>
      <c r="X131">
        <f>Return!X131-'Return Estimasi'!X131</f>
        <v>4.3241475648541474E-3</v>
      </c>
      <c r="Y131">
        <f>Return!Y131-'Return Estimasi'!Y131</f>
        <v>-8.9248691438843335E-3</v>
      </c>
      <c r="Z131">
        <f>Return!Z131-'Return Estimasi'!Z131</f>
        <v>-8.4386952241042937E-3</v>
      </c>
      <c r="AA131">
        <f>Return!AA131-'Return Estimasi'!AA131</f>
        <v>-3.2623180525181428E-2</v>
      </c>
      <c r="AB131">
        <f>Return!AB131-'Return Estimasi'!AB131</f>
        <v>-1.7819162579866665E-2</v>
      </c>
      <c r="AC131">
        <f>Return!AC131-'Return Estimasi'!AC131</f>
        <v>-1.2808418753424171E-3</v>
      </c>
      <c r="AD131">
        <f>Return!AD131-'Return Estimasi'!AD131</f>
        <v>-2.6530008926037678E-2</v>
      </c>
      <c r="AE131">
        <f>Return!AE131-'Return Estimasi'!AE131</f>
        <v>-5.2220752401957466E-3</v>
      </c>
      <c r="AF131">
        <f>Return!AF131-'Return Estimasi'!AF131</f>
        <v>-16.691003985845708</v>
      </c>
    </row>
    <row r="132" spans="1:32" x14ac:dyDescent="0.3">
      <c r="A132" s="3" t="s">
        <v>80</v>
      </c>
      <c r="B132">
        <f>('Data Saham'!B132-'Data Saham'!B131)/'Data Saham'!B131</f>
        <v>-1.0569047665925105E-2</v>
      </c>
      <c r="C132">
        <f>Return!C132-'Return Estimasi'!C132</f>
        <v>1.0714992264287126E-3</v>
      </c>
      <c r="D132">
        <f>Return!D132-'Return Estimasi'!D132</f>
        <v>-1.4770536184749185E-2</v>
      </c>
      <c r="E132">
        <f>Return!E132-'Return Estimasi'!E132</f>
        <v>3.432924319350307E-3</v>
      </c>
      <c r="F132">
        <f>Return!F132-'Return Estimasi'!F132</f>
        <v>9.0621464433896341E-3</v>
      </c>
      <c r="G132">
        <f>Return!G132-'Return Estimasi'!G132</f>
        <v>-4.7548244620600998E-3</v>
      </c>
      <c r="H132">
        <f>Return!H132-'Return Estimasi'!H132</f>
        <v>-1.4528414237376851E-2</v>
      </c>
      <c r="I132">
        <f>Return!I132-'Return Estimasi'!I132</f>
        <v>3.2522560270617229E-2</v>
      </c>
      <c r="J132">
        <f>Return!J132-'Return Estimasi'!J132</f>
        <v>-1.2777093257858359E-2</v>
      </c>
      <c r="K132">
        <f>Return!K132-'Return Estimasi'!K132</f>
        <v>5.7382005749376588E-3</v>
      </c>
      <c r="L132">
        <f>Return!L132-'Return Estimasi'!L132</f>
        <v>-2.2477414171651888E-3</v>
      </c>
      <c r="M132">
        <f>Return!M132-'Return Estimasi'!M132</f>
        <v>-8.1315914847663331E-2</v>
      </c>
      <c r="N132">
        <f>Return!N132-'Return Estimasi'!N132</f>
        <v>-7.5020251307492306E-2</v>
      </c>
      <c r="O132">
        <f>Return!O132-'Return Estimasi'!O132</f>
        <v>2.8437477413337043E-3</v>
      </c>
      <c r="P132">
        <f>Return!P132-'Return Estimasi'!P132</f>
        <v>-1.3823797373880288E-2</v>
      </c>
      <c r="Q132">
        <f>Return!Q132-'Return Estimasi'!Q132</f>
        <v>-1.7553047490900236E-3</v>
      </c>
      <c r="R132">
        <f>Return!R132-'Return Estimasi'!R132</f>
        <v>-1.013843265598972E-2</v>
      </c>
      <c r="S132">
        <f>Return!S132-'Return Estimasi'!S132</f>
        <v>3.5759116097563666E-2</v>
      </c>
      <c r="T132">
        <f>Return!T132-'Return Estimasi'!T132</f>
        <v>5.4531181690058855E-2</v>
      </c>
      <c r="U132">
        <f>Return!U132-'Return Estimasi'!U132</f>
        <v>9.5696099319439627E-4</v>
      </c>
      <c r="V132">
        <f>Return!V132-'Return Estimasi'!V132</f>
        <v>1.067053233014317E-2</v>
      </c>
      <c r="W132">
        <f>Return!W132-'Return Estimasi'!W132</f>
        <v>-5.1149688943665068E-2</v>
      </c>
      <c r="X132">
        <f>Return!X132-'Return Estimasi'!X132</f>
        <v>2.3988769196679666E-2</v>
      </c>
      <c r="Y132">
        <f>Return!Y132-'Return Estimasi'!Y132</f>
        <v>-1.3609877058121417E-2</v>
      </c>
      <c r="Z132">
        <f>Return!Z132-'Return Estimasi'!Z132</f>
        <v>4.5258221868640569E-3</v>
      </c>
      <c r="AA132">
        <f>Return!AA132-'Return Estimasi'!AA132</f>
        <v>1.432689249742156E-2</v>
      </c>
      <c r="AB132">
        <f>Return!AB132-'Return Estimasi'!AB132</f>
        <v>4.9740487575749871E-2</v>
      </c>
      <c r="AC132">
        <f>Return!AC132-'Return Estimasi'!AC132</f>
        <v>2.5121151147912718E-2</v>
      </c>
      <c r="AD132">
        <f>Return!AD132-'Return Estimasi'!AD132</f>
        <v>1.055778238316598E-2</v>
      </c>
      <c r="AE132">
        <f>Return!AE132-'Return Estimasi'!AE132</f>
        <v>8.0976549179403393E-3</v>
      </c>
      <c r="AF132">
        <f>Return!AF132-'Return Estimasi'!AF132</f>
        <v>-16.966385669297562</v>
      </c>
    </row>
    <row r="133" spans="1:32" x14ac:dyDescent="0.3">
      <c r="A133" s="4" t="s">
        <v>81</v>
      </c>
      <c r="B133">
        <f>('Data Saham'!B133-'Data Saham'!B132)/'Data Saham'!B132</f>
        <v>7.2954119495017029E-3</v>
      </c>
      <c r="C133">
        <f>Return!C133-'Return Estimasi'!C133</f>
        <v>-1.4367785053177344E-2</v>
      </c>
      <c r="D133">
        <f>Return!D133-'Return Estimasi'!D133</f>
        <v>-1.5728343161106134E-2</v>
      </c>
      <c r="E133">
        <f>Return!E133-'Return Estimasi'!E133</f>
        <v>6.5449234379552253E-3</v>
      </c>
      <c r="F133">
        <f>Return!F133-'Return Estimasi'!F133</f>
        <v>-8.4560013839318805E-3</v>
      </c>
      <c r="G133">
        <f>Return!G133-'Return Estimasi'!G133</f>
        <v>-1.1395019467102079E-2</v>
      </c>
      <c r="H133">
        <f>Return!H133-'Return Estimasi'!H133</f>
        <v>1.1955162433166095E-2</v>
      </c>
      <c r="I133">
        <f>Return!I133-'Return Estimasi'!I133</f>
        <v>1.9181453873593896E-2</v>
      </c>
      <c r="J133">
        <f>Return!J133-'Return Estimasi'!J133</f>
        <v>-1.49391035302965E-2</v>
      </c>
      <c r="K133">
        <f>Return!K133-'Return Estimasi'!K133</f>
        <v>-2.2681290315821181E-2</v>
      </c>
      <c r="L133">
        <f>Return!L133-'Return Estimasi'!L133</f>
        <v>1.1418852899450975E-3</v>
      </c>
      <c r="M133">
        <f>Return!M133-'Return Estimasi'!M133</f>
        <v>4.2464247337475024E-4</v>
      </c>
      <c r="N133">
        <f>Return!N133-'Return Estimasi'!N133</f>
        <v>6.4414210624804222E-2</v>
      </c>
      <c r="O133">
        <f>Return!O133-'Return Estimasi'!O133</f>
        <v>-6.3326872536326531E-3</v>
      </c>
      <c r="P133">
        <f>Return!P133-'Return Estimasi'!P133</f>
        <v>4.0109667375791917E-3</v>
      </c>
      <c r="Q133">
        <f>Return!Q133-'Return Estimasi'!Q133</f>
        <v>-2.3570237025602771E-3</v>
      </c>
      <c r="R133">
        <f>Return!R133-'Return Estimasi'!R133</f>
        <v>1.4036307357175305E-2</v>
      </c>
      <c r="S133">
        <f>Return!S133-'Return Estimasi'!S133</f>
        <v>2.7535636179201305E-4</v>
      </c>
      <c r="T133">
        <f>Return!T133-'Return Estimasi'!T133</f>
        <v>1.4613496927158996E-2</v>
      </c>
      <c r="U133">
        <f>Return!U133-'Return Estimasi'!U133</f>
        <v>-1.5229508482760223E-2</v>
      </c>
      <c r="V133">
        <f>Return!V133-'Return Estimasi'!V133</f>
        <v>-1.8849742924974884E-2</v>
      </c>
      <c r="W133">
        <f>Return!W133-'Return Estimasi'!W133</f>
        <v>3.5196615175120627E-2</v>
      </c>
      <c r="X133">
        <f>Return!X133-'Return Estimasi'!X133</f>
        <v>9.0505400716477339E-3</v>
      </c>
      <c r="Y133">
        <f>Return!Y133-'Return Estimasi'!Y133</f>
        <v>3.854526316677832E-3</v>
      </c>
      <c r="Z133">
        <f>Return!Z133-'Return Estimasi'!Z133</f>
        <v>1.4330280473085946E-2</v>
      </c>
      <c r="AA133">
        <f>Return!AA133-'Return Estimasi'!AA133</f>
        <v>-1.0867447159886232E-2</v>
      </c>
      <c r="AB133">
        <f>Return!AB133-'Return Estimasi'!AB133</f>
        <v>2.9557292210670615E-2</v>
      </c>
      <c r="AC133">
        <f>Return!AC133-'Return Estimasi'!AC133</f>
        <v>-5.7989880666222363E-2</v>
      </c>
      <c r="AD133">
        <f>Return!AD133-'Return Estimasi'!AD133</f>
        <v>-1.1171111612406991E-2</v>
      </c>
      <c r="AE133">
        <f>Return!AE133-'Return Estimasi'!AE133</f>
        <v>-2.6150869393282351E-2</v>
      </c>
      <c r="AF133">
        <f>Return!AF133-'Return Estimasi'!AF133</f>
        <v>-16.485384172857461</v>
      </c>
    </row>
    <row r="134" spans="1:32" x14ac:dyDescent="0.3">
      <c r="A134" s="3" t="s">
        <v>82</v>
      </c>
      <c r="B134">
        <f>('Data Saham'!B134-'Data Saham'!B133)/'Data Saham'!B133</f>
        <v>2.953330707601749E-3</v>
      </c>
      <c r="C134">
        <f>Return!C134-'Return Estimasi'!C134</f>
        <v>1.8774394310777296E-2</v>
      </c>
      <c r="D134">
        <f>Return!D134-'Return Estimasi'!D134</f>
        <v>-1.8938889857867066E-2</v>
      </c>
      <c r="E134">
        <f>Return!E134-'Return Estimasi'!E134</f>
        <v>-7.4920223253736595E-3</v>
      </c>
      <c r="F134">
        <f>Return!F134-'Return Estimasi'!F134</f>
        <v>-4.7838914945707526E-3</v>
      </c>
      <c r="G134">
        <f>Return!G134-'Return Estimasi'!G134</f>
        <v>-1.3924606243092188E-2</v>
      </c>
      <c r="H134">
        <f>Return!H134-'Return Estimasi'!H134</f>
        <v>-1.9460858724391423E-2</v>
      </c>
      <c r="I134">
        <f>Return!I134-'Return Estimasi'!I134</f>
        <v>-3.4386462151154304E-2</v>
      </c>
      <c r="J134">
        <f>Return!J134-'Return Estimasi'!J134</f>
        <v>-1.0592479503973615E-2</v>
      </c>
      <c r="K134">
        <f>Return!K134-'Return Estimasi'!K134</f>
        <v>1.0604812842270397E-2</v>
      </c>
      <c r="L134">
        <f>Return!L134-'Return Estimasi'!L134</f>
        <v>2.7083532617334519E-3</v>
      </c>
      <c r="M134">
        <f>Return!M134-'Return Estimasi'!M134</f>
        <v>2.0056652569448767E-2</v>
      </c>
      <c r="N134">
        <f>Return!N134-'Return Estimasi'!N134</f>
        <v>-1.0949434491088391E-2</v>
      </c>
      <c r="O134">
        <f>Return!O134-'Return Estimasi'!O134</f>
        <v>-9.9608287362297487E-3</v>
      </c>
      <c r="P134">
        <f>Return!P134-'Return Estimasi'!P134</f>
        <v>-7.170714459020977E-4</v>
      </c>
      <c r="Q134">
        <f>Return!Q134-'Return Estimasi'!Q134</f>
        <v>-8.8232721928159195E-3</v>
      </c>
      <c r="R134">
        <f>Return!R134-'Return Estimasi'!R134</f>
        <v>-3.9515201719037503E-2</v>
      </c>
      <c r="S134">
        <f>Return!S134-'Return Estimasi'!S134</f>
        <v>-9.7763088701816603E-3</v>
      </c>
      <c r="T134">
        <f>Return!T134-'Return Estimasi'!T134</f>
        <v>-4.9146894444895263E-2</v>
      </c>
      <c r="U134">
        <f>Return!U134-'Return Estimasi'!U134</f>
        <v>1.0605623220560433E-2</v>
      </c>
      <c r="V134">
        <f>Return!V134-'Return Estimasi'!V134</f>
        <v>1.9141350218373713E-2</v>
      </c>
      <c r="W134">
        <f>Return!W134-'Return Estimasi'!W134</f>
        <v>1.1124691853215341E-2</v>
      </c>
      <c r="X134">
        <f>Return!X134-'Return Estimasi'!X134</f>
        <v>-1.4828363285699591E-2</v>
      </c>
      <c r="Y134">
        <f>Return!Y134-'Return Estimasi'!Y134</f>
        <v>1.9134718247411473E-3</v>
      </c>
      <c r="Z134">
        <f>Return!Z134-'Return Estimasi'!Z134</f>
        <v>8.0464282299636154E-3</v>
      </c>
      <c r="AA134">
        <f>Return!AA134-'Return Estimasi'!AA134</f>
        <v>-1.4139744892600935E-3</v>
      </c>
      <c r="AB134">
        <f>Return!AB134-'Return Estimasi'!AB134</f>
        <v>-1.9778063543686983E-2</v>
      </c>
      <c r="AC134">
        <f>Return!AC134-'Return Estimasi'!AC134</f>
        <v>8.1508637479499393E-3</v>
      </c>
      <c r="AD134">
        <f>Return!AD134-'Return Estimasi'!AD134</f>
        <v>-7.025831848835604E-3</v>
      </c>
      <c r="AE134">
        <f>Return!AE134-'Return Estimasi'!AE134</f>
        <v>-2.2194542032764318E-3</v>
      </c>
      <c r="AF134">
        <f>Return!AF134-'Return Estimasi'!AF134</f>
        <v>-16.602232088220404</v>
      </c>
    </row>
    <row r="135" spans="1:32" x14ac:dyDescent="0.3">
      <c r="A135" s="4" t="s">
        <v>83</v>
      </c>
      <c r="B135">
        <f>('Data Saham'!B135-'Data Saham'!B134)/'Data Saham'!B134</f>
        <v>-7.6558027882928136E-3</v>
      </c>
      <c r="C135">
        <f>Return!C135-'Return Estimasi'!C135</f>
        <v>-1.1077240580806686E-2</v>
      </c>
      <c r="D135">
        <f>Return!D135-'Return Estimasi'!D135</f>
        <v>-1.3755060315050718E-2</v>
      </c>
      <c r="E135">
        <f>Return!E135-'Return Estimasi'!E135</f>
        <v>7.4155692728036932E-3</v>
      </c>
      <c r="F135">
        <f>Return!F135-'Return Estimasi'!F135</f>
        <v>-1.019199419218805E-2</v>
      </c>
      <c r="G135">
        <f>Return!G135-'Return Estimasi'!G135</f>
        <v>-1.2145154438491668E-3</v>
      </c>
      <c r="H135">
        <f>Return!H135-'Return Estimasi'!H135</f>
        <v>4.6980486296653093E-3</v>
      </c>
      <c r="I135">
        <f>Return!I135-'Return Estimasi'!I135</f>
        <v>-1.3024847524788621E-2</v>
      </c>
      <c r="J135">
        <f>Return!J135-'Return Estimasi'!J135</f>
        <v>-4.3945565648796349E-2</v>
      </c>
      <c r="K135">
        <f>Return!K135-'Return Estimasi'!K135</f>
        <v>-1.4403897031676778E-2</v>
      </c>
      <c r="L135">
        <f>Return!L135-'Return Estimasi'!L135</f>
        <v>5.4562698146641379E-3</v>
      </c>
      <c r="M135">
        <f>Return!M135-'Return Estimasi'!M135</f>
        <v>-4.0111414532921524E-2</v>
      </c>
      <c r="N135">
        <f>Return!N135-'Return Estimasi'!N135</f>
        <v>-2.7922896317202368E-2</v>
      </c>
      <c r="O135">
        <f>Return!O135-'Return Estimasi'!O135</f>
        <v>1.3058078883741615E-3</v>
      </c>
      <c r="P135">
        <f>Return!P135-'Return Estimasi'!P135</f>
        <v>1.3935374197149471E-4</v>
      </c>
      <c r="Q135">
        <f>Return!Q135-'Return Estimasi'!Q135</f>
        <v>-1.2314597517170022E-2</v>
      </c>
      <c r="R135">
        <f>Return!R135-'Return Estimasi'!R135</f>
        <v>1.4251775140649393E-2</v>
      </c>
      <c r="S135">
        <f>Return!S135-'Return Estimasi'!S135</f>
        <v>-2.4906941368193974E-2</v>
      </c>
      <c r="T135">
        <f>Return!T135-'Return Estimasi'!T135</f>
        <v>5.8154048587939749E-3</v>
      </c>
      <c r="U135">
        <f>Return!U135-'Return Estimasi'!U135</f>
        <v>-5.7433469684254907E-3</v>
      </c>
      <c r="V135">
        <f>Return!V135-'Return Estimasi'!V135</f>
        <v>1.4872323127842159E-3</v>
      </c>
      <c r="W135">
        <f>Return!W135-'Return Estimasi'!W135</f>
        <v>9.6278086934099873E-3</v>
      </c>
      <c r="X135">
        <f>Return!X135-'Return Estimasi'!X135</f>
        <v>8.5157371056875774E-3</v>
      </c>
      <c r="Y135">
        <f>Return!Y135-'Return Estimasi'!Y135</f>
        <v>3.4288637617138094E-2</v>
      </c>
      <c r="Z135">
        <f>Return!Z135-'Return Estimasi'!Z135</f>
        <v>-2.2356139451295085E-3</v>
      </c>
      <c r="AA135">
        <f>Return!AA135-'Return Estimasi'!AA135</f>
        <v>-6.642774964711314E-3</v>
      </c>
      <c r="AB135">
        <f>Return!AB135-'Return Estimasi'!AB135</f>
        <v>-2.6777246220941457E-2</v>
      </c>
      <c r="AC135">
        <f>Return!AC135-'Return Estimasi'!AC135</f>
        <v>-3.8205251102107433E-4</v>
      </c>
      <c r="AD135">
        <f>Return!AD135-'Return Estimasi'!AD135</f>
        <v>-6.1264936370023764E-3</v>
      </c>
      <c r="AE135">
        <f>Return!AE135-'Return Estimasi'!AE135</f>
        <v>-4.6513664096508233E-3</v>
      </c>
      <c r="AF135">
        <f>Return!AF135-'Return Estimasi'!AF135</f>
        <v>-16.895171811102511</v>
      </c>
    </row>
    <row r="136" spans="1:32" x14ac:dyDescent="0.3">
      <c r="A136" s="1">
        <v>45667</v>
      </c>
      <c r="B136">
        <f>('Data Saham'!B136-'Data Saham'!B135)/'Data Saham'!B135</f>
        <v>-2.1386765512228776E-3</v>
      </c>
      <c r="C136">
        <f>Return!C136-'Return Estimasi'!C136</f>
        <v>-1.2917214778633175E-2</v>
      </c>
      <c r="D136">
        <f>Return!D136-'Return Estimasi'!D136</f>
        <v>-2.2156931828771632E-2</v>
      </c>
      <c r="E136">
        <f>Return!E136-'Return Estimasi'!E136</f>
        <v>-2.5292605040546029E-3</v>
      </c>
      <c r="F136">
        <f>Return!F136-'Return Estimasi'!F136</f>
        <v>-1.0273648817581374E-2</v>
      </c>
      <c r="G136">
        <f>Return!G136-'Return Estimasi'!G136</f>
        <v>3.0885816823573368E-4</v>
      </c>
      <c r="H136">
        <f>Return!H136-'Return Estimasi'!H136</f>
        <v>-1.6329790197735519E-2</v>
      </c>
      <c r="I136">
        <f>Return!I136-'Return Estimasi'!I136</f>
        <v>-1.3059518185039733E-2</v>
      </c>
      <c r="J136">
        <f>Return!J136-'Return Estimasi'!J136</f>
        <v>-1.6626850124562834E-2</v>
      </c>
      <c r="K136">
        <f>Return!K136-'Return Estimasi'!K136</f>
        <v>-1.1141970535609469E-2</v>
      </c>
      <c r="L136">
        <f>Return!L136-'Return Estimasi'!L136</f>
        <v>-1.4039094486296096E-2</v>
      </c>
      <c r="M136">
        <f>Return!M136-'Return Estimasi'!M136</f>
        <v>1.2782596671244508E-2</v>
      </c>
      <c r="N136">
        <f>Return!N136-'Return Estimasi'!N136</f>
        <v>-1.8472860480351148E-2</v>
      </c>
      <c r="O136">
        <f>Return!O136-'Return Estimasi'!O136</f>
        <v>-1.0410023352646245E-2</v>
      </c>
      <c r="P136">
        <f>Return!P136-'Return Estimasi'!P136</f>
        <v>-1.3332539261599406E-2</v>
      </c>
      <c r="Q136">
        <f>Return!Q136-'Return Estimasi'!Q136</f>
        <v>-1.8528648295074023E-2</v>
      </c>
      <c r="R136">
        <f>Return!R136-'Return Estimasi'!R136</f>
        <v>-2.4455823401515243E-2</v>
      </c>
      <c r="S136">
        <f>Return!S136-'Return Estimasi'!S136</f>
        <v>5.5501486886434075E-3</v>
      </c>
      <c r="T136">
        <f>Return!T136-'Return Estimasi'!T136</f>
        <v>4.6023100701786931E-2</v>
      </c>
      <c r="U136">
        <f>Return!U136-'Return Estimasi'!U136</f>
        <v>-4.9418258673224217E-3</v>
      </c>
      <c r="V136">
        <f>Return!V136-'Return Estimasi'!V136</f>
        <v>-2.5083623808671907E-2</v>
      </c>
      <c r="W136">
        <f>Return!W136-'Return Estimasi'!W136</f>
        <v>1.2484236615608962E-2</v>
      </c>
      <c r="X136">
        <f>Return!X136-'Return Estimasi'!X136</f>
        <v>-5.5210705012991634E-2</v>
      </c>
      <c r="Y136">
        <f>Return!Y136-'Return Estimasi'!Y136</f>
        <v>-3.8150149901787202E-2</v>
      </c>
      <c r="Z136">
        <f>Return!Z136-'Return Estimasi'!Z136</f>
        <v>-1.5907141905928096E-2</v>
      </c>
      <c r="AA136">
        <f>Return!AA136-'Return Estimasi'!AA136</f>
        <v>1.3434137093680186E-2</v>
      </c>
      <c r="AB136">
        <f>Return!AB136-'Return Estimasi'!AB136</f>
        <v>2.1646114665714478E-2</v>
      </c>
      <c r="AC136">
        <f>Return!AC136-'Return Estimasi'!AC136</f>
        <v>5.9531439775127752E-2</v>
      </c>
      <c r="AD136">
        <f>Return!AD136-'Return Estimasi'!AD136</f>
        <v>-6.9212024126062274E-3</v>
      </c>
      <c r="AE136">
        <f>Return!AE136-'Return Estimasi'!AE136</f>
        <v>-2.4930172664319121E-2</v>
      </c>
      <c r="AF136">
        <f>Return!AF136-'Return Estimasi'!AF136</f>
        <v>-16.766933532289414</v>
      </c>
    </row>
    <row r="137" spans="1:32" x14ac:dyDescent="0.3">
      <c r="A137" s="2">
        <v>45698</v>
      </c>
      <c r="B137">
        <f>('Data Saham'!B137-'Data Saham'!B136)/'Data Saham'!B136</f>
        <v>3.3889370970509309E-3</v>
      </c>
      <c r="C137">
        <f>Return!C137-'Return Estimasi'!C137</f>
        <v>-1.2719167751371243E-3</v>
      </c>
      <c r="D137">
        <f>Return!D137-'Return Estimasi'!D137</f>
        <v>-3.0762492008526605E-2</v>
      </c>
      <c r="E137">
        <f>Return!E137-'Return Estimasi'!E137</f>
        <v>-7.9596548159906189E-3</v>
      </c>
      <c r="F137">
        <f>Return!F137-'Return Estimasi'!F137</f>
        <v>-5.2296491090259301E-3</v>
      </c>
      <c r="G137">
        <f>Return!G137-'Return Estimasi'!G137</f>
        <v>1.8205094639418509E-2</v>
      </c>
      <c r="H137">
        <f>Return!H137-'Return Estimasi'!H137</f>
        <v>1.6726362122815941E-3</v>
      </c>
      <c r="I137">
        <f>Return!I137-'Return Estimasi'!I137</f>
        <v>1.9195676548569005E-2</v>
      </c>
      <c r="J137">
        <f>Return!J137-'Return Estimasi'!J137</f>
        <v>-1.1477071865921855E-2</v>
      </c>
      <c r="K137">
        <f>Return!K137-'Return Estimasi'!K137</f>
        <v>-4.5111325016495901E-3</v>
      </c>
      <c r="L137">
        <f>Return!L137-'Return Estimasi'!L137</f>
        <v>2.5830385324335965E-3</v>
      </c>
      <c r="M137">
        <f>Return!M137-'Return Estimasi'!M137</f>
        <v>-3.9556027601072449E-2</v>
      </c>
      <c r="N137">
        <f>Return!N137-'Return Estimasi'!N137</f>
        <v>2.6572907606800835E-2</v>
      </c>
      <c r="O137">
        <f>Return!O137-'Return Estimasi'!O137</f>
        <v>-2.2370533972100076E-2</v>
      </c>
      <c r="P137">
        <f>Return!P137-'Return Estimasi'!P137</f>
        <v>-1.8491502639770709E-2</v>
      </c>
      <c r="Q137">
        <f>Return!Q137-'Return Estimasi'!Q137</f>
        <v>-4.3924227799434279E-2</v>
      </c>
      <c r="R137">
        <f>Return!R137-'Return Estimasi'!R137</f>
        <v>-1.143645908250356E-3</v>
      </c>
      <c r="S137">
        <f>Return!S137-'Return Estimasi'!S137</f>
        <v>-1.7488242604161476E-3</v>
      </c>
      <c r="T137">
        <f>Return!T137-'Return Estimasi'!T137</f>
        <v>2.1335856785498316E-2</v>
      </c>
      <c r="U137">
        <f>Return!U137-'Return Estimasi'!U137</f>
        <v>-3.587107128452377E-2</v>
      </c>
      <c r="V137">
        <f>Return!V137-'Return Estimasi'!V137</f>
        <v>7.5862954286781085E-4</v>
      </c>
      <c r="W137">
        <f>Return!W137-'Return Estimasi'!W137</f>
        <v>7.1589894115949154E-3</v>
      </c>
      <c r="X137">
        <f>Return!X137-'Return Estimasi'!X137</f>
        <v>-1.6717712442336358E-2</v>
      </c>
      <c r="Y137">
        <f>Return!Y137-'Return Estimasi'!Y137</f>
        <v>4.7548661130067518E-2</v>
      </c>
      <c r="Z137">
        <f>Return!Z137-'Return Estimasi'!Z137</f>
        <v>-1.5940997716421758E-3</v>
      </c>
      <c r="AA137">
        <f>Return!AA137-'Return Estimasi'!AA137</f>
        <v>1.1218154533735068E-2</v>
      </c>
      <c r="AB137">
        <f>Return!AB137-'Return Estimasi'!AB137</f>
        <v>-2.087470845258339E-2</v>
      </c>
      <c r="AC137">
        <f>Return!AC137-'Return Estimasi'!AC137</f>
        <v>-3.7392457694683669E-2</v>
      </c>
      <c r="AD137">
        <f>Return!AD137-'Return Estimasi'!AD137</f>
        <v>-2.8355204883487349E-3</v>
      </c>
      <c r="AE137">
        <f>Return!AE137-'Return Estimasi'!AE137</f>
        <v>1.3841635742526641E-2</v>
      </c>
      <c r="AF137">
        <f>Return!AF137-'Return Estimasi'!AF137</f>
        <v>-16.601211533289508</v>
      </c>
    </row>
    <row r="138" spans="1:32" x14ac:dyDescent="0.3">
      <c r="A138" s="1">
        <v>45726</v>
      </c>
      <c r="B138">
        <f>('Data Saham'!B138-'Data Saham'!B137)/'Data Saham'!B137</f>
        <v>5.8505181462704193E-3</v>
      </c>
      <c r="C138">
        <f>Return!C138-'Return Estimasi'!C138</f>
        <v>-5.3047939128655561E-5</v>
      </c>
      <c r="D138">
        <f>Return!D138-'Return Estimasi'!D138</f>
        <v>-1.2327286633680891E-2</v>
      </c>
      <c r="E138">
        <f>Return!E138-'Return Estimasi'!E138</f>
        <v>-1.7270378658392399E-2</v>
      </c>
      <c r="F138">
        <f>Return!F138-'Return Estimasi'!F138</f>
        <v>-4.8455159545775324E-3</v>
      </c>
      <c r="G138">
        <f>Return!G138-'Return Estimasi'!G138</f>
        <v>-2.6057579971791901E-2</v>
      </c>
      <c r="H138">
        <f>Return!H138-'Return Estimasi'!H138</f>
        <v>1.7541067772749046E-2</v>
      </c>
      <c r="I138">
        <f>Return!I138-'Return Estimasi'!I138</f>
        <v>4.6488188586589884E-3</v>
      </c>
      <c r="J138">
        <f>Return!J138-'Return Estimasi'!J138</f>
        <v>1.617278127875146E-2</v>
      </c>
      <c r="K138">
        <f>Return!K138-'Return Estimasi'!K138</f>
        <v>-1.281639355592859E-2</v>
      </c>
      <c r="L138">
        <f>Return!L138-'Return Estimasi'!L138</f>
        <v>2.7839512183758675E-3</v>
      </c>
      <c r="M138">
        <f>Return!M138-'Return Estimasi'!M138</f>
        <v>1.8147167272045822E-2</v>
      </c>
      <c r="N138">
        <f>Return!N138-'Return Estimasi'!N138</f>
        <v>-6.016650575939704E-3</v>
      </c>
      <c r="O138">
        <f>Return!O138-'Return Estimasi'!O138</f>
        <v>-2.1024346249628567E-2</v>
      </c>
      <c r="P138">
        <f>Return!P138-'Return Estimasi'!P138</f>
        <v>-7.4061681311823918E-2</v>
      </c>
      <c r="Q138">
        <f>Return!Q138-'Return Estimasi'!Q138</f>
        <v>3.9580920523668246E-2</v>
      </c>
      <c r="R138">
        <f>Return!R138-'Return Estimasi'!R138</f>
        <v>-2.0766754209963198E-2</v>
      </c>
      <c r="S138">
        <f>Return!S138-'Return Estimasi'!S138</f>
        <v>3.1100062796857293E-2</v>
      </c>
      <c r="T138">
        <f>Return!T138-'Return Estimasi'!T138</f>
        <v>-4.4612204414776497E-3</v>
      </c>
      <c r="U138">
        <f>Return!U138-'Return Estimasi'!U138</f>
        <v>-1.3979338924697942E-2</v>
      </c>
      <c r="V138">
        <f>Return!V138-'Return Estimasi'!V138</f>
        <v>8.0445962511697337E-3</v>
      </c>
      <c r="W138">
        <f>Return!W138-'Return Estimasi'!W138</f>
        <v>-1.334347089138745E-2</v>
      </c>
      <c r="X138">
        <f>Return!X138-'Return Estimasi'!X138</f>
        <v>1.6226895602249134E-2</v>
      </c>
      <c r="Y138">
        <f>Return!Y138-'Return Estimasi'!Y138</f>
        <v>4.6722702354589085E-3</v>
      </c>
      <c r="Z138">
        <f>Return!Z138-'Return Estimasi'!Z138</f>
        <v>1.5452088125672961E-2</v>
      </c>
      <c r="AA138">
        <f>Return!AA138-'Return Estimasi'!AA138</f>
        <v>-1.3497930940407488E-2</v>
      </c>
      <c r="AB138">
        <f>Return!AB138-'Return Estimasi'!AB138</f>
        <v>5.0270660854783385E-2</v>
      </c>
      <c r="AC138">
        <f>Return!AC138-'Return Estimasi'!AC138</f>
        <v>1.1059378227501807E-2</v>
      </c>
      <c r="AD138">
        <f>Return!AD138-'Return Estimasi'!AD138</f>
        <v>-5.1975162273344968E-3</v>
      </c>
      <c r="AE138">
        <f>Return!AE138-'Return Estimasi'!AE138</f>
        <v>-1.5182596640368029E-2</v>
      </c>
      <c r="AF138">
        <f>Return!AF138-'Return Estimasi'!AF138</f>
        <v>-16.521044899149775</v>
      </c>
    </row>
    <row r="139" spans="1:32" x14ac:dyDescent="0.3">
      <c r="A139" s="2">
        <v>45818</v>
      </c>
      <c r="B139">
        <f>('Data Saham'!B139-'Data Saham'!B138)/'Data Saham'!B138</f>
        <v>2.6594237709865543E-3</v>
      </c>
      <c r="C139">
        <f>Return!C139-'Return Estimasi'!C139</f>
        <v>-3.9675339290442691E-3</v>
      </c>
      <c r="D139">
        <f>Return!D139-'Return Estimasi'!D139</f>
        <v>-1.1928462776009639E-2</v>
      </c>
      <c r="E139">
        <f>Return!E139-'Return Estimasi'!E139</f>
        <v>-1.428042938660804E-2</v>
      </c>
      <c r="F139">
        <f>Return!F139-'Return Estimasi'!F139</f>
        <v>-1.204359272694292E-2</v>
      </c>
      <c r="G139">
        <f>Return!G139-'Return Estimasi'!G139</f>
        <v>-2.3557510287062759E-2</v>
      </c>
      <c r="H139">
        <f>Return!H139-'Return Estimasi'!H139</f>
        <v>-2.2418469232524767E-3</v>
      </c>
      <c r="I139">
        <f>Return!I139-'Return Estimasi'!I139</f>
        <v>-4.4975015302004609E-3</v>
      </c>
      <c r="J139">
        <f>Return!J139-'Return Estimasi'!J139</f>
        <v>-7.6971363058576546E-3</v>
      </c>
      <c r="K139">
        <f>Return!K139-'Return Estimasi'!K139</f>
        <v>-6.836445091613917E-3</v>
      </c>
      <c r="L139">
        <f>Return!L139-'Return Estimasi'!L139</f>
        <v>-9.2921535031855376E-3</v>
      </c>
      <c r="M139">
        <f>Return!M139-'Return Estimasi'!M139</f>
        <v>-1.0820566108437058E-2</v>
      </c>
      <c r="N139">
        <f>Return!N139-'Return Estimasi'!N139</f>
        <v>3.1900707765289433E-3</v>
      </c>
      <c r="O139">
        <f>Return!O139-'Return Estimasi'!O139</f>
        <v>1.7653521583421615E-2</v>
      </c>
      <c r="P139">
        <f>Return!P139-'Return Estimasi'!P139</f>
        <v>-1.9506191903090036E-2</v>
      </c>
      <c r="Q139">
        <f>Return!Q139-'Return Estimasi'!Q139</f>
        <v>-4.8342433481260768E-3</v>
      </c>
      <c r="R139">
        <f>Return!R139-'Return Estimasi'!R139</f>
        <v>-9.9757649157102817E-3</v>
      </c>
      <c r="S139">
        <f>Return!S139-'Return Estimasi'!S139</f>
        <v>-1.7880880690117711E-2</v>
      </c>
      <c r="T139">
        <f>Return!T139-'Return Estimasi'!T139</f>
        <v>-1.2161267993153372E-2</v>
      </c>
      <c r="U139">
        <f>Return!U139-'Return Estimasi'!U139</f>
        <v>-3.1568500419211477E-3</v>
      </c>
      <c r="V139">
        <f>Return!V139-'Return Estimasi'!V139</f>
        <v>-6.1840777262949153E-3</v>
      </c>
      <c r="W139">
        <f>Return!W139-'Return Estimasi'!W139</f>
        <v>3.1673286321730797E-2</v>
      </c>
      <c r="X139">
        <f>Return!X139-'Return Estimasi'!X139</f>
        <v>-1.5943100285016935E-2</v>
      </c>
      <c r="Y139">
        <f>Return!Y139-'Return Estimasi'!Y139</f>
        <v>2.0383335657270835E-3</v>
      </c>
      <c r="Z139">
        <f>Return!Z139-'Return Estimasi'!Z139</f>
        <v>-5.6788724027218521E-3</v>
      </c>
      <c r="AA139">
        <f>Return!AA139-'Return Estimasi'!AA139</f>
        <v>1.1838458283774052E-2</v>
      </c>
      <c r="AB139">
        <f>Return!AB139-'Return Estimasi'!AB139</f>
        <v>-1.9247247157421312E-3</v>
      </c>
      <c r="AC139">
        <f>Return!AC139-'Return Estimasi'!AC139</f>
        <v>9.8264925919097787E-2</v>
      </c>
      <c r="AD139">
        <f>Return!AD139-'Return Estimasi'!AD139</f>
        <v>-3.0571539188443884E-2</v>
      </c>
      <c r="AE139">
        <f>Return!AE139-'Return Estimasi'!AE139</f>
        <v>-2.3734343764687395E-2</v>
      </c>
      <c r="AF139">
        <f>Return!AF139-'Return Estimasi'!AF139</f>
        <v>-16.582549137472746</v>
      </c>
    </row>
    <row r="140" spans="1:32" x14ac:dyDescent="0.3">
      <c r="A140" s="1">
        <v>45848</v>
      </c>
      <c r="B140">
        <f>('Data Saham'!B140-'Data Saham'!B139)/'Data Saham'!B139</f>
        <v>3.6106139026448043E-3</v>
      </c>
      <c r="C140">
        <f>Return!C140-'Return Estimasi'!C140</f>
        <v>8.5376658768510135E-3</v>
      </c>
      <c r="D140">
        <f>Return!D140-'Return Estimasi'!D140</f>
        <v>8.9274360227933839E-3</v>
      </c>
      <c r="E140">
        <f>Return!E140-'Return Estimasi'!E140</f>
        <v>3.4318631522984094E-3</v>
      </c>
      <c r="F140">
        <f>Return!F140-'Return Estimasi'!F140</f>
        <v>-5.4482774782116574E-3</v>
      </c>
      <c r="G140">
        <f>Return!G140-'Return Estimasi'!G140</f>
        <v>-4.8704210981358595E-3</v>
      </c>
      <c r="H140">
        <f>Return!H140-'Return Estimasi'!H140</f>
        <v>-1.5757326707824836E-2</v>
      </c>
      <c r="I140">
        <f>Return!I140-'Return Estimasi'!I140</f>
        <v>-3.1243977219845703E-2</v>
      </c>
      <c r="J140">
        <f>Return!J140-'Return Estimasi'!J140</f>
        <v>1.6628262648613015E-2</v>
      </c>
      <c r="K140">
        <f>Return!K140-'Return Estimasi'!K140</f>
        <v>-7.7409585007022965E-3</v>
      </c>
      <c r="L140">
        <f>Return!L140-'Return Estimasi'!L140</f>
        <v>-4.160458315947079E-3</v>
      </c>
      <c r="M140">
        <f>Return!M140-'Return Estimasi'!M140</f>
        <v>-2.429244371415995E-2</v>
      </c>
      <c r="N140">
        <f>Return!N140-'Return Estimasi'!N140</f>
        <v>4.8777996237938603E-2</v>
      </c>
      <c r="O140">
        <f>Return!O140-'Return Estimasi'!O140</f>
        <v>-7.6424216244546468E-3</v>
      </c>
      <c r="P140">
        <f>Return!P140-'Return Estimasi'!P140</f>
        <v>-1.2951686537782858E-3</v>
      </c>
      <c r="Q140">
        <f>Return!Q140-'Return Estimasi'!Q140</f>
        <v>-9.6480773278921229E-3</v>
      </c>
      <c r="R140">
        <f>Return!R140-'Return Estimasi'!R140</f>
        <v>-1.0619235169731444E-2</v>
      </c>
      <c r="S140">
        <f>Return!S140-'Return Estimasi'!S140</f>
        <v>-3.9702610149628132E-3</v>
      </c>
      <c r="T140">
        <f>Return!T140-'Return Estimasi'!T140</f>
        <v>1.1241997931625218E-2</v>
      </c>
      <c r="U140">
        <f>Return!U140-'Return Estimasi'!U140</f>
        <v>-4.1099437908858796E-2</v>
      </c>
      <c r="V140">
        <f>Return!V140-'Return Estimasi'!V140</f>
        <v>-3.3586658289396297E-2</v>
      </c>
      <c r="W140">
        <f>Return!W140-'Return Estimasi'!W140</f>
        <v>2.5907180269572616E-2</v>
      </c>
      <c r="X140">
        <f>Return!X140-'Return Estimasi'!X140</f>
        <v>1.4120966768143948E-2</v>
      </c>
      <c r="Y140">
        <f>Return!Y140-'Return Estimasi'!Y140</f>
        <v>-3.1888712593659795E-2</v>
      </c>
      <c r="Z140">
        <f>Return!Z140-'Return Estimasi'!Z140</f>
        <v>-1.1112002824580663E-2</v>
      </c>
      <c r="AA140">
        <f>Return!AA140-'Return Estimasi'!AA140</f>
        <v>-6.5834307903973165E-3</v>
      </c>
      <c r="AB140">
        <f>Return!AB140-'Return Estimasi'!AB140</f>
        <v>-2.0470171956636023E-2</v>
      </c>
      <c r="AC140">
        <f>Return!AC140-'Return Estimasi'!AC140</f>
        <v>-8.1173376192293617E-2</v>
      </c>
      <c r="AD140">
        <f>Return!AD140-'Return Estimasi'!AD140</f>
        <v>-7.9262779547482724E-3</v>
      </c>
      <c r="AE140">
        <f>Return!AE140-'Return Estimasi'!AE140</f>
        <v>8.3901724603888759E-3</v>
      </c>
      <c r="AF140">
        <f>Return!AF140-'Return Estimasi'!AF140</f>
        <v>-16.578404263383682</v>
      </c>
    </row>
    <row r="141" spans="1:32" x14ac:dyDescent="0.3">
      <c r="A141" s="2">
        <v>45879</v>
      </c>
      <c r="B141">
        <f>('Data Saham'!B141-'Data Saham'!B140)/'Data Saham'!B140</f>
        <v>-3.9783187747267814E-4</v>
      </c>
      <c r="C141">
        <f>Return!C141-'Return Estimasi'!C141</f>
        <v>-2.4421774215400607E-2</v>
      </c>
      <c r="D141">
        <f>Return!D141-'Return Estimasi'!D141</f>
        <v>1.903491096929593E-3</v>
      </c>
      <c r="E141">
        <f>Return!E141-'Return Estimasi'!E141</f>
        <v>-9.0115054302105525E-3</v>
      </c>
      <c r="F141">
        <f>Return!F141-'Return Estimasi'!F141</f>
        <v>-1.2084381388814975E-2</v>
      </c>
      <c r="G141">
        <f>Return!G141-'Return Estimasi'!G141</f>
        <v>-7.9039094033116954E-3</v>
      </c>
      <c r="H141">
        <f>Return!H141-'Return Estimasi'!H141</f>
        <v>-4.5328073895708754E-3</v>
      </c>
      <c r="I141">
        <f>Return!I141-'Return Estimasi'!I141</f>
        <v>2.0338170551245987E-3</v>
      </c>
      <c r="J141">
        <f>Return!J141-'Return Estimasi'!J141</f>
        <v>3.634315084313063E-3</v>
      </c>
      <c r="K141">
        <f>Return!K141-'Return Estimasi'!K141</f>
        <v>0.12026570642226284</v>
      </c>
      <c r="L141">
        <f>Return!L141-'Return Estimasi'!L141</f>
        <v>-1.1634053652768166E-2</v>
      </c>
      <c r="M141">
        <f>Return!M141-'Return Estimasi'!M141</f>
        <v>5.5780303789461055E-2</v>
      </c>
      <c r="N141">
        <f>Return!N141-'Return Estimasi'!N141</f>
        <v>2.0631667067501514E-2</v>
      </c>
      <c r="O141">
        <f>Return!O141-'Return Estimasi'!O141</f>
        <v>3.1300133333365857E-2</v>
      </c>
      <c r="P141">
        <f>Return!P141-'Return Estimasi'!P141</f>
        <v>-7.4783769882941767E-3</v>
      </c>
      <c r="Q141">
        <f>Return!Q141-'Return Estimasi'!Q141</f>
        <v>9.8674072738174634E-3</v>
      </c>
      <c r="R141">
        <f>Return!R141-'Return Estimasi'!R141</f>
        <v>1.0735602694763834E-3</v>
      </c>
      <c r="S141">
        <f>Return!S141-'Return Estimasi'!S141</f>
        <v>-3.8992758901842E-3</v>
      </c>
      <c r="T141">
        <f>Return!T141-'Return Estimasi'!T141</f>
        <v>8.5884854946758921E-3</v>
      </c>
      <c r="U141">
        <f>Return!U141-'Return Estimasi'!U141</f>
        <v>-1.5132686053140384E-2</v>
      </c>
      <c r="V141">
        <f>Return!V141-'Return Estimasi'!V141</f>
        <v>-1.6205679046895023E-2</v>
      </c>
      <c r="W141">
        <f>Return!W141-'Return Estimasi'!W141</f>
        <v>-8.7323960471385985E-3</v>
      </c>
      <c r="X141">
        <f>Return!X141-'Return Estimasi'!X141</f>
        <v>4.9952285134040927E-4</v>
      </c>
      <c r="Y141">
        <f>Return!Y141-'Return Estimasi'!Y141</f>
        <v>1.7704188842998375E-2</v>
      </c>
      <c r="Z141">
        <f>Return!Z141-'Return Estimasi'!Z141</f>
        <v>-3.3710541663203369E-3</v>
      </c>
      <c r="AA141">
        <f>Return!AA141-'Return Estimasi'!AA141</f>
        <v>-1.0433773701693494E-2</v>
      </c>
      <c r="AB141">
        <f>Return!AB141-'Return Estimasi'!AB141</f>
        <v>1.2945152873375075E-3</v>
      </c>
      <c r="AC141">
        <f>Return!AC141-'Return Estimasi'!AC141</f>
        <v>-4.5237845051447623E-2</v>
      </c>
      <c r="AD141">
        <f>Return!AD141-'Return Estimasi'!AD141</f>
        <v>-9.0058699732195741E-3</v>
      </c>
      <c r="AE141">
        <f>Return!AE141-'Return Estimasi'!AE141</f>
        <v>5.8318729625438416E-3</v>
      </c>
      <c r="AF141">
        <f>Return!AF141-'Return Estimasi'!AF141</f>
        <v>-16.685581210320187</v>
      </c>
    </row>
    <row r="142" spans="1:32" x14ac:dyDescent="0.3">
      <c r="A142" s="1">
        <v>45910</v>
      </c>
      <c r="B142">
        <f>('Data Saham'!B142-'Data Saham'!B141)/'Data Saham'!B141</f>
        <v>1.0397953473107589E-2</v>
      </c>
      <c r="C142">
        <f>Return!C142-'Return Estimasi'!C142</f>
        <v>1.6436247456778214E-2</v>
      </c>
      <c r="D142">
        <f>Return!D142-'Return Estimasi'!D142</f>
        <v>2.6226084646948998E-2</v>
      </c>
      <c r="E142">
        <f>Return!E142-'Return Estimasi'!E142</f>
        <v>2.2688307465391723E-2</v>
      </c>
      <c r="F142">
        <f>Return!F142-'Return Estimasi'!F142</f>
        <v>3.191186302034496E-2</v>
      </c>
      <c r="G142">
        <f>Return!G142-'Return Estimasi'!G142</f>
        <v>-4.2958692905785403E-3</v>
      </c>
      <c r="H142">
        <f>Return!H142-'Return Estimasi'!H142</f>
        <v>2.7486309805509417E-2</v>
      </c>
      <c r="I142">
        <f>Return!I142-'Return Estimasi'!I142</f>
        <v>-1.3411184017623449E-2</v>
      </c>
      <c r="J142">
        <f>Return!J142-'Return Estimasi'!J142</f>
        <v>-1.6720226918443833E-2</v>
      </c>
      <c r="K142">
        <f>Return!K142-'Return Estimasi'!K142</f>
        <v>-7.5974014036149562E-2</v>
      </c>
      <c r="L142">
        <f>Return!L142-'Return Estimasi'!L142</f>
        <v>1.0251218215072123E-2</v>
      </c>
      <c r="M142">
        <f>Return!M142-'Return Estimasi'!M142</f>
        <v>-4.8236941667207857E-2</v>
      </c>
      <c r="N142">
        <f>Return!N142-'Return Estimasi'!N142</f>
        <v>-3.6427776201042351E-3</v>
      </c>
      <c r="O142">
        <f>Return!O142-'Return Estimasi'!O142</f>
        <v>1.2901002130622643E-2</v>
      </c>
      <c r="P142">
        <f>Return!P142-'Return Estimasi'!P142</f>
        <v>3.195088066031132E-2</v>
      </c>
      <c r="Q142">
        <f>Return!Q142-'Return Estimasi'!Q142</f>
        <v>-3.9478954106715661E-2</v>
      </c>
      <c r="R142">
        <f>Return!R142-'Return Estimasi'!R142</f>
        <v>1.833738267028423E-2</v>
      </c>
      <c r="S142">
        <f>Return!S142-'Return Estimasi'!S142</f>
        <v>2.1922280654278661E-2</v>
      </c>
      <c r="T142">
        <f>Return!T142-'Return Estimasi'!T142</f>
        <v>7.0243538697168807E-3</v>
      </c>
      <c r="U142">
        <f>Return!U142-'Return Estimasi'!U142</f>
        <v>-7.744905118550402E-3</v>
      </c>
      <c r="V142">
        <f>Return!V142-'Return Estimasi'!V142</f>
        <v>1.7298317498953733E-2</v>
      </c>
      <c r="W142">
        <f>Return!W142-'Return Estimasi'!W142</f>
        <v>-1.9540018185892766E-2</v>
      </c>
      <c r="X142">
        <f>Return!X142-'Return Estimasi'!X142</f>
        <v>-2.0944394417446374E-3</v>
      </c>
      <c r="Y142">
        <f>Return!Y142-'Return Estimasi'!Y142</f>
        <v>-1.1861316066379596E-2</v>
      </c>
      <c r="Z142">
        <f>Return!Z142-'Return Estimasi'!Z142</f>
        <v>7.1821476964358585E-3</v>
      </c>
      <c r="AA142">
        <f>Return!AA142-'Return Estimasi'!AA142</f>
        <v>-1.5989845283305888E-3</v>
      </c>
      <c r="AB142">
        <f>Return!AB142-'Return Estimasi'!AB142</f>
        <v>-2.7930412296203435E-2</v>
      </c>
      <c r="AC142">
        <f>Return!AC142-'Return Estimasi'!AC142</f>
        <v>-2.1731633326726816E-2</v>
      </c>
      <c r="AD142">
        <f>Return!AD142-'Return Estimasi'!AD142</f>
        <v>3.4000882602579913E-4</v>
      </c>
      <c r="AE142">
        <f>Return!AE142-'Return Estimasi'!AE142</f>
        <v>3.0295166949028014E-3</v>
      </c>
      <c r="AF142">
        <f>Return!AF142-'Return Estimasi'!AF142</f>
        <v>-16.3765818250282</v>
      </c>
    </row>
    <row r="143" spans="1:32" x14ac:dyDescent="0.3">
      <c r="A143" s="2">
        <v>45940</v>
      </c>
      <c r="B143">
        <f>('Data Saham'!B143-'Data Saham'!B142)/'Data Saham'!B142</f>
        <v>8.3869231869339398E-4</v>
      </c>
      <c r="C143">
        <f>Return!C143-'Return Estimasi'!C143</f>
        <v>-1.8948841014458637E-2</v>
      </c>
      <c r="D143">
        <f>Return!D143-'Return Estimasi'!D143</f>
        <v>-3.5686660670428888E-2</v>
      </c>
      <c r="E143">
        <f>Return!E143-'Return Estimasi'!E143</f>
        <v>-3.2788289987223787E-2</v>
      </c>
      <c r="F143">
        <f>Return!F143-'Return Estimasi'!F143</f>
        <v>-3.2307727986323698E-2</v>
      </c>
      <c r="G143">
        <f>Return!G143-'Return Estimasi'!G143</f>
        <v>7.5934567967210487E-3</v>
      </c>
      <c r="H143">
        <f>Return!H143-'Return Estimasi'!H143</f>
        <v>-5.2363014232137796E-3</v>
      </c>
      <c r="I143">
        <f>Return!I143-'Return Estimasi'!I143</f>
        <v>-2.5962770220319419E-2</v>
      </c>
      <c r="J143">
        <f>Return!J143-'Return Estimasi'!J143</f>
        <v>6.8119066709712399E-3</v>
      </c>
      <c r="K143">
        <f>Return!K143-'Return Estimasi'!K143</f>
        <v>9.4502628442385307E-3</v>
      </c>
      <c r="L143">
        <f>Return!L143-'Return Estimasi'!L143</f>
        <v>1.465646119578907E-2</v>
      </c>
      <c r="M143">
        <f>Return!M143-'Return Estimasi'!M143</f>
        <v>2.2021317161074361E-2</v>
      </c>
      <c r="N143">
        <f>Return!N143-'Return Estimasi'!N143</f>
        <v>3.1469567480720793E-2</v>
      </c>
      <c r="O143">
        <f>Return!O143-'Return Estimasi'!O143</f>
        <v>-1.0367605849113888E-4</v>
      </c>
      <c r="P143">
        <f>Return!P143-'Return Estimasi'!P143</f>
        <v>-8.291155719081976E-3</v>
      </c>
      <c r="Q143">
        <f>Return!Q143-'Return Estimasi'!Q143</f>
        <v>4.3613659540158084E-2</v>
      </c>
      <c r="R143">
        <f>Return!R143-'Return Estimasi'!R143</f>
        <v>3.495580646698665E-4</v>
      </c>
      <c r="S143">
        <f>Return!S143-'Return Estimasi'!S143</f>
        <v>-2.7110413560085915E-2</v>
      </c>
      <c r="T143">
        <f>Return!T143-'Return Estimasi'!T143</f>
        <v>-2.9374658817046453E-2</v>
      </c>
      <c r="U143">
        <f>Return!U143-'Return Estimasi'!U143</f>
        <v>2.7140940886622757E-3</v>
      </c>
      <c r="V143">
        <f>Return!V143-'Return Estimasi'!V143</f>
        <v>-1.0410351056637091E-2</v>
      </c>
      <c r="W143">
        <f>Return!W143-'Return Estimasi'!W143</f>
        <v>3.5002388601794041E-2</v>
      </c>
      <c r="X143">
        <f>Return!X143-'Return Estimasi'!X143</f>
        <v>-1.8512558852937025E-2</v>
      </c>
      <c r="Y143">
        <f>Return!Y143-'Return Estimasi'!Y143</f>
        <v>1.1346966660470135E-2</v>
      </c>
      <c r="Z143">
        <f>Return!Z143-'Return Estimasi'!Z143</f>
        <v>-4.287000858893197E-3</v>
      </c>
      <c r="AA143">
        <f>Return!AA143-'Return Estimasi'!AA143</f>
        <v>9.3511224285186649E-3</v>
      </c>
      <c r="AB143">
        <f>Return!AB143-'Return Estimasi'!AB143</f>
        <v>-1.8189342571496188E-2</v>
      </c>
      <c r="AC143">
        <f>Return!AC143-'Return Estimasi'!AC143</f>
        <v>-1.3624489589939269E-2</v>
      </c>
      <c r="AD143">
        <f>Return!AD143-'Return Estimasi'!AD143</f>
        <v>-1.5094330338127297E-2</v>
      </c>
      <c r="AE143">
        <f>Return!AE143-'Return Estimasi'!AE143</f>
        <v>-1.6822274136114482E-2</v>
      </c>
      <c r="AF143">
        <f>Return!AF143-'Return Estimasi'!AF143</f>
        <v>-16.683513763819686</v>
      </c>
    </row>
    <row r="144" spans="1:32" x14ac:dyDescent="0.3">
      <c r="A144" s="3" t="s">
        <v>84</v>
      </c>
      <c r="B144">
        <f>('Data Saham'!B144-'Data Saham'!B143)/'Data Saham'!B143</f>
        <v>-3.7128263254644486E-3</v>
      </c>
      <c r="C144">
        <f>Return!C144-'Return Estimasi'!C144</f>
        <v>-5.3067341368353612E-3</v>
      </c>
      <c r="D144">
        <f>Return!D144-'Return Estimasi'!D144</f>
        <v>-1.6298771857972731E-2</v>
      </c>
      <c r="E144">
        <f>Return!E144-'Return Estimasi'!E144</f>
        <v>-1.1491353250151059E-3</v>
      </c>
      <c r="F144">
        <f>Return!F144-'Return Estimasi'!F144</f>
        <v>-1.4377436003911791E-2</v>
      </c>
      <c r="G144">
        <f>Return!G144-'Return Estimasi'!G144</f>
        <v>-4.8520078989687122E-3</v>
      </c>
      <c r="H144">
        <f>Return!H144-'Return Estimasi'!H144</f>
        <v>-1.4903866279330156E-2</v>
      </c>
      <c r="I144">
        <f>Return!I144-'Return Estimasi'!I144</f>
        <v>-2.2109499190341303E-3</v>
      </c>
      <c r="J144">
        <f>Return!J144-'Return Estimasi'!J144</f>
        <v>1.1263831072919747E-3</v>
      </c>
      <c r="K144">
        <f>Return!K144-'Return Estimasi'!K144</f>
        <v>-1.2111521638798039E-2</v>
      </c>
      <c r="L144">
        <f>Return!L144-'Return Estimasi'!L144</f>
        <v>-5.8505617188966191E-3</v>
      </c>
      <c r="M144">
        <f>Return!M144-'Return Estimasi'!M144</f>
        <v>1.6614025830014128E-2</v>
      </c>
      <c r="N144">
        <f>Return!N144-'Return Estimasi'!N144</f>
        <v>7.4385868024293674E-3</v>
      </c>
      <c r="O144">
        <f>Return!O144-'Return Estimasi'!O144</f>
        <v>-1.8295716521900599E-2</v>
      </c>
      <c r="P144">
        <f>Return!P144-'Return Estimasi'!P144</f>
        <v>5.1459824053793849E-3</v>
      </c>
      <c r="Q144">
        <f>Return!Q144-'Return Estimasi'!Q144</f>
        <v>-3.5094647608895108E-2</v>
      </c>
      <c r="R144">
        <f>Return!R144-'Return Estimasi'!R144</f>
        <v>3.014535865998444E-3</v>
      </c>
      <c r="S144">
        <f>Return!S144-'Return Estimasi'!S144</f>
        <v>-4.2278239608467784E-3</v>
      </c>
      <c r="T144">
        <f>Return!T144-'Return Estimasi'!T144</f>
        <v>2.9575813945013844E-2</v>
      </c>
      <c r="U144">
        <f>Return!U144-'Return Estimasi'!U144</f>
        <v>-1.5479796015003528E-2</v>
      </c>
      <c r="V144">
        <f>Return!V144-'Return Estimasi'!V144</f>
        <v>1.9063848398189247E-2</v>
      </c>
      <c r="W144">
        <f>Return!W144-'Return Estimasi'!W144</f>
        <v>-1.1550316838884384E-2</v>
      </c>
      <c r="X144">
        <f>Return!X144-'Return Estimasi'!X144</f>
        <v>-5.130430173840704E-3</v>
      </c>
      <c r="Y144">
        <f>Return!Y144-'Return Estimasi'!Y144</f>
        <v>8.1873418800555403E-2</v>
      </c>
      <c r="Z144">
        <f>Return!Z144-'Return Estimasi'!Z144</f>
        <v>-5.4700008225350254E-3</v>
      </c>
      <c r="AA144">
        <f>Return!AA144-'Return Estimasi'!AA144</f>
        <v>-1.0621360994829906E-2</v>
      </c>
      <c r="AB144">
        <f>Return!AB144-'Return Estimasi'!AB144</f>
        <v>2.3303668533226719E-2</v>
      </c>
      <c r="AC144">
        <f>Return!AC144-'Return Estimasi'!AC144</f>
        <v>2.0654630277126477E-3</v>
      </c>
      <c r="AD144">
        <f>Return!AD144-'Return Estimasi'!AD144</f>
        <v>-1.0946437950545142E-2</v>
      </c>
      <c r="AE144">
        <f>Return!AE144-'Return Estimasi'!AE144</f>
        <v>8.3610995905396557E-3</v>
      </c>
      <c r="AF144">
        <f>Return!AF144-'Return Estimasi'!AF144</f>
        <v>-16.773137558926674</v>
      </c>
    </row>
    <row r="145" spans="1:32" x14ac:dyDescent="0.3">
      <c r="A145" s="4" t="s">
        <v>85</v>
      </c>
      <c r="B145">
        <f>('Data Saham'!B145-'Data Saham'!B144)/'Data Saham'!B144</f>
        <v>-1.9530338389731654E-2</v>
      </c>
      <c r="C145">
        <f>Return!C145-'Return Estimasi'!C145</f>
        <v>8.1765199524448766E-3</v>
      </c>
      <c r="D145">
        <f>Return!D145-'Return Estimasi'!D145</f>
        <v>-1.2031980143641097E-2</v>
      </c>
      <c r="E145">
        <f>Return!E145-'Return Estimasi'!E145</f>
        <v>-1.4060257858532339E-2</v>
      </c>
      <c r="F145">
        <f>Return!F145-'Return Estimasi'!F145</f>
        <v>-8.9885075969346195E-3</v>
      </c>
      <c r="G145">
        <f>Return!G145-'Return Estimasi'!G145</f>
        <v>-3.8913192760645088E-3</v>
      </c>
      <c r="H145">
        <f>Return!H145-'Return Estimasi'!H145</f>
        <v>1.6997363582125481E-2</v>
      </c>
      <c r="I145">
        <f>Return!I145-'Return Estimasi'!I145</f>
        <v>-2.6789322280616777E-2</v>
      </c>
      <c r="J145">
        <f>Return!J145-'Return Estimasi'!J145</f>
        <v>-1.5163162419357027E-2</v>
      </c>
      <c r="K145">
        <f>Return!K145-'Return Estimasi'!K145</f>
        <v>5.4699832471260118E-3</v>
      </c>
      <c r="L145">
        <f>Return!L145-'Return Estimasi'!L145</f>
        <v>-5.6949179162769387E-3</v>
      </c>
      <c r="M145">
        <f>Return!M145-'Return Estimasi'!M145</f>
        <v>7.8994302558975694E-3</v>
      </c>
      <c r="N145">
        <f>Return!N145-'Return Estimasi'!N145</f>
        <v>2.1254365484776001E-2</v>
      </c>
      <c r="O145">
        <f>Return!O145-'Return Estimasi'!O145</f>
        <v>4.361594386126641E-3</v>
      </c>
      <c r="P145">
        <f>Return!P145-'Return Estimasi'!P145</f>
        <v>4.7629313226646874E-2</v>
      </c>
      <c r="Q145">
        <f>Return!Q145-'Return Estimasi'!Q145</f>
        <v>-4.3132430416490813E-3</v>
      </c>
      <c r="R145">
        <f>Return!R145-'Return Estimasi'!R145</f>
        <v>-1.5373859259628119E-2</v>
      </c>
      <c r="S145">
        <f>Return!S145-'Return Estimasi'!S145</f>
        <v>2.2090612861617748E-3</v>
      </c>
      <c r="T145">
        <f>Return!T145-'Return Estimasi'!T145</f>
        <v>4.2451756380944825E-2</v>
      </c>
      <c r="U145">
        <f>Return!U145-'Return Estimasi'!U145</f>
        <v>-6.4025865866342777E-3</v>
      </c>
      <c r="V145">
        <f>Return!V145-'Return Estimasi'!V145</f>
        <v>-3.108603974312299E-4</v>
      </c>
      <c r="W145">
        <f>Return!W145-'Return Estimasi'!W145</f>
        <v>-2.9311407422769442E-2</v>
      </c>
      <c r="X145">
        <f>Return!X145-'Return Estimasi'!X145</f>
        <v>1.147812011258938E-2</v>
      </c>
      <c r="Y145">
        <f>Return!Y145-'Return Estimasi'!Y145</f>
        <v>4.1069830985485258E-2</v>
      </c>
      <c r="Z145">
        <f>Return!Z145-'Return Estimasi'!Z145</f>
        <v>6.7216274783051984E-3</v>
      </c>
      <c r="AA145">
        <f>Return!AA145-'Return Estimasi'!AA145</f>
        <v>3.3715284164924642E-3</v>
      </c>
      <c r="AB145">
        <f>Return!AB145-'Return Estimasi'!AB145</f>
        <v>2.1440730522719092E-2</v>
      </c>
      <c r="AC145">
        <f>Return!AC145-'Return Estimasi'!AC145</f>
        <v>-2.000774100705268E-2</v>
      </c>
      <c r="AD145">
        <f>Return!AD145-'Return Estimasi'!AD145</f>
        <v>-1.0454835701752575E-3</v>
      </c>
      <c r="AE145">
        <f>Return!AE145-'Return Estimasi'!AE145</f>
        <v>-1.458631421507808E-3</v>
      </c>
      <c r="AF145">
        <f>Return!AF145-'Return Estimasi'!AF145</f>
        <v>-17.229037282791772</v>
      </c>
    </row>
    <row r="146" spans="1:32" x14ac:dyDescent="0.3">
      <c r="A146" s="3" t="s">
        <v>86</v>
      </c>
      <c r="B146">
        <f>('Data Saham'!B146-'Data Saham'!B145)/'Data Saham'!B145</f>
        <v>-1.9029271606591644E-3</v>
      </c>
      <c r="C146">
        <f>Return!C146-'Return Estimasi'!C146</f>
        <v>3.2737223380410992E-3</v>
      </c>
      <c r="D146">
        <f>Return!D146-'Return Estimasi'!D146</f>
        <v>-1.339634785664418E-2</v>
      </c>
      <c r="E146">
        <f>Return!E146-'Return Estimasi'!E146</f>
        <v>-7.9944748937339494E-3</v>
      </c>
      <c r="F146">
        <f>Return!F146-'Return Estimasi'!F146</f>
        <v>-6.1729476082722813E-3</v>
      </c>
      <c r="G146">
        <f>Return!G146-'Return Estimasi'!G146</f>
        <v>4.0637022600732375E-2</v>
      </c>
      <c r="H146">
        <f>Return!H146-'Return Estimasi'!H146</f>
        <v>-7.7560717421427837E-3</v>
      </c>
      <c r="I146">
        <f>Return!I146-'Return Estimasi'!I146</f>
        <v>2.627052187199613E-2</v>
      </c>
      <c r="J146">
        <f>Return!J146-'Return Estimasi'!J146</f>
        <v>-2.0670129911544051E-2</v>
      </c>
      <c r="K146">
        <f>Return!K146-'Return Estimasi'!K146</f>
        <v>-1.4192332956706756E-2</v>
      </c>
      <c r="L146">
        <f>Return!L146-'Return Estimasi'!L146</f>
        <v>-1.2277104837934918E-2</v>
      </c>
      <c r="M146">
        <f>Return!M146-'Return Estimasi'!M146</f>
        <v>1.1656448110957602E-2</v>
      </c>
      <c r="N146">
        <f>Return!N146-'Return Estimasi'!N146</f>
        <v>4.8921321635378269E-3</v>
      </c>
      <c r="O146">
        <f>Return!O146-'Return Estimasi'!O146</f>
        <v>-2.5805123081511269E-2</v>
      </c>
      <c r="P146">
        <f>Return!P146-'Return Estimasi'!P146</f>
        <v>3.1331908053660922E-2</v>
      </c>
      <c r="Q146">
        <f>Return!Q146-'Return Estimasi'!Q146</f>
        <v>-2.7541420967353063E-2</v>
      </c>
      <c r="R146">
        <f>Return!R146-'Return Estimasi'!R146</f>
        <v>3.039083355799482E-2</v>
      </c>
      <c r="S146">
        <f>Return!S146-'Return Estimasi'!S146</f>
        <v>-3.1617944720392227E-3</v>
      </c>
      <c r="T146">
        <f>Return!T146-'Return Estimasi'!T146</f>
        <v>6.7234572761783906E-2</v>
      </c>
      <c r="U146">
        <f>Return!U146-'Return Estimasi'!U146</f>
        <v>3.8279364050775859E-2</v>
      </c>
      <c r="V146">
        <f>Return!V146-'Return Estimasi'!V146</f>
        <v>1.8427812937939058E-2</v>
      </c>
      <c r="W146">
        <f>Return!W146-'Return Estimasi'!W146</f>
        <v>-1.1320165407875076E-2</v>
      </c>
      <c r="X146">
        <f>Return!X146-'Return Estimasi'!X146</f>
        <v>-2.7798830404782964E-3</v>
      </c>
      <c r="Y146">
        <f>Return!Y146-'Return Estimasi'!Y146</f>
        <v>4.0496121300638462E-2</v>
      </c>
      <c r="Z146">
        <f>Return!Z146-'Return Estimasi'!Z146</f>
        <v>5.5146053665750983E-2</v>
      </c>
      <c r="AA146">
        <f>Return!AA146-'Return Estimasi'!AA146</f>
        <v>-8.7939726250694274E-3</v>
      </c>
      <c r="AB146">
        <f>Return!AB146-'Return Estimasi'!AB146</f>
        <v>-1.5302462272296433E-2</v>
      </c>
      <c r="AC146">
        <f>Return!AC146-'Return Estimasi'!AC146</f>
        <v>-5.6682403006904046E-3</v>
      </c>
      <c r="AD146">
        <f>Return!AD146-'Return Estimasi'!AD146</f>
        <v>-2.3530938880135896E-2</v>
      </c>
      <c r="AE146">
        <f>Return!AE146-'Return Estimasi'!AE146</f>
        <v>-2.6292074429354387E-2</v>
      </c>
      <c r="AF146">
        <f>Return!AF146-'Return Estimasi'!AF146</f>
        <v>-16.733423461570688</v>
      </c>
    </row>
    <row r="147" spans="1:32" x14ac:dyDescent="0.3">
      <c r="A147" s="4" t="s">
        <v>87</v>
      </c>
      <c r="B147">
        <f>('Data Saham'!B147-'Data Saham'!B146)/'Data Saham'!B146</f>
        <v>9.1402864428400035E-3</v>
      </c>
      <c r="C147">
        <f>Return!C147-'Return Estimasi'!C147</f>
        <v>6.8430442149712556E-4</v>
      </c>
      <c r="D147">
        <f>Return!D147-'Return Estimasi'!D147</f>
        <v>-1.6001263685023193E-3</v>
      </c>
      <c r="E147">
        <f>Return!E147-'Return Estimasi'!E147</f>
        <v>8.5449907994811745E-4</v>
      </c>
      <c r="F147">
        <f>Return!F147-'Return Estimasi'!F147</f>
        <v>1.3588151314946333E-2</v>
      </c>
      <c r="G147">
        <f>Return!G147-'Return Estimasi'!G147</f>
        <v>-5.2059648592084243E-2</v>
      </c>
      <c r="H147">
        <f>Return!H147-'Return Estimasi'!H147</f>
        <v>-1.0931056990540537E-2</v>
      </c>
      <c r="I147">
        <f>Return!I147-'Return Estimasi'!I147</f>
        <v>6.4273822441537731E-2</v>
      </c>
      <c r="J147">
        <f>Return!J147-'Return Estimasi'!J147</f>
        <v>2.2796476720713874E-2</v>
      </c>
      <c r="K147">
        <f>Return!K147-'Return Estimasi'!K147</f>
        <v>-1.2901420594453272E-2</v>
      </c>
      <c r="L147">
        <f>Return!L147-'Return Estimasi'!L147</f>
        <v>1.4209534447994549E-2</v>
      </c>
      <c r="M147">
        <f>Return!M147-'Return Estimasi'!M147</f>
        <v>-5.1601222472397283E-3</v>
      </c>
      <c r="N147">
        <f>Return!N147-'Return Estimasi'!N147</f>
        <v>1.0631374747482792E-2</v>
      </c>
      <c r="O147">
        <f>Return!O147-'Return Estimasi'!O147</f>
        <v>1.8279338632479726E-3</v>
      </c>
      <c r="P147">
        <f>Return!P147-'Return Estimasi'!P147</f>
        <v>-6.1586556257022746E-3</v>
      </c>
      <c r="Q147">
        <f>Return!Q147-'Return Estimasi'!Q147</f>
        <v>4.467950735280158E-3</v>
      </c>
      <c r="R147">
        <f>Return!R147-'Return Estimasi'!R147</f>
        <v>9.2263052188066699E-2</v>
      </c>
      <c r="S147">
        <f>Return!S147-'Return Estimasi'!S147</f>
        <v>4.2536124892572622E-2</v>
      </c>
      <c r="T147">
        <f>Return!T147-'Return Estimasi'!T147</f>
        <v>-1.4744737497762879E-2</v>
      </c>
      <c r="U147">
        <f>Return!U147-'Return Estimasi'!U147</f>
        <v>-6.4945430153998854E-2</v>
      </c>
      <c r="V147">
        <f>Return!V147-'Return Estimasi'!V147</f>
        <v>-7.3961426954408035E-3</v>
      </c>
      <c r="W147">
        <f>Return!W147-'Return Estimasi'!W147</f>
        <v>-9.303665628103289E-3</v>
      </c>
      <c r="X147">
        <f>Return!X147-'Return Estimasi'!X147</f>
        <v>1.3575875390150944E-2</v>
      </c>
      <c r="Y147">
        <f>Return!Y147-'Return Estimasi'!Y147</f>
        <v>-5.6787216288171436E-3</v>
      </c>
      <c r="Z147">
        <f>Return!Z147-'Return Estimasi'!Z147</f>
        <v>-5.1513961427543602E-2</v>
      </c>
      <c r="AA147">
        <f>Return!AA147-'Return Estimasi'!AA147</f>
        <v>7.3944188366048491E-2</v>
      </c>
      <c r="AB147">
        <f>Return!AB147-'Return Estimasi'!AB147</f>
        <v>9.7695518136542842E-3</v>
      </c>
      <c r="AC147">
        <f>Return!AC147-'Return Estimasi'!AC147</f>
        <v>3.4459151279526548E-2</v>
      </c>
      <c r="AD147">
        <f>Return!AD147-'Return Estimasi'!AD147</f>
        <v>1.2809826954780839E-2</v>
      </c>
      <c r="AE147">
        <f>Return!AE147-'Return Estimasi'!AE147</f>
        <v>4.4886830172450468E-3</v>
      </c>
      <c r="AF147">
        <f>Return!AF147-'Return Estimasi'!AF147</f>
        <v>-16.433981234951801</v>
      </c>
    </row>
    <row r="148" spans="1:32" x14ac:dyDescent="0.3">
      <c r="A148" s="3" t="s">
        <v>88</v>
      </c>
      <c r="B148">
        <f>('Data Saham'!B148-'Data Saham'!B147)/'Data Saham'!B147</f>
        <v>-2.5736144821508617E-2</v>
      </c>
      <c r="C148">
        <f>Return!C148-'Return Estimasi'!C148</f>
        <v>5.1143391032959701E-2</v>
      </c>
      <c r="D148">
        <f>Return!D148-'Return Estimasi'!D148</f>
        <v>1.562676879035339E-2</v>
      </c>
      <c r="E148">
        <f>Return!E148-'Return Estimasi'!E148</f>
        <v>1.5330074807160227E-2</v>
      </c>
      <c r="F148">
        <f>Return!F148-'Return Estimasi'!F148</f>
        <v>8.9219327694467949E-3</v>
      </c>
      <c r="G148">
        <f>Return!G148-'Return Estimasi'!G148</f>
        <v>-2.1620490230172366E-3</v>
      </c>
      <c r="H148">
        <f>Return!H148-'Return Estimasi'!H148</f>
        <v>-4.876958743886859E-3</v>
      </c>
      <c r="I148">
        <f>Return!I148-'Return Estimasi'!I148</f>
        <v>2.8988837517032913E-2</v>
      </c>
      <c r="J148">
        <f>Return!J148-'Return Estimasi'!J148</f>
        <v>1.4520008017514189E-2</v>
      </c>
      <c r="K148">
        <f>Return!K148-'Return Estimasi'!K148</f>
        <v>7.9807189348768109E-3</v>
      </c>
      <c r="L148">
        <f>Return!L148-'Return Estimasi'!L148</f>
        <v>3.1299258129864858E-3</v>
      </c>
      <c r="M148">
        <f>Return!M148-'Return Estimasi'!M148</f>
        <v>2.568626316909781E-2</v>
      </c>
      <c r="N148">
        <f>Return!N148-'Return Estimasi'!N148</f>
        <v>1.3424501729944673E-2</v>
      </c>
      <c r="O148">
        <f>Return!O148-'Return Estimasi'!O148</f>
        <v>1.0457487042950096E-2</v>
      </c>
      <c r="P148">
        <f>Return!P148-'Return Estimasi'!P148</f>
        <v>6.498030481774688E-3</v>
      </c>
      <c r="Q148">
        <f>Return!Q148-'Return Estimasi'!Q148</f>
        <v>-1.0493267065140262E-2</v>
      </c>
      <c r="R148">
        <f>Return!R148-'Return Estimasi'!R148</f>
        <v>1.5909496755344942E-2</v>
      </c>
      <c r="S148">
        <f>Return!S148-'Return Estimasi'!S148</f>
        <v>3.6729521729760066E-2</v>
      </c>
      <c r="T148">
        <f>Return!T148-'Return Estimasi'!T148</f>
        <v>1.7828355709608071E-2</v>
      </c>
      <c r="U148">
        <f>Return!U148-'Return Estimasi'!U148</f>
        <v>1.5559475353852794E-2</v>
      </c>
      <c r="V148">
        <f>Return!V148-'Return Estimasi'!V148</f>
        <v>6.1191018742754413E-2</v>
      </c>
      <c r="W148">
        <f>Return!W148-'Return Estimasi'!W148</f>
        <v>-2.4648493165521812E-2</v>
      </c>
      <c r="X148">
        <f>Return!X148-'Return Estimasi'!X148</f>
        <v>1.8004155295632089E-2</v>
      </c>
      <c r="Y148">
        <f>Return!Y148-'Return Estimasi'!Y148</f>
        <v>-1.8453620426469353E-2</v>
      </c>
      <c r="Z148">
        <f>Return!Z148-'Return Estimasi'!Z148</f>
        <v>1.1494645139619016E-2</v>
      </c>
      <c r="AA148">
        <f>Return!AA148-'Return Estimasi'!AA148</f>
        <v>3.9535669677796509E-2</v>
      </c>
      <c r="AB148">
        <f>Return!AB148-'Return Estimasi'!AB148</f>
        <v>2.7975342806979202E-2</v>
      </c>
      <c r="AC148">
        <f>Return!AC148-'Return Estimasi'!AC148</f>
        <v>2.1058455429931407E-2</v>
      </c>
      <c r="AD148">
        <f>Return!AD148-'Return Estimasi'!AD148</f>
        <v>9.5672405482679669E-3</v>
      </c>
      <c r="AE148">
        <f>Return!AE148-'Return Estimasi'!AE148</f>
        <v>8.3701928136707265E-3</v>
      </c>
      <c r="AF148">
        <f>Return!AF148-'Return Estimasi'!AF148</f>
        <v>-17.414693458408898</v>
      </c>
    </row>
    <row r="149" spans="1:32" x14ac:dyDescent="0.3">
      <c r="A149" s="4" t="s">
        <v>89</v>
      </c>
      <c r="B149">
        <f>('Data Saham'!B149-'Data Saham'!B148)/'Data Saham'!B148</f>
        <v>2.1895836860097544E-2</v>
      </c>
      <c r="C149">
        <f>Return!C149-'Return Estimasi'!C149</f>
        <v>3.2830909123315447E-2</v>
      </c>
      <c r="D149">
        <f>Return!D149-'Return Estimasi'!D149</f>
        <v>2.8713418581466109E-2</v>
      </c>
      <c r="E149">
        <f>Return!E149-'Return Estimasi'!E149</f>
        <v>4.0223039869764332E-2</v>
      </c>
      <c r="F149">
        <f>Return!F149-'Return Estimasi'!F149</f>
        <v>4.4721710290047373E-2</v>
      </c>
      <c r="G149">
        <f>Return!G149-'Return Estimasi'!G149</f>
        <v>-5.0942933537095544E-4</v>
      </c>
      <c r="H149">
        <f>Return!H149-'Return Estimasi'!H149</f>
        <v>3.814957991059461E-2</v>
      </c>
      <c r="I149">
        <f>Return!I149-'Return Estimasi'!I149</f>
        <v>-1.0074190109322138E-2</v>
      </c>
      <c r="J149">
        <f>Return!J149-'Return Estimasi'!J149</f>
        <v>1.1313818367088214E-2</v>
      </c>
      <c r="K149">
        <f>Return!K149-'Return Estimasi'!K149</f>
        <v>5.3399158095359701E-3</v>
      </c>
      <c r="L149">
        <f>Return!L149-'Return Estimasi'!L149</f>
        <v>2.6540341930224977E-3</v>
      </c>
      <c r="M149">
        <f>Return!M149-'Return Estimasi'!M149</f>
        <v>-7.8533693673188423E-2</v>
      </c>
      <c r="N149">
        <f>Return!N149-'Return Estimasi'!N149</f>
        <v>-5.4232788171179686E-2</v>
      </c>
      <c r="O149">
        <f>Return!O149-'Return Estimasi'!O149</f>
        <v>3.5386188935484841E-2</v>
      </c>
      <c r="P149">
        <f>Return!P149-'Return Estimasi'!P149</f>
        <v>-1.737748509943848E-2</v>
      </c>
      <c r="Q149">
        <f>Return!Q149-'Return Estimasi'!Q149</f>
        <v>-2.529139827211481E-2</v>
      </c>
      <c r="R149">
        <f>Return!R149-'Return Estimasi'!R149</f>
        <v>-3.5763331215358154E-3</v>
      </c>
      <c r="S149">
        <f>Return!S149-'Return Estimasi'!S149</f>
        <v>-1.7853148695961985E-2</v>
      </c>
      <c r="T149">
        <f>Return!T149-'Return Estimasi'!T149</f>
        <v>3.2462579100363907E-3</v>
      </c>
      <c r="U149">
        <f>Return!U149-'Return Estimasi'!U149</f>
        <v>2.5975020474126791E-2</v>
      </c>
      <c r="V149">
        <f>Return!V149-'Return Estimasi'!V149</f>
        <v>-3.3055372696319391E-2</v>
      </c>
      <c r="W149">
        <f>Return!W149-'Return Estimasi'!W149</f>
        <v>-1.0915851559786492E-2</v>
      </c>
      <c r="X149">
        <f>Return!X149-'Return Estimasi'!X149</f>
        <v>-5.5982642262680099E-5</v>
      </c>
      <c r="Y149">
        <f>Return!Y149-'Return Estimasi'!Y149</f>
        <v>4.0504424567483238E-2</v>
      </c>
      <c r="Z149">
        <f>Return!Z149-'Return Estimasi'!Z149</f>
        <v>3.268013621987139E-3</v>
      </c>
      <c r="AA149">
        <f>Return!AA149-'Return Estimasi'!AA149</f>
        <v>-2.388960998964542E-2</v>
      </c>
      <c r="AB149">
        <f>Return!AB149-'Return Estimasi'!AB149</f>
        <v>-2.2180351870586076E-2</v>
      </c>
      <c r="AC149">
        <f>Return!AC149-'Return Estimasi'!AC149</f>
        <v>-2.0019544070637343E-2</v>
      </c>
      <c r="AD149">
        <f>Return!AD149-'Return Estimasi'!AD149</f>
        <v>4.5892336161316646E-4</v>
      </c>
      <c r="AE149">
        <f>Return!AE149-'Return Estimasi'!AE149</f>
        <v>2.3328065796073553E-2</v>
      </c>
      <c r="AF149">
        <f>Return!AF149-'Return Estimasi'!AF149</f>
        <v>-16.041696480563171</v>
      </c>
    </row>
    <row r="150" spans="1:32" x14ac:dyDescent="0.3">
      <c r="A150" s="3" t="s">
        <v>90</v>
      </c>
      <c r="B150">
        <f>('Data Saham'!B150-'Data Saham'!B149)/'Data Saham'!B149</f>
        <v>1.8432484689046132E-2</v>
      </c>
      <c r="C150">
        <f>Return!C150-'Return Estimasi'!C150</f>
        <v>6.1996357521082235E-2</v>
      </c>
      <c r="D150">
        <f>Return!D150-'Return Estimasi'!D150</f>
        <v>2.4297809927449968E-3</v>
      </c>
      <c r="E150">
        <f>Return!E150-'Return Estimasi'!E150</f>
        <v>-6.4880137294984278E-3</v>
      </c>
      <c r="F150">
        <f>Return!F150-'Return Estimasi'!F150</f>
        <v>-1.3027416431234035E-2</v>
      </c>
      <c r="G150">
        <f>Return!G150-'Return Estimasi'!G150</f>
        <v>9.7423475288788239E-2</v>
      </c>
      <c r="H150">
        <f>Return!H150-'Return Estimasi'!H150</f>
        <v>-1.9544564939857553E-4</v>
      </c>
      <c r="I150">
        <f>Return!I150-'Return Estimasi'!I150</f>
        <v>-1.6613455263500252E-2</v>
      </c>
      <c r="J150">
        <f>Return!J150-'Return Estimasi'!J150</f>
        <v>-1.786872082686154E-3</v>
      </c>
      <c r="K150">
        <f>Return!K150-'Return Estimasi'!K150</f>
        <v>4.6224209352798501E-2</v>
      </c>
      <c r="L150">
        <f>Return!L150-'Return Estimasi'!L150</f>
        <v>-1.7572060146673679E-3</v>
      </c>
      <c r="M150">
        <f>Return!M150-'Return Estimasi'!M150</f>
        <v>-1.6883239981282064E-2</v>
      </c>
      <c r="N150">
        <f>Return!N150-'Return Estimasi'!N150</f>
        <v>1.5754717565129618E-2</v>
      </c>
      <c r="O150">
        <f>Return!O150-'Return Estimasi'!O150</f>
        <v>-2.8317317497998651E-4</v>
      </c>
      <c r="P150">
        <f>Return!P150-'Return Estimasi'!P150</f>
        <v>-1.4331379197026648E-2</v>
      </c>
      <c r="Q150">
        <f>Return!Q150-'Return Estimasi'!Q150</f>
        <v>1.1449589298185667E-2</v>
      </c>
      <c r="R150">
        <f>Return!R150-'Return Estimasi'!R150</f>
        <v>6.71481331816862E-3</v>
      </c>
      <c r="S150">
        <f>Return!S150-'Return Estimasi'!S150</f>
        <v>-2.0054259117471305E-2</v>
      </c>
      <c r="T150">
        <f>Return!T150-'Return Estimasi'!T150</f>
        <v>-1.9950772708067558E-2</v>
      </c>
      <c r="U150">
        <f>Return!U150-'Return Estimasi'!U150</f>
        <v>3.4649922999733379E-3</v>
      </c>
      <c r="V150">
        <f>Return!V150-'Return Estimasi'!V150</f>
        <v>-3.7313165864465148E-3</v>
      </c>
      <c r="W150">
        <f>Return!W150-'Return Estimasi'!W150</f>
        <v>-3.1915144067730078E-2</v>
      </c>
      <c r="X150">
        <f>Return!X150-'Return Estimasi'!X150</f>
        <v>2.1627134388408738E-2</v>
      </c>
      <c r="Y150">
        <f>Return!Y150-'Return Estimasi'!Y150</f>
        <v>-3.0854155593160983E-2</v>
      </c>
      <c r="Z150">
        <f>Return!Z150-'Return Estimasi'!Z150</f>
        <v>-3.8398656459998487E-3</v>
      </c>
      <c r="AA150">
        <f>Return!AA150-'Return Estimasi'!AA150</f>
        <v>-4.7437667225852062E-2</v>
      </c>
      <c r="AB150">
        <f>Return!AB150-'Return Estimasi'!AB150</f>
        <v>-3.5168071478766313E-4</v>
      </c>
      <c r="AC150">
        <f>Return!AC150-'Return Estimasi'!AC150</f>
        <v>-2.8937498084354009E-2</v>
      </c>
      <c r="AD150">
        <f>Return!AD150-'Return Estimasi'!AD150</f>
        <v>8.5027270352180766E-3</v>
      </c>
      <c r="AE150">
        <f>Return!AE150-'Return Estimasi'!AE150</f>
        <v>2.4540007422987533E-3</v>
      </c>
      <c r="AF150">
        <f>Return!AF150-'Return Estimasi'!AF150</f>
        <v>-16.150621536542467</v>
      </c>
    </row>
    <row r="151" spans="1:32" x14ac:dyDescent="0.3">
      <c r="A151" s="4" t="s">
        <v>91</v>
      </c>
      <c r="B151">
        <f>('Data Saham'!B151-'Data Saham'!B150)/'Data Saham'!B150</f>
        <v>-1.0382273539465475E-2</v>
      </c>
      <c r="C151">
        <f>Return!C151-'Return Estimasi'!C151</f>
        <v>-2.1891012527276897E-2</v>
      </c>
      <c r="D151">
        <f>Return!D151-'Return Estimasi'!D151</f>
        <v>-6.9308382410932998E-3</v>
      </c>
      <c r="E151">
        <f>Return!E151-'Return Estimasi'!E151</f>
        <v>5.4861483131836489E-3</v>
      </c>
      <c r="F151">
        <f>Return!F151-'Return Estimasi'!F151</f>
        <v>3.9656738527988422E-3</v>
      </c>
      <c r="G151">
        <f>Return!G151-'Return Estimasi'!G151</f>
        <v>-3.1898999433057025E-2</v>
      </c>
      <c r="H151">
        <f>Return!H151-'Return Estimasi'!H151</f>
        <v>3.5699034894887204E-2</v>
      </c>
      <c r="I151">
        <f>Return!I151-'Return Estimasi'!I151</f>
        <v>-3.4165875070871835E-2</v>
      </c>
      <c r="J151">
        <f>Return!J151-'Return Estimasi'!J151</f>
        <v>-1.0703435169795519E-2</v>
      </c>
      <c r="K151">
        <f>Return!K151-'Return Estimasi'!K151</f>
        <v>-8.1679465614990683E-3</v>
      </c>
      <c r="L151">
        <f>Return!L151-'Return Estimasi'!L151</f>
        <v>4.2561496113122654E-3</v>
      </c>
      <c r="M151">
        <f>Return!M151-'Return Estimasi'!M151</f>
        <v>-3.1515965988091608E-2</v>
      </c>
      <c r="N151">
        <f>Return!N151-'Return Estimasi'!N151</f>
        <v>-2.5371864589079564E-2</v>
      </c>
      <c r="O151">
        <f>Return!O151-'Return Estimasi'!O151</f>
        <v>-1.4812963408400662E-2</v>
      </c>
      <c r="P151">
        <f>Return!P151-'Return Estimasi'!P151</f>
        <v>1.8376181274720252E-3</v>
      </c>
      <c r="Q151">
        <f>Return!Q151-'Return Estimasi'!Q151</f>
        <v>-2.2964920563479308E-2</v>
      </c>
      <c r="R151">
        <f>Return!R151-'Return Estimasi'!R151</f>
        <v>-2.5867294789989694E-2</v>
      </c>
      <c r="S151">
        <f>Return!S151-'Return Estimasi'!S151</f>
        <v>6.4025186078006072E-2</v>
      </c>
      <c r="T151">
        <f>Return!T151-'Return Estimasi'!T151</f>
        <v>6.7577588445123474E-2</v>
      </c>
      <c r="U151">
        <f>Return!U151-'Return Estimasi'!U151</f>
        <v>1.113293545240762E-2</v>
      </c>
      <c r="V151">
        <f>Return!V151-'Return Estimasi'!V151</f>
        <v>6.7780672898394602E-3</v>
      </c>
      <c r="W151">
        <f>Return!W151-'Return Estimasi'!W151</f>
        <v>6.9072985891293175E-3</v>
      </c>
      <c r="X151">
        <f>Return!X151-'Return Estimasi'!X151</f>
        <v>-1.5447465524900887E-2</v>
      </c>
      <c r="Y151">
        <f>Return!Y151-'Return Estimasi'!Y151</f>
        <v>8.1370279125704548E-4</v>
      </c>
      <c r="Z151">
        <f>Return!Z151-'Return Estimasi'!Z151</f>
        <v>4.6480970477957032E-2</v>
      </c>
      <c r="AA151">
        <f>Return!AA151-'Return Estimasi'!AA151</f>
        <v>-1.0476323741906421E-2</v>
      </c>
      <c r="AB151">
        <f>Return!AB151-'Return Estimasi'!AB151</f>
        <v>-2.3906317283799723E-2</v>
      </c>
      <c r="AC151">
        <f>Return!AC151-'Return Estimasi'!AC151</f>
        <v>-1.6279166243698125E-2</v>
      </c>
      <c r="AD151">
        <f>Return!AD151-'Return Estimasi'!AD151</f>
        <v>3.2831310317159475E-4</v>
      </c>
      <c r="AE151">
        <f>Return!AE151-'Return Estimasi'!AE151</f>
        <v>1.3360558095521946E-2</v>
      </c>
      <c r="AF151">
        <f>Return!AF151-'Return Estimasi'!AF151</f>
        <v>-16.982758460691745</v>
      </c>
    </row>
    <row r="152" spans="1:32" x14ac:dyDescent="0.3">
      <c r="A152" s="3" t="s">
        <v>92</v>
      </c>
      <c r="B152">
        <f>('Data Saham'!B152-'Data Saham'!B151)/'Data Saham'!B151</f>
        <v>1.494011076289016E-2</v>
      </c>
      <c r="C152">
        <f>Return!C152-'Return Estimasi'!C152</f>
        <v>4.0496852681333115E-3</v>
      </c>
      <c r="D152">
        <f>Return!D152-'Return Estimasi'!D152</f>
        <v>1.6557425910785954E-2</v>
      </c>
      <c r="E152">
        <f>Return!E152-'Return Estimasi'!E152</f>
        <v>8.3966043503366609E-3</v>
      </c>
      <c r="F152">
        <f>Return!F152-'Return Estimasi'!F152</f>
        <v>3.9564619615686553E-2</v>
      </c>
      <c r="G152">
        <f>Return!G152-'Return Estimasi'!G152</f>
        <v>5.1590007310518229E-2</v>
      </c>
      <c r="H152">
        <f>Return!H152-'Return Estimasi'!H152</f>
        <v>1.3787429708881273E-2</v>
      </c>
      <c r="I152">
        <f>Return!I152-'Return Estimasi'!I152</f>
        <v>-1.2893627935426481E-2</v>
      </c>
      <c r="J152">
        <f>Return!J152-'Return Estimasi'!J152</f>
        <v>2.3642646732264645E-2</v>
      </c>
      <c r="K152">
        <f>Return!K152-'Return Estimasi'!K152</f>
        <v>-6.9342559736350253E-3</v>
      </c>
      <c r="L152">
        <f>Return!L152-'Return Estimasi'!L152</f>
        <v>6.0038248808576538E-4</v>
      </c>
      <c r="M152">
        <f>Return!M152-'Return Estimasi'!M152</f>
        <v>-1.3301808484301764E-2</v>
      </c>
      <c r="N152">
        <f>Return!N152-'Return Estimasi'!N152</f>
        <v>-3.6426483704005308E-2</v>
      </c>
      <c r="O152">
        <f>Return!O152-'Return Estimasi'!O152</f>
        <v>4.9375957710457663E-2</v>
      </c>
      <c r="P152">
        <f>Return!P152-'Return Estimasi'!P152</f>
        <v>-2.0004886671122525E-3</v>
      </c>
      <c r="Q152">
        <f>Return!Q152-'Return Estimasi'!Q152</f>
        <v>6.0618134557627872E-2</v>
      </c>
      <c r="R152">
        <f>Return!R152-'Return Estimasi'!R152</f>
        <v>-3.6697314519598635E-3</v>
      </c>
      <c r="S152">
        <f>Return!S152-'Return Estimasi'!S152</f>
        <v>1.6289522751186444E-3</v>
      </c>
      <c r="T152">
        <f>Return!T152-'Return Estimasi'!T152</f>
        <v>2.9714009319979653E-2</v>
      </c>
      <c r="U152">
        <f>Return!U152-'Return Estimasi'!U152</f>
        <v>1.8406658591483577E-2</v>
      </c>
      <c r="V152">
        <f>Return!V152-'Return Estimasi'!V152</f>
        <v>2.1305307717150446E-3</v>
      </c>
      <c r="W152">
        <f>Return!W152-'Return Estimasi'!W152</f>
        <v>-3.3259396100441423E-2</v>
      </c>
      <c r="X152">
        <f>Return!X152-'Return Estimasi'!X152</f>
        <v>6.9030008665647846E-3</v>
      </c>
      <c r="Y152">
        <f>Return!Y152-'Return Estimasi'!Y152</f>
        <v>-1.1636272902805448E-3</v>
      </c>
      <c r="Z152">
        <f>Return!Z152-'Return Estimasi'!Z152</f>
        <v>1.1960154643064384E-2</v>
      </c>
      <c r="AA152">
        <f>Return!AA152-'Return Estimasi'!AA152</f>
        <v>8.2081212840538764E-4</v>
      </c>
      <c r="AB152">
        <f>Return!AB152-'Return Estimasi'!AB152</f>
        <v>2.218095054605047E-2</v>
      </c>
      <c r="AC152">
        <f>Return!AC152-'Return Estimasi'!AC152</f>
        <v>2.9188976725022686E-2</v>
      </c>
      <c r="AD152">
        <f>Return!AD152-'Return Estimasi'!AD152</f>
        <v>-1.8995523940940999E-2</v>
      </c>
      <c r="AE152">
        <f>Return!AE152-'Return Estimasi'!AE152</f>
        <v>-1.1364954678588193E-2</v>
      </c>
      <c r="AF152">
        <f>Return!AF152-'Return Estimasi'!AF152</f>
        <v>-16.259863148159816</v>
      </c>
    </row>
    <row r="153" spans="1:32" x14ac:dyDescent="0.3">
      <c r="A153" s="4" t="s">
        <v>93</v>
      </c>
      <c r="B153">
        <f>('Data Saham'!B153-'Data Saham'!B152)/'Data Saham'!B152</f>
        <v>-3.1784974046312017E-4</v>
      </c>
      <c r="C153">
        <f>Return!C153-'Return Estimasi'!C153</f>
        <v>-4.0938435205557996E-3</v>
      </c>
      <c r="D153">
        <f>Return!D153-'Return Estimasi'!D153</f>
        <v>6.9828233341176866E-3</v>
      </c>
      <c r="E153">
        <f>Return!E153-'Return Estimasi'!E153</f>
        <v>2.7322264918139522E-2</v>
      </c>
      <c r="F153">
        <f>Return!F153-'Return Estimasi'!F153</f>
        <v>3.1039578007042337E-2</v>
      </c>
      <c r="G153">
        <f>Return!G153-'Return Estimasi'!G153</f>
        <v>-2.2164776803063613E-2</v>
      </c>
      <c r="H153">
        <f>Return!H153-'Return Estimasi'!H153</f>
        <v>3.9286899879717146E-2</v>
      </c>
      <c r="I153">
        <f>Return!I153-'Return Estimasi'!I153</f>
        <v>-8.3294191289125588E-4</v>
      </c>
      <c r="J153">
        <f>Return!J153-'Return Estimasi'!J153</f>
        <v>-1.0018359971488006E-2</v>
      </c>
      <c r="K153">
        <f>Return!K153-'Return Estimasi'!K153</f>
        <v>-1.7781483413526717E-2</v>
      </c>
      <c r="L153">
        <f>Return!L153-'Return Estimasi'!L153</f>
        <v>1.7025258403835467E-3</v>
      </c>
      <c r="M153">
        <f>Return!M153-'Return Estimasi'!M153</f>
        <v>-2.3615630800826563E-2</v>
      </c>
      <c r="N153">
        <f>Return!N153-'Return Estimasi'!N153</f>
        <v>-1.8223123416940016E-3</v>
      </c>
      <c r="O153">
        <f>Return!O153-'Return Estimasi'!O153</f>
        <v>-2.4933872720245918E-2</v>
      </c>
      <c r="P153">
        <f>Return!P153-'Return Estimasi'!P153</f>
        <v>-1.6188609291518458E-2</v>
      </c>
      <c r="Q153">
        <f>Return!Q153-'Return Estimasi'!Q153</f>
        <v>-9.330867454130809E-3</v>
      </c>
      <c r="R153">
        <f>Return!R153-'Return Estimasi'!R153</f>
        <v>3.4782003871623515E-2</v>
      </c>
      <c r="S153">
        <f>Return!S153-'Return Estimasi'!S153</f>
        <v>-1.4086328371005577E-2</v>
      </c>
      <c r="T153">
        <f>Return!T153-'Return Estimasi'!T153</f>
        <v>-1.2299534937767092E-2</v>
      </c>
      <c r="U153">
        <f>Return!U153-'Return Estimasi'!U153</f>
        <v>1.0534803121356923E-4</v>
      </c>
      <c r="V153">
        <f>Return!V153-'Return Estimasi'!V153</f>
        <v>-6.0877917344590261E-3</v>
      </c>
      <c r="W153">
        <f>Return!W153-'Return Estimasi'!W153</f>
        <v>-2.8375768711406006E-2</v>
      </c>
      <c r="X153">
        <f>Return!X153-'Return Estimasi'!X153</f>
        <v>9.0041168666852828E-2</v>
      </c>
      <c r="Y153">
        <f>Return!Y153-'Return Estimasi'!Y153</f>
        <v>-1.172362043459131E-2</v>
      </c>
      <c r="Z153">
        <f>Return!Z153-'Return Estimasi'!Z153</f>
        <v>-2.0742602446384078E-2</v>
      </c>
      <c r="AA153">
        <f>Return!AA153-'Return Estimasi'!AA153</f>
        <v>-4.2338704804365634E-2</v>
      </c>
      <c r="AB153">
        <f>Return!AB153-'Return Estimasi'!AB153</f>
        <v>-1.664684744691073E-2</v>
      </c>
      <c r="AC153">
        <f>Return!AC153-'Return Estimasi'!AC153</f>
        <v>-2.4531016554943517E-2</v>
      </c>
      <c r="AD153">
        <f>Return!AD153-'Return Estimasi'!AD153</f>
        <v>7.2130520232386664E-4</v>
      </c>
      <c r="AE153">
        <f>Return!AE153-'Return Estimasi'!AE153</f>
        <v>-1.0476344320744395E-2</v>
      </c>
      <c r="AF153">
        <f>Return!AF153-'Return Estimasi'!AF153</f>
        <v>-16.705431873140796</v>
      </c>
    </row>
    <row r="154" spans="1:32" x14ac:dyDescent="0.3">
      <c r="A154" s="3" t="s">
        <v>94</v>
      </c>
      <c r="B154">
        <f>('Data Saham'!B154-'Data Saham'!B153)/'Data Saham'!B153</f>
        <v>-1.8686560957092323E-2</v>
      </c>
      <c r="C154">
        <f>Return!C154-'Return Estimasi'!C154</f>
        <v>2.6754078621972214E-2</v>
      </c>
      <c r="D154">
        <f>Return!D154-'Return Estimasi'!D154</f>
        <v>1.9790310451394726E-2</v>
      </c>
      <c r="E154">
        <f>Return!E154-'Return Estimasi'!E154</f>
        <v>6.2848242616635186E-4</v>
      </c>
      <c r="F154">
        <f>Return!F154-'Return Estimasi'!F154</f>
        <v>1.59378236480032E-2</v>
      </c>
      <c r="G154">
        <f>Return!G154-'Return Estimasi'!G154</f>
        <v>2.7374163659963362E-2</v>
      </c>
      <c r="H154">
        <f>Return!H154-'Return Estimasi'!H154</f>
        <v>1.5921622116602842E-2</v>
      </c>
      <c r="I154">
        <f>Return!I154-'Return Estimasi'!I154</f>
        <v>1.5466706980444941E-2</v>
      </c>
      <c r="J154">
        <f>Return!J154-'Return Estimasi'!J154</f>
        <v>2.5975729984746041E-2</v>
      </c>
      <c r="K154">
        <f>Return!K154-'Return Estimasi'!K154</f>
        <v>3.0474432191101901E-2</v>
      </c>
      <c r="L154">
        <f>Return!L154-'Return Estimasi'!L154</f>
        <v>8.3742161989400141E-3</v>
      </c>
      <c r="M154">
        <f>Return!M154-'Return Estimasi'!M154</f>
        <v>1.9405245944408133E-2</v>
      </c>
      <c r="N154">
        <f>Return!N154-'Return Estimasi'!N154</f>
        <v>4.2019536975234272E-2</v>
      </c>
      <c r="O154">
        <f>Return!O154-'Return Estimasi'!O154</f>
        <v>-4.5761580455941208E-3</v>
      </c>
      <c r="P154">
        <f>Return!P154-'Return Estimasi'!P154</f>
        <v>-3.7582774040664096E-4</v>
      </c>
      <c r="Q154">
        <f>Return!Q154-'Return Estimasi'!Q154</f>
        <v>-3.6187697526073592E-2</v>
      </c>
      <c r="R154">
        <f>Return!R154-'Return Estimasi'!R154</f>
        <v>5.2598193372502294E-2</v>
      </c>
      <c r="S154">
        <f>Return!S154-'Return Estimasi'!S154</f>
        <v>5.4062996043367402E-3</v>
      </c>
      <c r="T154">
        <f>Return!T154-'Return Estimasi'!T154</f>
        <v>2.4887787041734576E-2</v>
      </c>
      <c r="U154">
        <f>Return!U154-'Return Estimasi'!U154</f>
        <v>5.03071297139474E-2</v>
      </c>
      <c r="V154">
        <f>Return!V154-'Return Estimasi'!V154</f>
        <v>4.5755262156136317E-2</v>
      </c>
      <c r="W154">
        <f>Return!W154-'Return Estimasi'!W154</f>
        <v>-6.0186214939646168E-2</v>
      </c>
      <c r="X154">
        <f>Return!X154-'Return Estimasi'!X154</f>
        <v>2.8475879286773014E-2</v>
      </c>
      <c r="Y154">
        <f>Return!Y154-'Return Estimasi'!Y154</f>
        <v>-6.4611374762844932E-3</v>
      </c>
      <c r="Z154">
        <f>Return!Z154-'Return Estimasi'!Z154</f>
        <v>2.9058709790083119E-2</v>
      </c>
      <c r="AA154">
        <f>Return!AA154-'Return Estimasi'!AA154</f>
        <v>1.5138008577507911E-2</v>
      </c>
      <c r="AB154">
        <f>Return!AB154-'Return Estimasi'!AB154</f>
        <v>2.0552246739487776E-2</v>
      </c>
      <c r="AC154">
        <f>Return!AC154-'Return Estimasi'!AC154</f>
        <v>3.3160686069131411E-2</v>
      </c>
      <c r="AD154">
        <f>Return!AD154-'Return Estimasi'!AD154</f>
        <v>2.8550976550211014E-2</v>
      </c>
      <c r="AE154">
        <f>Return!AE154-'Return Estimasi'!AE154</f>
        <v>1.4291038071739526E-2</v>
      </c>
      <c r="AF154">
        <f>Return!AF154-'Return Estimasi'!AF154</f>
        <v>-17.194077608341065</v>
      </c>
    </row>
    <row r="155" spans="1:32" x14ac:dyDescent="0.3">
      <c r="A155" s="4" t="s">
        <v>95</v>
      </c>
      <c r="B155">
        <f>('Data Saham'!B155-'Data Saham'!B154)/'Data Saham'!B154</f>
        <v>-3.0207646772573535E-3</v>
      </c>
      <c r="C155">
        <f>Return!C155-'Return Estimasi'!C155</f>
        <v>-4.7481064324410294E-3</v>
      </c>
      <c r="D155">
        <f>Return!D155-'Return Estimasi'!D155</f>
        <v>-8.03251411829201E-4</v>
      </c>
      <c r="E155">
        <f>Return!E155-'Return Estimasi'!E155</f>
        <v>1.182800178487535E-2</v>
      </c>
      <c r="F155">
        <f>Return!F155-'Return Estimasi'!F155</f>
        <v>2.6686173640313193E-3</v>
      </c>
      <c r="G155">
        <f>Return!G155-'Return Estimasi'!G155</f>
        <v>2.2124513027804528E-2</v>
      </c>
      <c r="H155">
        <f>Return!H155-'Return Estimasi'!H155</f>
        <v>-4.0086986808595904E-2</v>
      </c>
      <c r="I155">
        <f>Return!I155-'Return Estimasi'!I155</f>
        <v>-5.3291160712042977E-3</v>
      </c>
      <c r="J155">
        <f>Return!J155-'Return Estimasi'!J155</f>
        <v>7.6389887175736309E-3</v>
      </c>
      <c r="K155">
        <f>Return!K155-'Return Estimasi'!K155</f>
        <v>1.5227126037415468E-3</v>
      </c>
      <c r="L155">
        <f>Return!L155-'Return Estimasi'!L155</f>
        <v>4.8822230888308105E-3</v>
      </c>
      <c r="M155">
        <f>Return!M155-'Return Estimasi'!M155</f>
        <v>-1.805735412269513E-2</v>
      </c>
      <c r="N155">
        <f>Return!N155-'Return Estimasi'!N155</f>
        <v>-2.9090671392889261E-2</v>
      </c>
      <c r="O155">
        <f>Return!O155-'Return Estimasi'!O155</f>
        <v>4.8181562797050669E-3</v>
      </c>
      <c r="P155">
        <f>Return!P155-'Return Estimasi'!P155</f>
        <v>4.5372966675970468E-3</v>
      </c>
      <c r="Q155">
        <f>Return!Q155-'Return Estimasi'!Q155</f>
        <v>-6.9568557245735275E-3</v>
      </c>
      <c r="R155">
        <f>Return!R155-'Return Estimasi'!R155</f>
        <v>4.5746578997160468E-2</v>
      </c>
      <c r="S155">
        <f>Return!S155-'Return Estimasi'!S155</f>
        <v>-8.0179215689244777E-3</v>
      </c>
      <c r="T155">
        <f>Return!T155-'Return Estimasi'!T155</f>
        <v>1.1929615681715267E-2</v>
      </c>
      <c r="U155">
        <f>Return!U155-'Return Estimasi'!U155</f>
        <v>-7.8819736480840591E-3</v>
      </c>
      <c r="V155">
        <f>Return!V155-'Return Estimasi'!V155</f>
        <v>-7.0530532745576944E-3</v>
      </c>
      <c r="W155">
        <f>Return!W155-'Return Estimasi'!W155</f>
        <v>3.9855138994151017E-2</v>
      </c>
      <c r="X155">
        <f>Return!X155-'Return Estimasi'!X155</f>
        <v>3.5941589217544836E-3</v>
      </c>
      <c r="Y155">
        <f>Return!Y155-'Return Estimasi'!Y155</f>
        <v>-1.9471307725772512E-2</v>
      </c>
      <c r="Z155">
        <f>Return!Z155-'Return Estimasi'!Z155</f>
        <v>3.3823576573669646E-3</v>
      </c>
      <c r="AA155">
        <f>Return!AA155-'Return Estimasi'!AA155</f>
        <v>7.7075703299637019E-2</v>
      </c>
      <c r="AB155">
        <f>Return!AB155-'Return Estimasi'!AB155</f>
        <v>4.0564204615783197E-3</v>
      </c>
      <c r="AC155">
        <f>Return!AC155-'Return Estimasi'!AC155</f>
        <v>7.4210074212150944E-3</v>
      </c>
      <c r="AD155">
        <f>Return!AD155-'Return Estimasi'!AD155</f>
        <v>-1.7356335849158509E-3</v>
      </c>
      <c r="AE155">
        <f>Return!AE155-'Return Estimasi'!AE155</f>
        <v>7.7733574949478959E-3</v>
      </c>
      <c r="AF155">
        <f>Return!AF155-'Return Estimasi'!AF155</f>
        <v>-16.770408233583836</v>
      </c>
    </row>
    <row r="156" spans="1:32" x14ac:dyDescent="0.3">
      <c r="A156" s="3" t="s">
        <v>96</v>
      </c>
      <c r="B156">
        <f>('Data Saham'!B156-'Data Saham'!B155)/'Data Saham'!B155</f>
        <v>9.0934591103263279E-3</v>
      </c>
      <c r="C156">
        <f>Return!C156-'Return Estimasi'!C156</f>
        <v>3.3102901207649804E-2</v>
      </c>
      <c r="D156">
        <f>Return!D156-'Return Estimasi'!D156</f>
        <v>2.6410467616543726E-4</v>
      </c>
      <c r="E156">
        <f>Return!E156-'Return Estimasi'!E156</f>
        <v>2.2065912378585711E-2</v>
      </c>
      <c r="F156">
        <f>Return!F156-'Return Estimasi'!F156</f>
        <v>8.4259623780471287E-3</v>
      </c>
      <c r="G156">
        <f>Return!G156-'Return Estimasi'!G156</f>
        <v>-4.2162612906093737E-2</v>
      </c>
      <c r="H156">
        <f>Return!H156-'Return Estimasi'!H156</f>
        <v>1.7144866930113554E-2</v>
      </c>
      <c r="I156">
        <f>Return!I156-'Return Estimasi'!I156</f>
        <v>-1.0535760641692558E-2</v>
      </c>
      <c r="J156">
        <f>Return!J156-'Return Estimasi'!J156</f>
        <v>-1.2552390354402934E-2</v>
      </c>
      <c r="K156">
        <f>Return!K156-'Return Estimasi'!K156</f>
        <v>7.4152464765072229E-2</v>
      </c>
      <c r="L156">
        <f>Return!L156-'Return Estimasi'!L156</f>
        <v>4.8565297263889074E-3</v>
      </c>
      <c r="M156">
        <f>Return!M156-'Return Estimasi'!M156</f>
        <v>1.8319847282734274E-2</v>
      </c>
      <c r="N156">
        <f>Return!N156-'Return Estimasi'!N156</f>
        <v>0.12306121615374505</v>
      </c>
      <c r="O156">
        <f>Return!O156-'Return Estimasi'!O156</f>
        <v>1.0322771572260621E-2</v>
      </c>
      <c r="P156">
        <f>Return!P156-'Return Estimasi'!P156</f>
        <v>3.4063397223951701E-3</v>
      </c>
      <c r="Q156">
        <f>Return!Q156-'Return Estimasi'!Q156</f>
        <v>3.7706133793604539E-2</v>
      </c>
      <c r="R156">
        <f>Return!R156-'Return Estimasi'!R156</f>
        <v>-8.2431217986772675E-3</v>
      </c>
      <c r="S156">
        <f>Return!S156-'Return Estimasi'!S156</f>
        <v>-9.7783016215178854E-3</v>
      </c>
      <c r="T156">
        <f>Return!T156-'Return Estimasi'!T156</f>
        <v>4.8794162743213054E-3</v>
      </c>
      <c r="U156">
        <f>Return!U156-'Return Estimasi'!U156</f>
        <v>-1.0206621453837888E-2</v>
      </c>
      <c r="V156">
        <f>Return!V156-'Return Estimasi'!V156</f>
        <v>-8.3165491655870991E-3</v>
      </c>
      <c r="W156">
        <f>Return!W156-'Return Estimasi'!W156</f>
        <v>2.1438094449670059E-2</v>
      </c>
      <c r="X156">
        <f>Return!X156-'Return Estimasi'!X156</f>
        <v>3.1107176956495482E-3</v>
      </c>
      <c r="Y156">
        <f>Return!Y156-'Return Estimasi'!Y156</f>
        <v>-3.9295287852027766E-2</v>
      </c>
      <c r="Z156">
        <f>Return!Z156-'Return Estimasi'!Z156</f>
        <v>1.6199162734279657E-2</v>
      </c>
      <c r="AA156">
        <f>Return!AA156-'Return Estimasi'!AA156</f>
        <v>-1.1931851423351188E-3</v>
      </c>
      <c r="AB156">
        <f>Return!AB156-'Return Estimasi'!AB156</f>
        <v>9.4821598892686019E-3</v>
      </c>
      <c r="AC156">
        <f>Return!AC156-'Return Estimasi'!AC156</f>
        <v>-1.4895885286309515E-2</v>
      </c>
      <c r="AD156">
        <f>Return!AD156-'Return Estimasi'!AD156</f>
        <v>1.199530721247874E-2</v>
      </c>
      <c r="AE156">
        <f>Return!AE156-'Return Estimasi'!AE156</f>
        <v>-6.9041607688914595E-3</v>
      </c>
      <c r="AF156">
        <f>Return!AF156-'Return Estimasi'!AF156</f>
        <v>-16.418661520353844</v>
      </c>
    </row>
    <row r="157" spans="1:32" x14ac:dyDescent="0.3">
      <c r="A157" s="4" t="s">
        <v>97</v>
      </c>
      <c r="B157">
        <f>('Data Saham'!B157-'Data Saham'!B156)/'Data Saham'!B156</f>
        <v>2.184609280670879E-3</v>
      </c>
      <c r="C157">
        <f>Return!C157-'Return Estimasi'!C157</f>
        <v>-8.9583458639348988E-3</v>
      </c>
      <c r="D157">
        <f>Return!D157-'Return Estimasi'!D157</f>
        <v>1.8099314384255869E-3</v>
      </c>
      <c r="E157">
        <f>Return!E157-'Return Estimasi'!E157</f>
        <v>3.0043243816165535E-2</v>
      </c>
      <c r="F157">
        <f>Return!F157-'Return Estimasi'!F157</f>
        <v>-8.4971831208041308E-3</v>
      </c>
      <c r="G157">
        <f>Return!G157-'Return Estimasi'!G157</f>
        <v>-1.5743851866375128E-2</v>
      </c>
      <c r="H157">
        <f>Return!H157-'Return Estimasi'!H157</f>
        <v>-3.2810431316253316E-2</v>
      </c>
      <c r="I157">
        <f>Return!I157-'Return Estimasi'!I157</f>
        <v>1.2433587824272511E-2</v>
      </c>
      <c r="J157">
        <f>Return!J157-'Return Estimasi'!J157</f>
        <v>-3.9347359897318676E-3</v>
      </c>
      <c r="K157">
        <f>Return!K157-'Return Estimasi'!K157</f>
        <v>1.9878389033879191E-2</v>
      </c>
      <c r="L157">
        <f>Return!L157-'Return Estimasi'!L157</f>
        <v>2.2541832621716426E-2</v>
      </c>
      <c r="M157">
        <f>Return!M157-'Return Estimasi'!M157</f>
        <v>-3.223487525801666E-2</v>
      </c>
      <c r="N157">
        <f>Return!N157-'Return Estimasi'!N157</f>
        <v>1.5401296955414086E-2</v>
      </c>
      <c r="O157">
        <f>Return!O157-'Return Estimasi'!O157</f>
        <v>1.3656472498455941E-2</v>
      </c>
      <c r="P157">
        <f>Return!P157-'Return Estimasi'!P157</f>
        <v>3.7694887564363622E-2</v>
      </c>
      <c r="Q157">
        <f>Return!Q157-'Return Estimasi'!Q157</f>
        <v>2.7043251866156744E-2</v>
      </c>
      <c r="R157">
        <f>Return!R157-'Return Estimasi'!R157</f>
        <v>-7.9856649452696681E-3</v>
      </c>
      <c r="S157">
        <f>Return!S157-'Return Estimasi'!S157</f>
        <v>-5.2578795428857655E-2</v>
      </c>
      <c r="T157">
        <f>Return!T157-'Return Estimasi'!T157</f>
        <v>-0.10568712753013437</v>
      </c>
      <c r="U157">
        <f>Return!U157-'Return Estimasi'!U157</f>
        <v>1.0534410136161659E-3</v>
      </c>
      <c r="V157">
        <f>Return!V157-'Return Estimasi'!V157</f>
        <v>1.0695041498912169E-2</v>
      </c>
      <c r="W157">
        <f>Return!W157-'Return Estimasi'!W157</f>
        <v>-1.2004677914720447E-2</v>
      </c>
      <c r="X157">
        <f>Return!X157-'Return Estimasi'!X157</f>
        <v>-1.0112869149064689E-2</v>
      </c>
      <c r="Y157">
        <f>Return!Y157-'Return Estimasi'!Y157</f>
        <v>1.478416876753103E-2</v>
      </c>
      <c r="Z157">
        <f>Return!Z157-'Return Estimasi'!Z157</f>
        <v>-9.3547184104835132E-3</v>
      </c>
      <c r="AA157">
        <f>Return!AA157-'Return Estimasi'!AA157</f>
        <v>1.833028328836769E-2</v>
      </c>
      <c r="AB157">
        <f>Return!AB157-'Return Estimasi'!AB157</f>
        <v>7.0003818575514853E-2</v>
      </c>
      <c r="AC157">
        <f>Return!AC157-'Return Estimasi'!AC157</f>
        <v>-3.0205075393488915E-3</v>
      </c>
      <c r="AD157">
        <f>Return!AD157-'Return Estimasi'!AD157</f>
        <v>-2.1580412268635791E-2</v>
      </c>
      <c r="AE157">
        <f>Return!AE157-'Return Estimasi'!AE157</f>
        <v>3.7724591836679287E-3</v>
      </c>
      <c r="AF157">
        <f>Return!AF157-'Return Estimasi'!AF157</f>
        <v>-16.607386821762155</v>
      </c>
    </row>
    <row r="158" spans="1:32" x14ac:dyDescent="0.3">
      <c r="A158" s="3" t="s">
        <v>98</v>
      </c>
      <c r="B158">
        <f>('Data Saham'!B158-'Data Saham'!B157)/'Data Saham'!B157</f>
        <v>-2.4657688237867625E-3</v>
      </c>
      <c r="C158">
        <f>Return!C158-'Return Estimasi'!C158</f>
        <v>3.7571956385346762E-3</v>
      </c>
      <c r="D158">
        <f>Return!D158-'Return Estimasi'!D158</f>
        <v>1.9144461693596727E-2</v>
      </c>
      <c r="E158">
        <f>Return!E158-'Return Estimasi'!E158</f>
        <v>-1.4330361422626751E-2</v>
      </c>
      <c r="F158">
        <f>Return!F158-'Return Estimasi'!F158</f>
        <v>-4.6041950197906615E-3</v>
      </c>
      <c r="G158">
        <f>Return!G158-'Return Estimasi'!G158</f>
        <v>-1.1704171304264306E-2</v>
      </c>
      <c r="H158">
        <f>Return!H158-'Return Estimasi'!H158</f>
        <v>-1.8714029915034812E-2</v>
      </c>
      <c r="I158">
        <f>Return!I158-'Return Estimasi'!I158</f>
        <v>-8.453392763936772E-3</v>
      </c>
      <c r="J158">
        <f>Return!J158-'Return Estimasi'!J158</f>
        <v>7.6814948323437199E-4</v>
      </c>
      <c r="K158">
        <f>Return!K158-'Return Estimasi'!K158</f>
        <v>-4.6979536986425978E-2</v>
      </c>
      <c r="L158">
        <f>Return!L158-'Return Estimasi'!L158</f>
        <v>1.3802766036583025E-3</v>
      </c>
      <c r="M158">
        <f>Return!M158-'Return Estimasi'!M158</f>
        <v>-9.1330818310941912E-3</v>
      </c>
      <c r="N158">
        <f>Return!N158-'Return Estimasi'!N158</f>
        <v>-1.8315972469083022E-2</v>
      </c>
      <c r="O158">
        <f>Return!O158-'Return Estimasi'!O158</f>
        <v>-6.9548500987276921E-3</v>
      </c>
      <c r="P158">
        <f>Return!P158-'Return Estimasi'!P158</f>
        <v>-5.041745325071679E-3</v>
      </c>
      <c r="Q158">
        <f>Return!Q158-'Return Estimasi'!Q158</f>
        <v>-6.9883690193122639E-3</v>
      </c>
      <c r="R158">
        <f>Return!R158-'Return Estimasi'!R158</f>
        <v>-2.8133884687022517E-2</v>
      </c>
      <c r="S158">
        <f>Return!S158-'Return Estimasi'!S158</f>
        <v>-2.3615944424826681E-2</v>
      </c>
      <c r="T158">
        <f>Return!T158-'Return Estimasi'!T158</f>
        <v>3.3213482570796801E-2</v>
      </c>
      <c r="U158">
        <f>Return!U158-'Return Estimasi'!U158</f>
        <v>1.7164704953394404E-2</v>
      </c>
      <c r="V158">
        <f>Return!V158-'Return Estimasi'!V158</f>
        <v>-3.6133042280199132E-2</v>
      </c>
      <c r="W158">
        <f>Return!W158-'Return Estimasi'!W158</f>
        <v>-2.2985438067256399E-2</v>
      </c>
      <c r="X158">
        <f>Return!X158-'Return Estimasi'!X158</f>
        <v>1.9568212100655034E-2</v>
      </c>
      <c r="Y158">
        <f>Return!Y158-'Return Estimasi'!Y158</f>
        <v>-1.1144852066236763E-2</v>
      </c>
      <c r="Z158">
        <f>Return!Z158-'Return Estimasi'!Z158</f>
        <v>-2.336432756393899E-2</v>
      </c>
      <c r="AA158">
        <f>Return!AA158-'Return Estimasi'!AA158</f>
        <v>-2.2246185262859035E-2</v>
      </c>
      <c r="AB158">
        <f>Return!AB158-'Return Estimasi'!AB158</f>
        <v>3.4720189399272666E-3</v>
      </c>
      <c r="AC158">
        <f>Return!AC158-'Return Estimasi'!AC158</f>
        <v>9.8999596498326996E-4</v>
      </c>
      <c r="AD158">
        <f>Return!AD158-'Return Estimasi'!AD158</f>
        <v>-2.2938137006602616E-3</v>
      </c>
      <c r="AE158">
        <f>Return!AE158-'Return Estimasi'!AE158</f>
        <v>-8.8375560133873259E-3</v>
      </c>
      <c r="AF158">
        <f>Return!AF158-'Return Estimasi'!AF158</f>
        <v>-16.776720894004022</v>
      </c>
    </row>
    <row r="159" spans="1:32" x14ac:dyDescent="0.3">
      <c r="A159" s="2">
        <v>45727</v>
      </c>
      <c r="B159">
        <f>('Data Saham'!B159-'Data Saham'!B158)/'Data Saham'!B158</f>
        <v>1.3620974340632128E-2</v>
      </c>
      <c r="C159">
        <f>Return!C159-'Return Estimasi'!C159</f>
        <v>4.6016595953313338E-3</v>
      </c>
      <c r="D159">
        <f>Return!D159-'Return Estimasi'!D159</f>
        <v>4.9758736433493794E-4</v>
      </c>
      <c r="E159">
        <f>Return!E159-'Return Estimasi'!E159</f>
        <v>-4.9325252628005575E-3</v>
      </c>
      <c r="F159">
        <f>Return!F159-'Return Estimasi'!F159</f>
        <v>-1.1704551092263371E-5</v>
      </c>
      <c r="G159">
        <f>Return!G159-'Return Estimasi'!G159</f>
        <v>2.9725398958748213E-2</v>
      </c>
      <c r="H159">
        <f>Return!H159-'Return Estimasi'!H159</f>
        <v>2.2903747767373649E-2</v>
      </c>
      <c r="I159">
        <f>Return!I159-'Return Estimasi'!I159</f>
        <v>-2.6896095133189295E-2</v>
      </c>
      <c r="J159">
        <f>Return!J159-'Return Estimasi'!J159</f>
        <v>-3.0880005515294247E-2</v>
      </c>
      <c r="K159">
        <f>Return!K159-'Return Estimasi'!K159</f>
        <v>1.5034542592822194E-2</v>
      </c>
      <c r="L159">
        <f>Return!L159-'Return Estimasi'!L159</f>
        <v>-2.4676410643444158E-2</v>
      </c>
      <c r="M159">
        <f>Return!M159-'Return Estimasi'!M159</f>
        <v>-1.5105252374198705E-2</v>
      </c>
      <c r="N159">
        <f>Return!N159-'Return Estimasi'!N159</f>
        <v>-2.5146088254829231E-2</v>
      </c>
      <c r="O159">
        <f>Return!O159-'Return Estimasi'!O159</f>
        <v>1.9572042984470541E-3</v>
      </c>
      <c r="P159">
        <f>Return!P159-'Return Estimasi'!P159</f>
        <v>-9.2522212503701878E-4</v>
      </c>
      <c r="Q159">
        <f>Return!Q159-'Return Estimasi'!Q159</f>
        <v>1.415992761475228E-2</v>
      </c>
      <c r="R159">
        <f>Return!R159-'Return Estimasi'!R159</f>
        <v>-2.6742489906615978E-2</v>
      </c>
      <c r="S159">
        <f>Return!S159-'Return Estimasi'!S159</f>
        <v>1.4098028179551168E-2</v>
      </c>
      <c r="T159">
        <f>Return!T159-'Return Estimasi'!T159</f>
        <v>-3.2806544120723209E-2</v>
      </c>
      <c r="U159">
        <f>Return!U159-'Return Estimasi'!U159</f>
        <v>-6.7466548783218575E-4</v>
      </c>
      <c r="V159">
        <f>Return!V159-'Return Estimasi'!V159</f>
        <v>1.4679853956759154E-3</v>
      </c>
      <c r="W159">
        <f>Return!W159-'Return Estimasi'!W159</f>
        <v>3.5678702790944844E-2</v>
      </c>
      <c r="X159">
        <f>Return!X159-'Return Estimasi'!X159</f>
        <v>1.4629010628228807E-2</v>
      </c>
      <c r="Y159">
        <f>Return!Y159-'Return Estimasi'!Y159</f>
        <v>-5.1534420617914301E-2</v>
      </c>
      <c r="Z159">
        <f>Return!Z159-'Return Estimasi'!Z159</f>
        <v>-5.0336930656991194E-3</v>
      </c>
      <c r="AA159">
        <f>Return!AA159-'Return Estimasi'!AA159</f>
        <v>-2.717790468376842E-3</v>
      </c>
      <c r="AB159">
        <f>Return!AB159-'Return Estimasi'!AB159</f>
        <v>-3.0133724162909992E-2</v>
      </c>
      <c r="AC159">
        <f>Return!AC159-'Return Estimasi'!AC159</f>
        <v>-6.9308906718563955E-3</v>
      </c>
      <c r="AD159">
        <f>Return!AD159-'Return Estimasi'!AD159</f>
        <v>7.7545511166622529E-3</v>
      </c>
      <c r="AE159">
        <f>Return!AE159-'Return Estimasi'!AE159</f>
        <v>1.1380631428286216E-2</v>
      </c>
      <c r="AF159">
        <f>Return!AF159-'Return Estimasi'!AF159</f>
        <v>-16.285652667059693</v>
      </c>
    </row>
    <row r="160" spans="1:32" x14ac:dyDescent="0.3">
      <c r="A160" s="1">
        <v>45758</v>
      </c>
      <c r="B160">
        <f>('Data Saham'!B160-'Data Saham'!B159)/'Data Saham'!B159</f>
        <v>-4.0084204624003727E-3</v>
      </c>
      <c r="C160">
        <f>Return!C160-'Return Estimasi'!C160</f>
        <v>5.0823123242610211E-3</v>
      </c>
      <c r="D160">
        <f>Return!D160-'Return Estimasi'!D160</f>
        <v>-1.4568066099943936E-2</v>
      </c>
      <c r="E160">
        <f>Return!E160-'Return Estimasi'!E160</f>
        <v>-2.4564886545776939E-3</v>
      </c>
      <c r="F160">
        <f>Return!F160-'Return Estimasi'!F160</f>
        <v>8.0198519534372282E-3</v>
      </c>
      <c r="G160">
        <f>Return!G160-'Return Estimasi'!G160</f>
        <v>4.676934644252588E-2</v>
      </c>
      <c r="H160">
        <f>Return!H160-'Return Estimasi'!H160</f>
        <v>-5.6298591621120712E-3</v>
      </c>
      <c r="I160">
        <f>Return!I160-'Return Estimasi'!I160</f>
        <v>6.2286890363979922E-4</v>
      </c>
      <c r="J160">
        <f>Return!J160-'Return Estimasi'!J160</f>
        <v>-1.6149814710901787E-2</v>
      </c>
      <c r="K160">
        <f>Return!K160-'Return Estimasi'!K160</f>
        <v>-1.5588783589594139E-2</v>
      </c>
      <c r="L160">
        <f>Return!L160-'Return Estimasi'!L160</f>
        <v>9.5411186151944851E-3</v>
      </c>
      <c r="M160">
        <f>Return!M160-'Return Estimasi'!M160</f>
        <v>-4.9457572128301548E-2</v>
      </c>
      <c r="N160">
        <f>Return!N160-'Return Estimasi'!N160</f>
        <v>7.8544757513093477E-3</v>
      </c>
      <c r="O160">
        <f>Return!O160-'Return Estimasi'!O160</f>
        <v>-6.16316825775866E-3</v>
      </c>
      <c r="P160">
        <f>Return!P160-'Return Estimasi'!P160</f>
        <v>-1.2775853250617433E-2</v>
      </c>
      <c r="Q160">
        <f>Return!Q160-'Return Estimasi'!Q160</f>
        <v>1.7126630430403564E-2</v>
      </c>
      <c r="R160">
        <f>Return!R160-'Return Estimasi'!R160</f>
        <v>-1.6812389634098486E-2</v>
      </c>
      <c r="S160">
        <f>Return!S160-'Return Estimasi'!S160</f>
        <v>-6.1102646218622698E-3</v>
      </c>
      <c r="T160">
        <f>Return!T160-'Return Estimasi'!T160</f>
        <v>-6.9899431093880665E-3</v>
      </c>
      <c r="U160">
        <f>Return!U160-'Return Estimasi'!U160</f>
        <v>-6.5651799793974928E-3</v>
      </c>
      <c r="V160">
        <f>Return!V160-'Return Estimasi'!V160</f>
        <v>9.6041513343357761E-4</v>
      </c>
      <c r="W160">
        <f>Return!W160-'Return Estimasi'!W160</f>
        <v>-4.0955755539495639E-2</v>
      </c>
      <c r="X160">
        <f>Return!X160-'Return Estimasi'!X160</f>
        <v>2.4758098354748508E-2</v>
      </c>
      <c r="Y160">
        <f>Return!Y160-'Return Estimasi'!Y160</f>
        <v>-8.1978549596240045E-3</v>
      </c>
      <c r="Z160">
        <f>Return!Z160-'Return Estimasi'!Z160</f>
        <v>-9.3037465867228178E-3</v>
      </c>
      <c r="AA160">
        <f>Return!AA160-'Return Estimasi'!AA160</f>
        <v>9.9081914185068596E-3</v>
      </c>
      <c r="AB160">
        <f>Return!AB160-'Return Estimasi'!AB160</f>
        <v>-2.8801899296978638E-2</v>
      </c>
      <c r="AC160">
        <f>Return!AC160-'Return Estimasi'!AC160</f>
        <v>-9.5139350074975142E-3</v>
      </c>
      <c r="AD160">
        <f>Return!AD160-'Return Estimasi'!AD160</f>
        <v>-7.3742918612724941E-4</v>
      </c>
      <c r="AE160">
        <f>Return!AE160-'Return Estimasi'!AE160</f>
        <v>-1.2865324563350709E-2</v>
      </c>
      <c r="AF160">
        <f>Return!AF160-'Return Estimasi'!AF160</f>
        <v>-16.798208285825098</v>
      </c>
    </row>
    <row r="161" spans="1:32" x14ac:dyDescent="0.3">
      <c r="A161" s="2">
        <v>45788</v>
      </c>
      <c r="B161">
        <f>('Data Saham'!B161-'Data Saham'!B160)/'Data Saham'!B160</f>
        <v>9.2963888224939124E-3</v>
      </c>
      <c r="C161">
        <f>Return!C161-'Return Estimasi'!C161</f>
        <v>-5.6599029367454968E-4</v>
      </c>
      <c r="D161">
        <f>Return!D161-'Return Estimasi'!D161</f>
        <v>-7.806171757879188E-3</v>
      </c>
      <c r="E161">
        <f>Return!E161-'Return Estimasi'!E161</f>
        <v>-7.1815522589210347E-4</v>
      </c>
      <c r="F161">
        <f>Return!F161-'Return Estimasi'!F161</f>
        <v>-5.5170382991098482E-3</v>
      </c>
      <c r="G161">
        <f>Return!G161-'Return Estimasi'!G161</f>
        <v>1.4360893749276443E-3</v>
      </c>
      <c r="H161">
        <f>Return!H161-'Return Estimasi'!H161</f>
        <v>-1.4643583420774634E-2</v>
      </c>
      <c r="I161">
        <f>Return!I161-'Return Estimasi'!I161</f>
        <v>2.4473915438147531E-2</v>
      </c>
      <c r="J161">
        <f>Return!J161-'Return Estimasi'!J161</f>
        <v>4.4564532332901797E-3</v>
      </c>
      <c r="K161">
        <f>Return!K161-'Return Estimasi'!K161</f>
        <v>-1.7946194603159091E-2</v>
      </c>
      <c r="L161">
        <f>Return!L161-'Return Estimasi'!L161</f>
        <v>1.4348751027113388E-2</v>
      </c>
      <c r="M161">
        <f>Return!M161-'Return Estimasi'!M161</f>
        <v>-7.3783539236174679E-3</v>
      </c>
      <c r="N161">
        <f>Return!N161-'Return Estimasi'!N161</f>
        <v>-6.7326193023036253E-3</v>
      </c>
      <c r="O161">
        <f>Return!O161-'Return Estimasi'!O161</f>
        <v>-2.4559070164812815E-2</v>
      </c>
      <c r="P161">
        <f>Return!P161-'Return Estimasi'!P161</f>
        <v>-6.2959516200336704E-3</v>
      </c>
      <c r="Q161">
        <f>Return!Q161-'Return Estimasi'!Q161</f>
        <v>-2.2881400866577171E-2</v>
      </c>
      <c r="R161">
        <f>Return!R161-'Return Estimasi'!R161</f>
        <v>7.2948478922074692E-2</v>
      </c>
      <c r="S161">
        <f>Return!S161-'Return Estimasi'!S161</f>
        <v>1.1950728350429322E-2</v>
      </c>
      <c r="T161">
        <f>Return!T161-'Return Estimasi'!T161</f>
        <v>-2.315364846825865E-3</v>
      </c>
      <c r="U161">
        <f>Return!U161-'Return Estimasi'!U161</f>
        <v>4.0135340527783052E-4</v>
      </c>
      <c r="V161">
        <f>Return!V161-'Return Estimasi'!V161</f>
        <v>-1.5855767577247652E-2</v>
      </c>
      <c r="W161">
        <f>Return!W161-'Return Estimasi'!W161</f>
        <v>-2.7398192668425456E-3</v>
      </c>
      <c r="X161">
        <f>Return!X161-'Return Estimasi'!X161</f>
        <v>-3.2928275147653917E-2</v>
      </c>
      <c r="Y161">
        <f>Return!Y161-'Return Estimasi'!Y161</f>
        <v>1.2618055594081632E-2</v>
      </c>
      <c r="Z161">
        <f>Return!Z161-'Return Estimasi'!Z161</f>
        <v>-6.1806130074730497E-3</v>
      </c>
      <c r="AA161">
        <f>Return!AA161-'Return Estimasi'!AA161</f>
        <v>5.4987997209891039E-2</v>
      </c>
      <c r="AB161">
        <f>Return!AB161-'Return Estimasi'!AB161</f>
        <v>7.8805958297900103E-2</v>
      </c>
      <c r="AC161">
        <f>Return!AC161-'Return Estimasi'!AC161</f>
        <v>-2.7117804723525103E-2</v>
      </c>
      <c r="AD161">
        <f>Return!AD161-'Return Estimasi'!AD161</f>
        <v>-1.8554232593475523E-2</v>
      </c>
      <c r="AE161">
        <f>Return!AE161-'Return Estimasi'!AE161</f>
        <v>-1.6535837469654627E-3</v>
      </c>
      <c r="AF161">
        <f>Return!AF161-'Return Estimasi'!AF161</f>
        <v>-16.407306568108847</v>
      </c>
    </row>
    <row r="162" spans="1:32" x14ac:dyDescent="0.3">
      <c r="A162" s="1">
        <v>45819</v>
      </c>
      <c r="B162">
        <f>('Data Saham'!B162-'Data Saham'!B161)/'Data Saham'!B161</f>
        <v>2.2275570323120591E-3</v>
      </c>
      <c r="C162">
        <f>Return!C162-'Return Estimasi'!C162</f>
        <v>-1.751568647373675E-2</v>
      </c>
      <c r="D162">
        <f>Return!D162-'Return Estimasi'!D162</f>
        <v>1.6514347811184969E-3</v>
      </c>
      <c r="E162">
        <f>Return!E162-'Return Estimasi'!E162</f>
        <v>-6.4497239430789284E-3</v>
      </c>
      <c r="F162">
        <f>Return!F162-'Return Estimasi'!F162</f>
        <v>-6.2611088013653886E-3</v>
      </c>
      <c r="G162">
        <f>Return!G162-'Return Estimasi'!G162</f>
        <v>-2.0573639410849446E-2</v>
      </c>
      <c r="H162">
        <f>Return!H162-'Return Estimasi'!H162</f>
        <v>1.0048705110864902E-2</v>
      </c>
      <c r="I162">
        <f>Return!I162-'Return Estimasi'!I162</f>
        <v>-1.3446683122516566E-2</v>
      </c>
      <c r="J162">
        <f>Return!J162-'Return Estimasi'!J162</f>
        <v>-1.4615157646998528E-2</v>
      </c>
      <c r="K162">
        <f>Return!K162-'Return Estimasi'!K162</f>
        <v>1.2455161602689255E-2</v>
      </c>
      <c r="L162">
        <f>Return!L162-'Return Estimasi'!L162</f>
        <v>-8.799270438144529E-3</v>
      </c>
      <c r="M162">
        <f>Return!M162-'Return Estimasi'!M162</f>
        <v>-2.4055068993131118E-2</v>
      </c>
      <c r="N162">
        <f>Return!N162-'Return Estimasi'!N162</f>
        <v>-9.1929138899545957E-4</v>
      </c>
      <c r="O162">
        <f>Return!O162-'Return Estimasi'!O162</f>
        <v>1.091377013320673E-2</v>
      </c>
      <c r="P162">
        <f>Return!P162-'Return Estimasi'!P162</f>
        <v>-9.3379943862059861E-3</v>
      </c>
      <c r="Q162">
        <f>Return!Q162-'Return Estimasi'!Q162</f>
        <v>1.0439844447501515E-2</v>
      </c>
      <c r="R162">
        <f>Return!R162-'Return Estimasi'!R162</f>
        <v>-5.3493944673294068E-2</v>
      </c>
      <c r="S162">
        <f>Return!S162-'Return Estimasi'!S162</f>
        <v>-1.1512021706626449E-2</v>
      </c>
      <c r="T162">
        <f>Return!T162-'Return Estimasi'!T162</f>
        <v>-1.058736096495333E-2</v>
      </c>
      <c r="U162">
        <f>Return!U162-'Return Estimasi'!U162</f>
        <v>2.9459203412036387E-2</v>
      </c>
      <c r="V162">
        <f>Return!V162-'Return Estimasi'!V162</f>
        <v>1.1874823684454576E-2</v>
      </c>
      <c r="W162">
        <f>Return!W162-'Return Estimasi'!W162</f>
        <v>-3.6592132809237909E-3</v>
      </c>
      <c r="X162">
        <f>Return!X162-'Return Estimasi'!X162</f>
        <v>1.0233776009715494E-2</v>
      </c>
      <c r="Y162">
        <f>Return!Y162-'Return Estimasi'!Y162</f>
        <v>-1.8263251002991133E-2</v>
      </c>
      <c r="Z162">
        <f>Return!Z162-'Return Estimasi'!Z162</f>
        <v>1.2943953000125359E-2</v>
      </c>
      <c r="AA162">
        <f>Return!AA162-'Return Estimasi'!AA162</f>
        <v>1.6301133205757615E-2</v>
      </c>
      <c r="AB162">
        <f>Return!AB162-'Return Estimasi'!AB162</f>
        <v>-1.7599008388472889E-2</v>
      </c>
      <c r="AC162">
        <f>Return!AC162-'Return Estimasi'!AC162</f>
        <v>3.0400151343010656E-3</v>
      </c>
      <c r="AD162">
        <f>Return!AD162-'Return Estimasi'!AD162</f>
        <v>3.3550171111805748E-3</v>
      </c>
      <c r="AE162">
        <f>Return!AE162-'Return Estimasi'!AE162</f>
        <v>-1.2418402049584325E-2</v>
      </c>
      <c r="AF162">
        <f>Return!AF162-'Return Estimasi'!AF162</f>
        <v>-16.622845965723016</v>
      </c>
    </row>
    <row r="163" spans="1:32" x14ac:dyDescent="0.3">
      <c r="A163" s="2">
        <v>45849</v>
      </c>
      <c r="B163">
        <f>('Data Saham'!B163-'Data Saham'!B162)/'Data Saham'!B162</f>
        <v>6.9005140900989864E-3</v>
      </c>
      <c r="C163">
        <f>Return!C163-'Return Estimasi'!C163</f>
        <v>1.0331569595139561E-2</v>
      </c>
      <c r="D163">
        <f>Return!D163-'Return Estimasi'!D163</f>
        <v>-1.2968999748084471E-2</v>
      </c>
      <c r="E163">
        <f>Return!E163-'Return Estimasi'!E163</f>
        <v>-6.8300748245830826E-3</v>
      </c>
      <c r="F163">
        <f>Return!F163-'Return Estimasi'!F163</f>
        <v>7.7786324397221517E-3</v>
      </c>
      <c r="G163">
        <f>Return!G163-'Return Estimasi'!G163</f>
        <v>-1.0707708617122873E-2</v>
      </c>
      <c r="H163">
        <f>Return!H163-'Return Estimasi'!H163</f>
        <v>1.0715101846049832E-2</v>
      </c>
      <c r="I163">
        <f>Return!I163-'Return Estimasi'!I163</f>
        <v>1.8561068743744801E-3</v>
      </c>
      <c r="J163">
        <f>Return!J163-'Return Estimasi'!J163</f>
        <v>1.2312437310681981E-2</v>
      </c>
      <c r="K163">
        <f>Return!K163-'Return Estimasi'!K163</f>
        <v>5.2040381974820596E-3</v>
      </c>
      <c r="L163">
        <f>Return!L163-'Return Estimasi'!L163</f>
        <v>-2.022265450128017E-3</v>
      </c>
      <c r="M163">
        <f>Return!M163-'Return Estimasi'!M163</f>
        <v>-2.2049410519117071E-2</v>
      </c>
      <c r="N163">
        <f>Return!N163-'Return Estimasi'!N163</f>
        <v>-1.1609178574150791E-2</v>
      </c>
      <c r="O163">
        <f>Return!O163-'Return Estimasi'!O163</f>
        <v>1.7075279508543484E-2</v>
      </c>
      <c r="P163">
        <f>Return!P163-'Return Estimasi'!P163</f>
        <v>5.1570752465040157E-3</v>
      </c>
      <c r="Q163">
        <f>Return!Q163-'Return Estimasi'!Q163</f>
        <v>-9.3444730516992341E-3</v>
      </c>
      <c r="R163">
        <f>Return!R163-'Return Estimasi'!R163</f>
        <v>8.8002766666596365E-3</v>
      </c>
      <c r="S163">
        <f>Return!S163-'Return Estimasi'!S163</f>
        <v>-3.3070953955571074E-2</v>
      </c>
      <c r="T163">
        <f>Return!T163-'Return Estimasi'!T163</f>
        <v>-5.4648086940473857E-2</v>
      </c>
      <c r="U163">
        <f>Return!U163-'Return Estimasi'!U163</f>
        <v>-1.1264019585753255E-2</v>
      </c>
      <c r="V163">
        <f>Return!V163-'Return Estimasi'!V163</f>
        <v>-1.7373478682830949E-3</v>
      </c>
      <c r="W163">
        <f>Return!W163-'Return Estimasi'!W163</f>
        <v>-9.733800208840352E-3</v>
      </c>
      <c r="X163">
        <f>Return!X163-'Return Estimasi'!X163</f>
        <v>1.1908329783681245E-3</v>
      </c>
      <c r="Y163">
        <f>Return!Y163-'Return Estimasi'!Y163</f>
        <v>1.3675520973667004E-3</v>
      </c>
      <c r="Z163">
        <f>Return!Z163-'Return Estimasi'!Z163</f>
        <v>2.2585360637886107E-2</v>
      </c>
      <c r="AA163">
        <f>Return!AA163-'Return Estimasi'!AA163</f>
        <v>-4.5130553611733903E-2</v>
      </c>
      <c r="AB163">
        <f>Return!AB163-'Return Estimasi'!AB163</f>
        <v>-6.3905231905413487E-3</v>
      </c>
      <c r="AC163">
        <f>Return!AC163-'Return Estimasi'!AC163</f>
        <v>-1.0269154589994103E-3</v>
      </c>
      <c r="AD163">
        <f>Return!AD163-'Return Estimasi'!AD163</f>
        <v>-6.2050337112953789E-3</v>
      </c>
      <c r="AE163">
        <f>Return!AE163-'Return Estimasi'!AE163</f>
        <v>5.6385459954637809E-3</v>
      </c>
      <c r="AF163">
        <f>Return!AF163-'Return Estimasi'!AF163</f>
        <v>-16.485905144701359</v>
      </c>
    </row>
    <row r="164" spans="1:32" x14ac:dyDescent="0.3">
      <c r="A164" s="1">
        <v>45941</v>
      </c>
      <c r="B164">
        <f>('Data Saham'!B164-'Data Saham'!B163)/'Data Saham'!B163</f>
        <v>-3.9906654166556841E-4</v>
      </c>
      <c r="C164">
        <f>Return!C164-'Return Estimasi'!C164</f>
        <v>-9.5454509133112344E-3</v>
      </c>
      <c r="D164">
        <f>Return!D164-'Return Estimasi'!D164</f>
        <v>-1.3353526614775207E-2</v>
      </c>
      <c r="E164">
        <f>Return!E164-'Return Estimasi'!E164</f>
        <v>-3.8968141090075037E-3</v>
      </c>
      <c r="F164">
        <f>Return!F164-'Return Estimasi'!F164</f>
        <v>-1.732978506340125E-2</v>
      </c>
      <c r="G164">
        <f>Return!G164-'Return Estimasi'!G164</f>
        <v>-9.903812018209758E-3</v>
      </c>
      <c r="H164">
        <f>Return!H164-'Return Estimasi'!H164</f>
        <v>-1.8415064315260095E-4</v>
      </c>
      <c r="I164">
        <f>Return!I164-'Return Estimasi'!I164</f>
        <v>7.8482938149988593E-3</v>
      </c>
      <c r="J164">
        <f>Return!J164-'Return Estimasi'!J164</f>
        <v>-3.3343097844846909E-3</v>
      </c>
      <c r="K164">
        <f>Return!K164-'Return Estimasi'!K164</f>
        <v>6.7668297374248636E-3</v>
      </c>
      <c r="L164">
        <f>Return!L164-'Return Estimasi'!L164</f>
        <v>-1.5072580465227577E-3</v>
      </c>
      <c r="M164">
        <f>Return!M164-'Return Estimasi'!M164</f>
        <v>-1.2797765502264693E-3</v>
      </c>
      <c r="N164">
        <f>Return!N164-'Return Estimasi'!N164</f>
        <v>3.5834112572417323E-2</v>
      </c>
      <c r="O164">
        <f>Return!O164-'Return Estimasi'!O164</f>
        <v>-1.6513918357242099E-2</v>
      </c>
      <c r="P164">
        <f>Return!P164-'Return Estimasi'!P164</f>
        <v>5.7787002349749796E-2</v>
      </c>
      <c r="Q164">
        <f>Return!Q164-'Return Estimasi'!Q164</f>
        <v>2.067973646846754E-3</v>
      </c>
      <c r="R164">
        <f>Return!R164-'Return Estimasi'!R164</f>
        <v>5.0268523525837409E-3</v>
      </c>
      <c r="S164">
        <f>Return!S164-'Return Estimasi'!S164</f>
        <v>1.1134432929031044E-2</v>
      </c>
      <c r="T164">
        <f>Return!T164-'Return Estimasi'!T164</f>
        <v>7.8061703133331956E-3</v>
      </c>
      <c r="U164">
        <f>Return!U164-'Return Estimasi'!U164</f>
        <v>-4.1472329400379496E-2</v>
      </c>
      <c r="V164">
        <f>Return!V164-'Return Estimasi'!V164</f>
        <v>1.4033380436723595E-2</v>
      </c>
      <c r="W164">
        <f>Return!W164-'Return Estimasi'!W164</f>
        <v>-1.4836762216410824E-3</v>
      </c>
      <c r="X164">
        <f>Return!X164-'Return Estimasi'!X164</f>
        <v>-2.7074387395927102E-2</v>
      </c>
      <c r="Y164">
        <f>Return!Y164-'Return Estimasi'!Y164</f>
        <v>-1.1173307142425324E-2</v>
      </c>
      <c r="Z164">
        <f>Return!Z164-'Return Estimasi'!Z164</f>
        <v>-1.61203633560098E-2</v>
      </c>
      <c r="AA164">
        <f>Return!AA164-'Return Estimasi'!AA164</f>
        <v>1.9661033853227705E-2</v>
      </c>
      <c r="AB164">
        <f>Return!AB164-'Return Estimasi'!AB164</f>
        <v>9.965647110616653E-2</v>
      </c>
      <c r="AC164">
        <f>Return!AC164-'Return Estimasi'!AC164</f>
        <v>-6.8164322135185569E-3</v>
      </c>
      <c r="AD164">
        <f>Return!AD164-'Return Estimasi'!AD164</f>
        <v>-4.2512687402718741E-3</v>
      </c>
      <c r="AE164">
        <f>Return!AE164-'Return Estimasi'!AE164</f>
        <v>-1.0414378697735188E-2</v>
      </c>
      <c r="AF164">
        <f>Return!AF164-'Return Estimasi'!AF164</f>
        <v>-16.696727378302818</v>
      </c>
    </row>
    <row r="165" spans="1:32" x14ac:dyDescent="0.3">
      <c r="A165" s="2">
        <v>45972</v>
      </c>
      <c r="B165">
        <f>('Data Saham'!B165-'Data Saham'!B164)/'Data Saham'!B164</f>
        <v>-2.9471210452805025E-3</v>
      </c>
      <c r="C165">
        <f>Return!C165-'Return Estimasi'!C165</f>
        <v>-1.6237492643536709E-2</v>
      </c>
      <c r="D165">
        <f>Return!D165-'Return Estimasi'!D165</f>
        <v>-8.4631148181512177E-3</v>
      </c>
      <c r="E165">
        <f>Return!E165-'Return Estimasi'!E165</f>
        <v>-7.7634404702846193E-3</v>
      </c>
      <c r="F165">
        <f>Return!F165-'Return Estimasi'!F165</f>
        <v>2.6062399063683729E-3</v>
      </c>
      <c r="G165">
        <f>Return!G165-'Return Estimasi'!G165</f>
        <v>2.4292963697820791E-2</v>
      </c>
      <c r="H165">
        <f>Return!H165-'Return Estimasi'!H165</f>
        <v>1.7094336105553169E-2</v>
      </c>
      <c r="I165">
        <f>Return!I165-'Return Estimasi'!I165</f>
        <v>-8.4464448545464362E-3</v>
      </c>
      <c r="J165">
        <f>Return!J165-'Return Estimasi'!J165</f>
        <v>-6.1358292987389023E-3</v>
      </c>
      <c r="K165">
        <f>Return!K165-'Return Estimasi'!K165</f>
        <v>-3.6486534766913157E-3</v>
      </c>
      <c r="L165">
        <f>Return!L165-'Return Estimasi'!L165</f>
        <v>-4.8688427482107078E-3</v>
      </c>
      <c r="M165">
        <f>Return!M165-'Return Estimasi'!M165</f>
        <v>-1.2565069658463662E-2</v>
      </c>
      <c r="N165">
        <f>Return!N165-'Return Estimasi'!N165</f>
        <v>6.361270562572476E-3</v>
      </c>
      <c r="O165">
        <f>Return!O165-'Return Estimasi'!O165</f>
        <v>1.6290053282421509E-2</v>
      </c>
      <c r="P165">
        <f>Return!P165-'Return Estimasi'!P165</f>
        <v>-4.2994045954322007E-3</v>
      </c>
      <c r="Q165">
        <f>Return!Q165-'Return Estimasi'!Q165</f>
        <v>1.1280925282845357E-3</v>
      </c>
      <c r="R165">
        <f>Return!R165-'Return Estimasi'!R165</f>
        <v>1.437722834110652E-2</v>
      </c>
      <c r="S165">
        <f>Return!S165-'Return Estimasi'!S165</f>
        <v>8.1220953183297195E-3</v>
      </c>
      <c r="T165">
        <f>Return!T165-'Return Estimasi'!T165</f>
        <v>1.7808151750048344E-2</v>
      </c>
      <c r="U165">
        <f>Return!U165-'Return Estimasi'!U165</f>
        <v>-2.2376078694033644E-2</v>
      </c>
      <c r="V165">
        <f>Return!V165-'Return Estimasi'!V165</f>
        <v>5.426560097434514E-3</v>
      </c>
      <c r="W165">
        <f>Return!W165-'Return Estimasi'!W165</f>
        <v>-1.3361342314706332E-2</v>
      </c>
      <c r="X165">
        <f>Return!X165-'Return Estimasi'!X165</f>
        <v>2.0027883160728399E-2</v>
      </c>
      <c r="Y165">
        <f>Return!Y165-'Return Estimasi'!Y165</f>
        <v>-1.1970877467887229E-2</v>
      </c>
      <c r="Z165">
        <f>Return!Z165-'Return Estimasi'!Z165</f>
        <v>-2.3341485522709326E-2</v>
      </c>
      <c r="AA165">
        <f>Return!AA165-'Return Estimasi'!AA165</f>
        <v>-4.8255057925602085E-2</v>
      </c>
      <c r="AB165">
        <f>Return!AB165-'Return Estimasi'!AB165</f>
        <v>3.978874926205302E-3</v>
      </c>
      <c r="AC165">
        <f>Return!AC165-'Return Estimasi'!AC165</f>
        <v>1.9586934106459841E-2</v>
      </c>
      <c r="AD165">
        <f>Return!AD165-'Return Estimasi'!AD165</f>
        <v>3.2442071480409673E-3</v>
      </c>
      <c r="AE165">
        <f>Return!AE165-'Return Estimasi'!AE165</f>
        <v>-3.1523952780789879E-3</v>
      </c>
      <c r="AF165">
        <f>Return!AF165-'Return Estimasi'!AF165</f>
        <v>-16.774018062347878</v>
      </c>
    </row>
    <row r="166" spans="1:32" x14ac:dyDescent="0.3">
      <c r="A166" s="1">
        <v>46002</v>
      </c>
      <c r="B166">
        <f>('Data Saham'!B166-'Data Saham'!B165)/'Data Saham'!B165</f>
        <v>2.6367027589759041E-3</v>
      </c>
      <c r="C166">
        <f>Return!C166-'Return Estimasi'!C166</f>
        <v>1.1279004150889851E-2</v>
      </c>
      <c r="D166">
        <f>Return!D166-'Return Estimasi'!D166</f>
        <v>-1.2053439193120416E-3</v>
      </c>
      <c r="E166">
        <f>Return!E166-'Return Estimasi'!E166</f>
        <v>1.4436751863305338E-2</v>
      </c>
      <c r="F166">
        <f>Return!F166-'Return Estimasi'!F166</f>
        <v>6.9264162264058814E-3</v>
      </c>
      <c r="G166">
        <f>Return!G166-'Return Estimasi'!G166</f>
        <v>7.370568363968379E-3</v>
      </c>
      <c r="H166">
        <f>Return!H166-'Return Estimasi'!H166</f>
        <v>-1.3720813515966278E-2</v>
      </c>
      <c r="I166">
        <f>Return!I166-'Return Estimasi'!I166</f>
        <v>-2.1762464961659856E-3</v>
      </c>
      <c r="J166">
        <f>Return!J166-'Return Estimasi'!J166</f>
        <v>1.7032894049764269E-2</v>
      </c>
      <c r="K166">
        <f>Return!K166-'Return Estimasi'!K166</f>
        <v>3.8892994745513198E-3</v>
      </c>
      <c r="L166">
        <f>Return!L166-'Return Estimasi'!L166</f>
        <v>-4.7836716542557396E-3</v>
      </c>
      <c r="M166">
        <f>Return!M166-'Return Estimasi'!M166</f>
        <v>-7.6735209464651906E-3</v>
      </c>
      <c r="N166">
        <f>Return!N166-'Return Estimasi'!N166</f>
        <v>-3.3494942814171896E-2</v>
      </c>
      <c r="O166">
        <f>Return!O166-'Return Estimasi'!O166</f>
        <v>7.5206016659425459E-3</v>
      </c>
      <c r="P166">
        <f>Return!P166-'Return Estimasi'!P166</f>
        <v>-9.2881466723936257E-3</v>
      </c>
      <c r="Q166">
        <f>Return!Q166-'Return Estimasi'!Q166</f>
        <v>-4.8100804618032211E-3</v>
      </c>
      <c r="R166">
        <f>Return!R166-'Return Estimasi'!R166</f>
        <v>-1.6267404520884713E-2</v>
      </c>
      <c r="S166">
        <f>Return!S166-'Return Estimasi'!S166</f>
        <v>7.1710438923140258E-3</v>
      </c>
      <c r="T166">
        <f>Return!T166-'Return Estimasi'!T166</f>
        <v>6.0934848989866341E-2</v>
      </c>
      <c r="U166">
        <f>Return!U166-'Return Estimasi'!U166</f>
        <v>-3.1319546329787815E-3</v>
      </c>
      <c r="V166">
        <f>Return!V166-'Return Estimasi'!V166</f>
        <v>1.0132725057446171E-2</v>
      </c>
      <c r="W166">
        <f>Return!W166-'Return Estimasi'!W166</f>
        <v>6.3576894616831567E-2</v>
      </c>
      <c r="X166">
        <f>Return!X166-'Return Estimasi'!X166</f>
        <v>2.6191966642659638E-2</v>
      </c>
      <c r="Y166">
        <f>Return!Y166-'Return Estimasi'!Y166</f>
        <v>2.9148473029073432E-2</v>
      </c>
      <c r="Z166">
        <f>Return!Z166-'Return Estimasi'!Z166</f>
        <v>3.5561409031942787E-3</v>
      </c>
      <c r="AA166">
        <f>Return!AA166-'Return Estimasi'!AA166</f>
        <v>-1.2858550558468795E-2</v>
      </c>
      <c r="AB166">
        <f>Return!AB166-'Return Estimasi'!AB166</f>
        <v>-3.1751546131790591E-2</v>
      </c>
      <c r="AC166">
        <f>Return!AC166-'Return Estimasi'!AC166</f>
        <v>2.6351510112669032E-2</v>
      </c>
      <c r="AD166">
        <f>Return!AD166-'Return Estimasi'!AD166</f>
        <v>-2.1137184165399016E-3</v>
      </c>
      <c r="AE166">
        <f>Return!AE166-'Return Estimasi'!AE166</f>
        <v>-1.9778779800289636E-3</v>
      </c>
      <c r="AF166">
        <f>Return!AF166-'Return Estimasi'!AF166</f>
        <v>-16.628514106198587</v>
      </c>
    </row>
    <row r="167" spans="1:32" x14ac:dyDescent="0.3">
      <c r="A167" s="4" t="s">
        <v>99</v>
      </c>
      <c r="B167">
        <f>('Data Saham'!B167-'Data Saham'!B166)/'Data Saham'!B166</f>
        <v>-1.975306875903725E-3</v>
      </c>
      <c r="C167">
        <f>Return!C167-'Return Estimasi'!C167</f>
        <v>-1.1369986828175378E-2</v>
      </c>
      <c r="D167">
        <f>Return!D167-'Return Estimasi'!D167</f>
        <v>-6.9329714884620239E-3</v>
      </c>
      <c r="E167">
        <f>Return!E167-'Return Estimasi'!E167</f>
        <v>-1.0748730881937694E-2</v>
      </c>
      <c r="F167">
        <f>Return!F167-'Return Estimasi'!F167</f>
        <v>-7.1855137337822235E-3</v>
      </c>
      <c r="G167">
        <f>Return!G167-'Return Estimasi'!G167</f>
        <v>-1.6692246867821458E-2</v>
      </c>
      <c r="H167">
        <f>Return!H167-'Return Estimasi'!H167</f>
        <v>-1.0751591984649195E-2</v>
      </c>
      <c r="I167">
        <f>Return!I167-'Return Estimasi'!I167</f>
        <v>-3.1627250826086074E-3</v>
      </c>
      <c r="J167">
        <f>Return!J167-'Return Estimasi'!J167</f>
        <v>-2.8570627018010518E-3</v>
      </c>
      <c r="K167">
        <f>Return!K167-'Return Estimasi'!K167</f>
        <v>-1.7273145731246105E-2</v>
      </c>
      <c r="L167">
        <f>Return!L167-'Return Estimasi'!L167</f>
        <v>-1.8278415735699334E-2</v>
      </c>
      <c r="M167">
        <f>Return!M167-'Return Estimasi'!M167</f>
        <v>2.735239363443223E-4</v>
      </c>
      <c r="N167">
        <f>Return!N167-'Return Estimasi'!N167</f>
        <v>2.1522893103941898E-2</v>
      </c>
      <c r="O167">
        <f>Return!O167-'Return Estimasi'!O167</f>
        <v>-1.560869694657417E-2</v>
      </c>
      <c r="P167">
        <f>Return!P167-'Return Estimasi'!P167</f>
        <v>-2.3167924218122918E-2</v>
      </c>
      <c r="Q167">
        <f>Return!Q167-'Return Estimasi'!Q167</f>
        <v>9.4607079195183422E-5</v>
      </c>
      <c r="R167">
        <f>Return!R167-'Return Estimasi'!R167</f>
        <v>1.7807470615713469E-2</v>
      </c>
      <c r="S167">
        <f>Return!S167-'Return Estimasi'!S167</f>
        <v>5.388836252468469E-3</v>
      </c>
      <c r="T167">
        <f>Return!T167-'Return Estimasi'!T167</f>
        <v>-2.7877081268181263E-2</v>
      </c>
      <c r="U167">
        <f>Return!U167-'Return Estimasi'!U167</f>
        <v>-9.2309928281509267E-3</v>
      </c>
      <c r="V167">
        <f>Return!V167-'Return Estimasi'!V167</f>
        <v>7.7125897167065619E-5</v>
      </c>
      <c r="W167">
        <f>Return!W167-'Return Estimasi'!W167</f>
        <v>-1.4365471453976136E-2</v>
      </c>
      <c r="X167">
        <f>Return!X167-'Return Estimasi'!X167</f>
        <v>-5.3528944334066859E-3</v>
      </c>
      <c r="Y167">
        <f>Return!Y167-'Return Estimasi'!Y167</f>
        <v>-4.6828368511082274E-3</v>
      </c>
      <c r="Z167">
        <f>Return!Z167-'Return Estimasi'!Z167</f>
        <v>-6.5202391571606375E-3</v>
      </c>
      <c r="AA167">
        <f>Return!AA167-'Return Estimasi'!AA167</f>
        <v>-1.1283162785557604E-2</v>
      </c>
      <c r="AB167">
        <f>Return!AB167-'Return Estimasi'!AB167</f>
        <v>-1.2429044823288438E-2</v>
      </c>
      <c r="AC167">
        <f>Return!AC167-'Return Estimasi'!AC167</f>
        <v>-2.2554367540088466E-2</v>
      </c>
      <c r="AD167">
        <f>Return!AD167-'Return Estimasi'!AD167</f>
        <v>2.3117085297721272E-3</v>
      </c>
      <c r="AE167">
        <f>Return!AE167-'Return Estimasi'!AE167</f>
        <v>-9.3880351695247791E-3</v>
      </c>
      <c r="AF167">
        <f>Return!AF167-'Return Estimasi'!AF167</f>
        <v>-16.723830588938185</v>
      </c>
    </row>
    <row r="168" spans="1:32" x14ac:dyDescent="0.3">
      <c r="A168" s="3" t="s">
        <v>100</v>
      </c>
      <c r="B168">
        <f>('Data Saham'!B168-'Data Saham'!B167)/'Data Saham'!B167</f>
        <v>-1.8633540372664723E-4</v>
      </c>
      <c r="C168">
        <f>Return!C168-'Return Estimasi'!C168</f>
        <v>7.7693427203443782E-3</v>
      </c>
      <c r="D168">
        <f>Return!D168-'Return Estimasi'!D168</f>
        <v>6.7520291475292151E-3</v>
      </c>
      <c r="E168">
        <f>Return!E168-'Return Estimasi'!E168</f>
        <v>1.074381922254599E-2</v>
      </c>
      <c r="F168">
        <f>Return!F168-'Return Estimasi'!F168</f>
        <v>-6.5195246354351156E-3</v>
      </c>
      <c r="G168">
        <f>Return!G168-'Return Estimasi'!G168</f>
        <v>1.2835795417505642E-2</v>
      </c>
      <c r="H168">
        <f>Return!H168-'Return Estimasi'!H168</f>
        <v>3.5942963698902711E-3</v>
      </c>
      <c r="I168">
        <f>Return!I168-'Return Estimasi'!I168</f>
        <v>-3.9555237311627751E-3</v>
      </c>
      <c r="J168">
        <f>Return!J168-'Return Estimasi'!J168</f>
        <v>-6.8796546572719199E-3</v>
      </c>
      <c r="K168">
        <f>Return!K168-'Return Estimasi'!K168</f>
        <v>-2.7052245133672052E-2</v>
      </c>
      <c r="L168">
        <f>Return!L168-'Return Estimasi'!L168</f>
        <v>-9.3815607761736329E-3</v>
      </c>
      <c r="M168">
        <f>Return!M168-'Return Estimasi'!M168</f>
        <v>4.6968658451053948E-2</v>
      </c>
      <c r="N168">
        <f>Return!N168-'Return Estimasi'!N168</f>
        <v>-1.7848245993000524E-2</v>
      </c>
      <c r="O168">
        <f>Return!O168-'Return Estimasi'!O168</f>
        <v>-5.3247629060242715E-3</v>
      </c>
      <c r="P168">
        <f>Return!P168-'Return Estimasi'!P168</f>
        <v>-7.1299675531003512E-3</v>
      </c>
      <c r="Q168">
        <f>Return!Q168-'Return Estimasi'!Q168</f>
        <v>-1.2716983344300469E-2</v>
      </c>
      <c r="R168">
        <f>Return!R168-'Return Estimasi'!R168</f>
        <v>-3.7960779709428211E-2</v>
      </c>
      <c r="S168">
        <f>Return!S168-'Return Estimasi'!S168</f>
        <v>1.0700393982933274E-2</v>
      </c>
      <c r="T168">
        <f>Return!T168-'Return Estimasi'!T168</f>
        <v>-9.2077824530275559E-3</v>
      </c>
      <c r="U168">
        <f>Return!U168-'Return Estimasi'!U168</f>
        <v>-2.2595143182315643E-2</v>
      </c>
      <c r="V168">
        <f>Return!V168-'Return Estimasi'!V168</f>
        <v>-6.8779035701719872E-3</v>
      </c>
      <c r="W168">
        <f>Return!W168-'Return Estimasi'!W168</f>
        <v>1.4241657592159238E-2</v>
      </c>
      <c r="X168">
        <f>Return!X168-'Return Estimasi'!X168</f>
        <v>-3.3647857944127096E-3</v>
      </c>
      <c r="Y168">
        <f>Return!Y168-'Return Estimasi'!Y168</f>
        <v>-1.4084794870518797E-2</v>
      </c>
      <c r="Z168">
        <f>Return!Z168-'Return Estimasi'!Z168</f>
        <v>-3.0928369483767381E-2</v>
      </c>
      <c r="AA168">
        <f>Return!AA168-'Return Estimasi'!AA168</f>
        <v>-2.1036949759488215E-2</v>
      </c>
      <c r="AB168">
        <f>Return!AB168-'Return Estimasi'!AB168</f>
        <v>1.6696812972882176E-2</v>
      </c>
      <c r="AC168">
        <f>Return!AC168-'Return Estimasi'!AC168</f>
        <v>-1.2810115485160908E-2</v>
      </c>
      <c r="AD168">
        <f>Return!AD168-'Return Estimasi'!AD168</f>
        <v>-9.5571728764138678E-3</v>
      </c>
      <c r="AE168">
        <f>Return!AE168-'Return Estimasi'!AE168</f>
        <v>-5.3488589380233991E-3</v>
      </c>
      <c r="AF168">
        <f>Return!AF168-'Return Estimasi'!AF168</f>
        <v>-16.690906745457134</v>
      </c>
    </row>
    <row r="169" spans="1:32" x14ac:dyDescent="0.3">
      <c r="A169" s="4" t="s">
        <v>101</v>
      </c>
      <c r="B169">
        <f>('Data Saham'!B169-'Data Saham'!B168)/'Data Saham'!B168</f>
        <v>5.5480954406218414E-3</v>
      </c>
      <c r="C169">
        <f>Return!C169-'Return Estimasi'!C169</f>
        <v>1.4677550003419249E-2</v>
      </c>
      <c r="D169">
        <f>Return!D169-'Return Estimasi'!D169</f>
        <v>3.6173567032193885E-3</v>
      </c>
      <c r="E169">
        <f>Return!E169-'Return Estimasi'!E169</f>
        <v>9.2303215088598359E-3</v>
      </c>
      <c r="F169">
        <f>Return!F169-'Return Estimasi'!F169</f>
        <v>-4.5893585786914879E-3</v>
      </c>
      <c r="G169">
        <f>Return!G169-'Return Estimasi'!G169</f>
        <v>1.0285596675381131E-2</v>
      </c>
      <c r="H169">
        <f>Return!H169-'Return Estimasi'!H169</f>
        <v>3.6272076702181261E-3</v>
      </c>
      <c r="I169">
        <f>Return!I169-'Return Estimasi'!I169</f>
        <v>-6.420885295275772E-3</v>
      </c>
      <c r="J169">
        <f>Return!J169-'Return Estimasi'!J169</f>
        <v>-1.533938138453183E-3</v>
      </c>
      <c r="K169">
        <f>Return!K169-'Return Estimasi'!K169</f>
        <v>9.4137662317946812E-3</v>
      </c>
      <c r="L169">
        <f>Return!L169-'Return Estimasi'!L169</f>
        <v>-2.6457919543480561E-3</v>
      </c>
      <c r="M169">
        <f>Return!M169-'Return Estimasi'!M169</f>
        <v>-3.9193651498503988E-3</v>
      </c>
      <c r="N169">
        <f>Return!N169-'Return Estimasi'!N169</f>
        <v>-6.7831818008551259E-2</v>
      </c>
      <c r="O169">
        <f>Return!O169-'Return Estimasi'!O169</f>
        <v>9.0401732093811846E-3</v>
      </c>
      <c r="P169">
        <f>Return!P169-'Return Estimasi'!P169</f>
        <v>6.2600265492824591E-3</v>
      </c>
      <c r="Q169">
        <f>Return!Q169-'Return Estimasi'!Q169</f>
        <v>-4.2297593925607344E-3</v>
      </c>
      <c r="R169">
        <f>Return!R169-'Return Estimasi'!R169</f>
        <v>-1.0505029297692717E-2</v>
      </c>
      <c r="S169">
        <f>Return!S169-'Return Estimasi'!S169</f>
        <v>-4.4503489240149532E-2</v>
      </c>
      <c r="T169">
        <f>Return!T169-'Return Estimasi'!T169</f>
        <v>-4.1478463625654938E-2</v>
      </c>
      <c r="U169">
        <f>Return!U169-'Return Estimasi'!U169</f>
        <v>-6.3219670922571407E-3</v>
      </c>
      <c r="V169">
        <f>Return!V169-'Return Estimasi'!V169</f>
        <v>-5.9533847678306159E-3</v>
      </c>
      <c r="W169">
        <f>Return!W169-'Return Estimasi'!W169</f>
        <v>-1.541506801011407E-2</v>
      </c>
      <c r="X169">
        <f>Return!X169-'Return Estimasi'!X169</f>
        <v>3.5196160333872843E-2</v>
      </c>
      <c r="Y169">
        <f>Return!Y169-'Return Estimasi'!Y169</f>
        <v>-8.1808556422851876E-3</v>
      </c>
      <c r="Z169">
        <f>Return!Z169-'Return Estimasi'!Z169</f>
        <v>1.5686887461619965E-2</v>
      </c>
      <c r="AA169">
        <f>Return!AA169-'Return Estimasi'!AA169</f>
        <v>2.1933247052260942E-2</v>
      </c>
      <c r="AB169">
        <f>Return!AB169-'Return Estimasi'!AB169</f>
        <v>-5.112029471081804E-2</v>
      </c>
      <c r="AC169">
        <f>Return!AC169-'Return Estimasi'!AC169</f>
        <v>6.0548572960131492E-3</v>
      </c>
      <c r="AD169">
        <f>Return!AD169-'Return Estimasi'!AD169</f>
        <v>2.2087684424181627E-4</v>
      </c>
      <c r="AE169">
        <f>Return!AE169-'Return Estimasi'!AE169</f>
        <v>1.3563851991752803E-3</v>
      </c>
      <c r="AF169">
        <f>Return!AF169-'Return Estimasi'!AF169</f>
        <v>-16.506588824150871</v>
      </c>
    </row>
    <row r="170" spans="1:32" x14ac:dyDescent="0.3">
      <c r="A170" s="3" t="s">
        <v>102</v>
      </c>
      <c r="B170">
        <f>('Data Saham'!B170-'Data Saham'!B169)/'Data Saham'!B169</f>
        <v>-6.5285473952342099E-3</v>
      </c>
      <c r="C170">
        <f>Return!C170-'Return Estimasi'!C170</f>
        <v>-1.316109632940273E-2</v>
      </c>
      <c r="D170">
        <f>Return!D170-'Return Estimasi'!D170</f>
        <v>1.2851131033405459E-2</v>
      </c>
      <c r="E170">
        <f>Return!E170-'Return Estimasi'!E170</f>
        <v>8.8306293231314031E-5</v>
      </c>
      <c r="F170">
        <f>Return!F170-'Return Estimasi'!F170</f>
        <v>2.1585101609358382E-2</v>
      </c>
      <c r="G170">
        <f>Return!G170-'Return Estimasi'!G170</f>
        <v>7.0335800608323368E-3</v>
      </c>
      <c r="H170">
        <f>Return!H170-'Return Estimasi'!H170</f>
        <v>6.368284949090277E-5</v>
      </c>
      <c r="I170">
        <f>Return!I170-'Return Estimasi'!I170</f>
        <v>-1.3380315944315812E-3</v>
      </c>
      <c r="J170">
        <f>Return!J170-'Return Estimasi'!J170</f>
        <v>-1.2149271126007694E-2</v>
      </c>
      <c r="K170">
        <f>Return!K170-'Return Estimasi'!K170</f>
        <v>-1.0882002828439891E-2</v>
      </c>
      <c r="L170">
        <f>Return!L170-'Return Estimasi'!L170</f>
        <v>-1.0536672212313074E-2</v>
      </c>
      <c r="M170">
        <f>Return!M170-'Return Estimasi'!M170</f>
        <v>-1.5120765899530545E-2</v>
      </c>
      <c r="N170">
        <f>Return!N170-'Return Estimasi'!N170</f>
        <v>-2.8422816826590223E-2</v>
      </c>
      <c r="O170">
        <f>Return!O170-'Return Estimasi'!O170</f>
        <v>-7.7514134000978138E-3</v>
      </c>
      <c r="P170">
        <f>Return!P170-'Return Estimasi'!P170</f>
        <v>-1.5518315659034899E-3</v>
      </c>
      <c r="Q170">
        <f>Return!Q170-'Return Estimasi'!Q170</f>
        <v>-2.3892113065645815E-3</v>
      </c>
      <c r="R170">
        <f>Return!R170-'Return Estimasi'!R170</f>
        <v>-3.2071513958363607E-2</v>
      </c>
      <c r="S170">
        <f>Return!S170-'Return Estimasi'!S170</f>
        <v>2.316925339584577E-2</v>
      </c>
      <c r="T170">
        <f>Return!T170-'Return Estimasi'!T170</f>
        <v>1.1197306426406303E-2</v>
      </c>
      <c r="U170">
        <f>Return!U170-'Return Estimasi'!U170</f>
        <v>-1.6166514696265351E-2</v>
      </c>
      <c r="V170">
        <f>Return!V170-'Return Estimasi'!V170</f>
        <v>-2.1630369965981E-2</v>
      </c>
      <c r="W170">
        <f>Return!W170-'Return Estimasi'!W170</f>
        <v>-4.0249679771606706E-2</v>
      </c>
      <c r="X170">
        <f>Return!X170-'Return Estimasi'!X170</f>
        <v>6.6335981415482609E-2</v>
      </c>
      <c r="Y170">
        <f>Return!Y170-'Return Estimasi'!Y170</f>
        <v>9.490886068138046E-3</v>
      </c>
      <c r="Z170">
        <f>Return!Z170-'Return Estimasi'!Z170</f>
        <v>1.4546181991237292E-3</v>
      </c>
      <c r="AA170">
        <f>Return!AA170-'Return Estimasi'!AA170</f>
        <v>-9.7208219456174846E-3</v>
      </c>
      <c r="AB170">
        <f>Return!AB170-'Return Estimasi'!AB170</f>
        <v>-8.37897418606472E-3</v>
      </c>
      <c r="AC170">
        <f>Return!AC170-'Return Estimasi'!AC170</f>
        <v>-1.3257727859891801E-2</v>
      </c>
      <c r="AD170">
        <f>Return!AD170-'Return Estimasi'!AD170</f>
        <v>1.178278473034733E-2</v>
      </c>
      <c r="AE170">
        <f>Return!AE170-'Return Estimasi'!AE170</f>
        <v>5.0148923265137969E-3</v>
      </c>
      <c r="AF170">
        <f>Return!AF170-'Return Estimasi'!AF170</f>
        <v>-16.857795982632645</v>
      </c>
    </row>
    <row r="171" spans="1:32" x14ac:dyDescent="0.3">
      <c r="A171" s="4" t="s">
        <v>103</v>
      </c>
      <c r="B171">
        <f>('Data Saham'!B171-'Data Saham'!B170)/'Data Saham'!B170</f>
        <v>5.3396763665803986E-3</v>
      </c>
      <c r="C171">
        <f>Return!C171-'Return Estimasi'!C171</f>
        <v>5.9809962670222972E-3</v>
      </c>
      <c r="D171">
        <f>Return!D171-'Return Estimasi'!D171</f>
        <v>1.1225773898055772E-3</v>
      </c>
      <c r="E171">
        <f>Return!E171-'Return Estimasi'!E171</f>
        <v>7.2235462612613857E-3</v>
      </c>
      <c r="F171">
        <f>Return!F171-'Return Estimasi'!F171</f>
        <v>-4.4128239399428568E-3</v>
      </c>
      <c r="G171">
        <f>Return!G171-'Return Estimasi'!G171</f>
        <v>1.8592364875824104E-3</v>
      </c>
      <c r="H171">
        <f>Return!H171-'Return Estimasi'!H171</f>
        <v>-7.936122376665862E-3</v>
      </c>
      <c r="I171">
        <f>Return!I171-'Return Estimasi'!I171</f>
        <v>8.6111733322798423E-3</v>
      </c>
      <c r="J171">
        <f>Return!J171-'Return Estimasi'!J171</f>
        <v>2.0973615456675865E-3</v>
      </c>
      <c r="K171">
        <f>Return!K171-'Return Estimasi'!K171</f>
        <v>1.4929112815539663E-2</v>
      </c>
      <c r="L171">
        <f>Return!L171-'Return Estimasi'!L171</f>
        <v>8.07192250712124E-4</v>
      </c>
      <c r="M171">
        <f>Return!M171-'Return Estimasi'!M171</f>
        <v>-1.3618352129970094E-2</v>
      </c>
      <c r="N171">
        <f>Return!N171-'Return Estimasi'!N171</f>
        <v>2.6960147582884397E-2</v>
      </c>
      <c r="O171">
        <f>Return!O171-'Return Estimasi'!O171</f>
        <v>9.1471329351547094E-3</v>
      </c>
      <c r="P171">
        <f>Return!P171-'Return Estimasi'!P171</f>
        <v>1.5702595659881528E-2</v>
      </c>
      <c r="Q171">
        <f>Return!Q171-'Return Estimasi'!Q171</f>
        <v>7.0755629589781925E-3</v>
      </c>
      <c r="R171">
        <f>Return!R171-'Return Estimasi'!R171</f>
        <v>4.008705033191861E-2</v>
      </c>
      <c r="S171">
        <f>Return!S171-'Return Estimasi'!S171</f>
        <v>7.8282341713293742E-3</v>
      </c>
      <c r="T171">
        <f>Return!T171-'Return Estimasi'!T171</f>
        <v>3.8383925375149265E-2</v>
      </c>
      <c r="U171">
        <f>Return!U171-'Return Estimasi'!U171</f>
        <v>6.0835531509500829E-2</v>
      </c>
      <c r="V171">
        <f>Return!V171-'Return Estimasi'!V171</f>
        <v>-3.0359406470859066E-3</v>
      </c>
      <c r="W171">
        <f>Return!W171-'Return Estimasi'!W171</f>
        <v>-3.4720418609977426E-2</v>
      </c>
      <c r="X171">
        <f>Return!X171-'Return Estimasi'!X171</f>
        <v>-4.8853740068554074E-3</v>
      </c>
      <c r="Y171">
        <f>Return!Y171-'Return Estimasi'!Y171</f>
        <v>1.0787860369007063E-2</v>
      </c>
      <c r="Z171">
        <f>Return!Z171-'Return Estimasi'!Z171</f>
        <v>1.5642541164080383E-3</v>
      </c>
      <c r="AA171">
        <f>Return!AA171-'Return Estimasi'!AA171</f>
        <v>-4.8057929452174943E-3</v>
      </c>
      <c r="AB171">
        <f>Return!AB171-'Return Estimasi'!AB171</f>
        <v>-2.1140429316830824E-2</v>
      </c>
      <c r="AC171">
        <f>Return!AC171-'Return Estimasi'!AC171</f>
        <v>2.8264716785658325E-4</v>
      </c>
      <c r="AD171">
        <f>Return!AD171-'Return Estimasi'!AD171</f>
        <v>-1.4859625240998424E-2</v>
      </c>
      <c r="AE171">
        <f>Return!AE171-'Return Estimasi'!AE171</f>
        <v>-4.0401537787907752E-3</v>
      </c>
      <c r="AF171">
        <f>Return!AF171-'Return Estimasi'!AF171</f>
        <v>-16.558038380925506</v>
      </c>
    </row>
    <row r="172" spans="1:32" x14ac:dyDescent="0.3">
      <c r="A172" s="3" t="s">
        <v>104</v>
      </c>
      <c r="B172">
        <f>('Data Saham'!B172-'Data Saham'!B171)/'Data Saham'!B171</f>
        <v>1.5868522038688915E-3</v>
      </c>
      <c r="C172">
        <f>Return!C172-'Return Estimasi'!C172</f>
        <v>-5.6236554822130724E-3</v>
      </c>
      <c r="D172">
        <f>Return!D172-'Return Estimasi'!D172</f>
        <v>-5.2436322856681625E-3</v>
      </c>
      <c r="E172">
        <f>Return!E172-'Return Estimasi'!E172</f>
        <v>1.6926879588946703E-2</v>
      </c>
      <c r="F172">
        <f>Return!F172-'Return Estimasi'!F172</f>
        <v>-1.2341155568527614E-3</v>
      </c>
      <c r="G172">
        <f>Return!G172-'Return Estimasi'!G172</f>
        <v>-5.7870305008554078E-3</v>
      </c>
      <c r="H172">
        <f>Return!H172-'Return Estimasi'!H172</f>
        <v>2.3860095878648069E-3</v>
      </c>
      <c r="I172">
        <f>Return!I172-'Return Estimasi'!I172</f>
        <v>-7.7358969501504218E-3</v>
      </c>
      <c r="J172">
        <f>Return!J172-'Return Estimasi'!J172</f>
        <v>6.72141866032578E-3</v>
      </c>
      <c r="K172">
        <f>Return!K172-'Return Estimasi'!K172</f>
        <v>-1.0627219549051777E-2</v>
      </c>
      <c r="L172">
        <f>Return!L172-'Return Estimasi'!L172</f>
        <v>-2.3492780785179064E-3</v>
      </c>
      <c r="M172">
        <f>Return!M172-'Return Estimasi'!M172</f>
        <v>-1.3321565488257303E-2</v>
      </c>
      <c r="N172">
        <f>Return!N172-'Return Estimasi'!N172</f>
        <v>-3.1267845709437483E-2</v>
      </c>
      <c r="O172">
        <f>Return!O172-'Return Estimasi'!O172</f>
        <v>-4.876283263973429E-4</v>
      </c>
      <c r="P172">
        <f>Return!P172-'Return Estimasi'!P172</f>
        <v>4.847809878560027E-4</v>
      </c>
      <c r="Q172">
        <f>Return!Q172-'Return Estimasi'!Q172</f>
        <v>-5.724280539387127E-5</v>
      </c>
      <c r="R172">
        <f>Return!R172-'Return Estimasi'!R172</f>
        <v>-1.6348662609814196E-2</v>
      </c>
      <c r="S172">
        <f>Return!S172-'Return Estimasi'!S172</f>
        <v>-4.9789819570788168E-3</v>
      </c>
      <c r="T172">
        <f>Return!T172-'Return Estimasi'!T172</f>
        <v>-1.0187731802664758E-2</v>
      </c>
      <c r="U172">
        <f>Return!U172-'Return Estimasi'!U172</f>
        <v>-2.4121854962984048E-2</v>
      </c>
      <c r="V172">
        <f>Return!V172-'Return Estimasi'!V172</f>
        <v>-1.2414947807806562E-2</v>
      </c>
      <c r="W172">
        <f>Return!W172-'Return Estimasi'!W172</f>
        <v>-1.3823769389023398E-2</v>
      </c>
      <c r="X172">
        <f>Return!X172-'Return Estimasi'!X172</f>
        <v>-4.5690539189023043E-2</v>
      </c>
      <c r="Y172">
        <f>Return!Y172-'Return Estimasi'!Y172</f>
        <v>-2.3538000179515812E-2</v>
      </c>
      <c r="Z172">
        <f>Return!Z172-'Return Estimasi'!Z172</f>
        <v>-9.4972964902366175E-3</v>
      </c>
      <c r="AA172">
        <f>Return!AA172-'Return Estimasi'!AA172</f>
        <v>-8.0041518117273183E-3</v>
      </c>
      <c r="AB172">
        <f>Return!AB172-'Return Estimasi'!AB172</f>
        <v>-7.9532446530146536E-4</v>
      </c>
      <c r="AC172">
        <f>Return!AC172-'Return Estimasi'!AC172</f>
        <v>-2.5049995962515828E-3</v>
      </c>
      <c r="AD172">
        <f>Return!AD172-'Return Estimasi'!AD172</f>
        <v>-1.1063404394788296E-3</v>
      </c>
      <c r="AE172">
        <f>Return!AE172-'Return Estimasi'!AE172</f>
        <v>-6.701740031468284E-3</v>
      </c>
      <c r="AF172">
        <f>Return!AF172-'Return Estimasi'!AF172</f>
        <v>-16.629490569141378</v>
      </c>
    </row>
    <row r="173" spans="1:32" x14ac:dyDescent="0.3">
      <c r="A173" s="4" t="s">
        <v>105</v>
      </c>
      <c r="B173">
        <f>('Data Saham'!B173-'Data Saham'!B172)/'Data Saham'!B172</f>
        <v>-6.6152647531089476E-4</v>
      </c>
      <c r="C173">
        <f>Return!C173-'Return Estimasi'!C173</f>
        <v>-7.5998294421139026E-4</v>
      </c>
      <c r="D173">
        <f>Return!D173-'Return Estimasi'!D173</f>
        <v>-8.0514107668244114E-3</v>
      </c>
      <c r="E173">
        <f>Return!E173-'Return Estimasi'!E173</f>
        <v>2.5948620045440282E-3</v>
      </c>
      <c r="F173">
        <f>Return!F173-'Return Estimasi'!F173</f>
        <v>-1.502476634839222E-2</v>
      </c>
      <c r="G173">
        <f>Return!G173-'Return Estimasi'!G173</f>
        <v>-3.9483378893917599E-2</v>
      </c>
      <c r="H173">
        <f>Return!H173-'Return Estimasi'!H173</f>
        <v>-7.5724055485259286E-6</v>
      </c>
      <c r="I173">
        <f>Return!I173-'Return Estimasi'!I173</f>
        <v>5.1485782747494246E-3</v>
      </c>
      <c r="J173">
        <f>Return!J173-'Return Estimasi'!J173</f>
        <v>7.3169950129532398E-3</v>
      </c>
      <c r="K173">
        <f>Return!K173-'Return Estimasi'!K173</f>
        <v>-1.9070886316189275E-2</v>
      </c>
      <c r="L173">
        <f>Return!L173-'Return Estimasi'!L173</f>
        <v>1.856061099794836E-3</v>
      </c>
      <c r="M173">
        <f>Return!M173-'Return Estimasi'!M173</f>
        <v>-2.796333239164852E-2</v>
      </c>
      <c r="N173">
        <f>Return!N173-'Return Estimasi'!N173</f>
        <v>4.9228481111677186E-2</v>
      </c>
      <c r="O173">
        <f>Return!O173-'Return Estimasi'!O173</f>
        <v>-1.6476627704238744E-2</v>
      </c>
      <c r="P173">
        <f>Return!P173-'Return Estimasi'!P173</f>
        <v>-1.5719531232324068E-2</v>
      </c>
      <c r="Q173">
        <f>Return!Q173-'Return Estimasi'!Q173</f>
        <v>-1.2172110978828407E-2</v>
      </c>
      <c r="R173">
        <f>Return!R173-'Return Estimasi'!R173</f>
        <v>1.2279571432475419E-3</v>
      </c>
      <c r="S173">
        <f>Return!S173-'Return Estimasi'!S173</f>
        <v>2.568870230806855E-3</v>
      </c>
      <c r="T173">
        <f>Return!T173-'Return Estimasi'!T173</f>
        <v>1.1606197242611947E-2</v>
      </c>
      <c r="U173">
        <f>Return!U173-'Return Estimasi'!U173</f>
        <v>1.9349839098629203E-2</v>
      </c>
      <c r="V173">
        <f>Return!V173-'Return Estimasi'!V173</f>
        <v>1.5638651139706365E-3</v>
      </c>
      <c r="W173">
        <f>Return!W173-'Return Estimasi'!W173</f>
        <v>4.778080983310215E-3</v>
      </c>
      <c r="X173">
        <f>Return!X173-'Return Estimasi'!X173</f>
        <v>1.6969003807374969E-2</v>
      </c>
      <c r="Y173">
        <f>Return!Y173-'Return Estimasi'!Y173</f>
        <v>-3.3101362881551586E-3</v>
      </c>
      <c r="Z173">
        <f>Return!Z173-'Return Estimasi'!Z173</f>
        <v>-3.1441776703066493E-3</v>
      </c>
      <c r="AA173">
        <f>Return!AA173-'Return Estimasi'!AA173</f>
        <v>-2.0555952982904569E-2</v>
      </c>
      <c r="AB173">
        <f>Return!AB173-'Return Estimasi'!AB173</f>
        <v>6.8238848036127397E-2</v>
      </c>
      <c r="AC173">
        <f>Return!AC173-'Return Estimasi'!AC173</f>
        <v>5.4220345544499773E-3</v>
      </c>
      <c r="AD173">
        <f>Return!AD173-'Return Estimasi'!AD173</f>
        <v>1.0510782088053612E-3</v>
      </c>
      <c r="AE173">
        <f>Return!AE173-'Return Estimasi'!AE173</f>
        <v>-2.168366485508311E-2</v>
      </c>
      <c r="AF173">
        <f>Return!AF173-'Return Estimasi'!AF173</f>
        <v>-16.704300479176759</v>
      </c>
    </row>
    <row r="174" spans="1:32" x14ac:dyDescent="0.3">
      <c r="A174" s="3" t="s">
        <v>106</v>
      </c>
      <c r="B174">
        <f>('Data Saham'!B174-'Data Saham'!B173)/'Data Saham'!B173</f>
        <v>1.8527872028142357E-2</v>
      </c>
      <c r="C174">
        <f>Return!C174-'Return Estimasi'!C174</f>
        <v>-5.3474836621632896E-3</v>
      </c>
      <c r="D174">
        <f>Return!D174-'Return Estimasi'!D174</f>
        <v>-1.4352646727607336E-2</v>
      </c>
      <c r="E174">
        <f>Return!E174-'Return Estimasi'!E174</f>
        <v>1.2093758092041405E-2</v>
      </c>
      <c r="F174">
        <f>Return!F174-'Return Estimasi'!F174</f>
        <v>-1.558345871781909E-2</v>
      </c>
      <c r="G174">
        <f>Return!G174-'Return Estimasi'!G174</f>
        <v>3.8834143730140512E-2</v>
      </c>
      <c r="H174">
        <f>Return!H174-'Return Estimasi'!H174</f>
        <v>-5.1357471853460436E-3</v>
      </c>
      <c r="I174">
        <f>Return!I174-'Return Estimasi'!I174</f>
        <v>-5.9872153594335373E-3</v>
      </c>
      <c r="J174">
        <f>Return!J174-'Return Estimasi'!J174</f>
        <v>4.0351485878685922E-2</v>
      </c>
      <c r="K174">
        <f>Return!K174-'Return Estimasi'!K174</f>
        <v>-1.6088542966203028E-2</v>
      </c>
      <c r="L174">
        <f>Return!L174-'Return Estimasi'!L174</f>
        <v>-5.9648337788176589E-4</v>
      </c>
      <c r="M174">
        <f>Return!M174-'Return Estimasi'!M174</f>
        <v>-1.6219145684541195E-2</v>
      </c>
      <c r="N174">
        <f>Return!N174-'Return Estimasi'!N174</f>
        <v>-1.0637313727726904E-2</v>
      </c>
      <c r="O174">
        <f>Return!O174-'Return Estimasi'!O174</f>
        <v>-4.6075281537506091E-4</v>
      </c>
      <c r="P174">
        <f>Return!P174-'Return Estimasi'!P174</f>
        <v>-1.4415274776305312E-2</v>
      </c>
      <c r="Q174">
        <f>Return!Q174-'Return Estimasi'!Q174</f>
        <v>-1.0720691567448081E-2</v>
      </c>
      <c r="R174">
        <f>Return!R174-'Return Estimasi'!R174</f>
        <v>-4.3065555208826913E-2</v>
      </c>
      <c r="S174">
        <f>Return!S174-'Return Estimasi'!S174</f>
        <v>-1.2094398804231266E-2</v>
      </c>
      <c r="T174">
        <f>Return!T174-'Return Estimasi'!T174</f>
        <v>-3.2031736178191599E-2</v>
      </c>
      <c r="U174">
        <f>Return!U174-'Return Estimasi'!U174</f>
        <v>-5.0173535690776247E-2</v>
      </c>
      <c r="V174">
        <f>Return!V174-'Return Estimasi'!V174</f>
        <v>-6.80100796464197E-3</v>
      </c>
      <c r="W174">
        <f>Return!W174-'Return Estimasi'!W174</f>
        <v>-3.4535870252053007E-2</v>
      </c>
      <c r="X174">
        <f>Return!X174-'Return Estimasi'!X174</f>
        <v>-3.8427211497407306E-2</v>
      </c>
      <c r="Y174">
        <f>Return!Y174-'Return Estimasi'!Y174</f>
        <v>8.7056064132111401E-3</v>
      </c>
      <c r="Z174">
        <f>Return!Z174-'Return Estimasi'!Z174</f>
        <v>-3.913923854789142E-3</v>
      </c>
      <c r="AA174">
        <f>Return!AA174-'Return Estimasi'!AA174</f>
        <v>-2.0065515257404846E-2</v>
      </c>
      <c r="AB174">
        <f>Return!AB174-'Return Estimasi'!AB174</f>
        <v>-3.0089401985822252E-3</v>
      </c>
      <c r="AC174">
        <f>Return!AC174-'Return Estimasi'!AC174</f>
        <v>-5.2102366735258324E-3</v>
      </c>
      <c r="AD174">
        <f>Return!AD174-'Return Estimasi'!AD174</f>
        <v>-2.2490202334173513E-2</v>
      </c>
      <c r="AE174">
        <f>Return!AE174-'Return Estimasi'!AE174</f>
        <v>-8.4204748149276816E-3</v>
      </c>
      <c r="AF174">
        <f>Return!AF174-'Return Estimasi'!AF174</f>
        <v>-16.15317538812134</v>
      </c>
    </row>
    <row r="175" spans="1:32" x14ac:dyDescent="0.3">
      <c r="A175" s="4" t="s">
        <v>107</v>
      </c>
      <c r="B175">
        <f>('Data Saham'!B175-'Data Saham'!B174)/'Data Saham'!B174</f>
        <v>-5.6439427087892182E-3</v>
      </c>
      <c r="C175">
        <f>Return!C175-'Return Estimasi'!C175</f>
        <v>9.4370561008752969E-3</v>
      </c>
      <c r="D175">
        <f>Return!D175-'Return Estimasi'!D175</f>
        <v>-3.332143003477113E-2</v>
      </c>
      <c r="E175">
        <f>Return!E175-'Return Estimasi'!E175</f>
        <v>-9.2592344017729949E-3</v>
      </c>
      <c r="F175">
        <f>Return!F175-'Return Estimasi'!F175</f>
        <v>1.1724208495753711E-2</v>
      </c>
      <c r="G175">
        <f>Return!G175-'Return Estimasi'!G175</f>
        <v>-1.0046917450719985E-2</v>
      </c>
      <c r="H175">
        <f>Return!H175-'Return Estimasi'!H175</f>
        <v>-5.164978548187699E-4</v>
      </c>
      <c r="I175">
        <f>Return!I175-'Return Estimasi'!I175</f>
        <v>3.1203315062620047E-2</v>
      </c>
      <c r="J175">
        <f>Return!J175-'Return Estimasi'!J175</f>
        <v>-2.5164515966512081E-2</v>
      </c>
      <c r="K175">
        <f>Return!K175-'Return Estimasi'!K175</f>
        <v>-6.674595817652282E-3</v>
      </c>
      <c r="L175">
        <f>Return!L175-'Return Estimasi'!L175</f>
        <v>-4.2067434021953141E-3</v>
      </c>
      <c r="M175">
        <f>Return!M175-'Return Estimasi'!M175</f>
        <v>2.4251596771425736E-2</v>
      </c>
      <c r="N175">
        <f>Return!N175-'Return Estimasi'!N175</f>
        <v>1.0155589146085267E-2</v>
      </c>
      <c r="O175">
        <f>Return!O175-'Return Estimasi'!O175</f>
        <v>3.2231829059216491E-3</v>
      </c>
      <c r="P175">
        <f>Return!P175-'Return Estimasi'!P175</f>
        <v>-2.4148111123194439E-3</v>
      </c>
      <c r="Q175">
        <f>Return!Q175-'Return Estimasi'!Q175</f>
        <v>3.7286595701447938E-4</v>
      </c>
      <c r="R175">
        <f>Return!R175-'Return Estimasi'!R175</f>
        <v>5.5427282789590845E-2</v>
      </c>
      <c r="S175">
        <f>Return!S175-'Return Estimasi'!S175</f>
        <v>-1.0630948404714022E-3</v>
      </c>
      <c r="T175">
        <f>Return!T175-'Return Estimasi'!T175</f>
        <v>-1.0340083205604568E-2</v>
      </c>
      <c r="U175">
        <f>Return!U175-'Return Estimasi'!U175</f>
        <v>-2.0776410073659206E-2</v>
      </c>
      <c r="V175">
        <f>Return!V175-'Return Estimasi'!V175</f>
        <v>7.9587495017296121E-3</v>
      </c>
      <c r="W175">
        <f>Return!W175-'Return Estimasi'!W175</f>
        <v>-1.1530510128795276E-2</v>
      </c>
      <c r="X175">
        <f>Return!X175-'Return Estimasi'!X175</f>
        <v>1.0494729298084241E-2</v>
      </c>
      <c r="Y175">
        <f>Return!Y175-'Return Estimasi'!Y175</f>
        <v>-4.6039657359827155E-3</v>
      </c>
      <c r="Z175">
        <f>Return!Z175-'Return Estimasi'!Z175</f>
        <v>-1.327261003947959E-2</v>
      </c>
      <c r="AA175">
        <f>Return!AA175-'Return Estimasi'!AA175</f>
        <v>-3.5162147553290963E-3</v>
      </c>
      <c r="AB175">
        <f>Return!AB175-'Return Estimasi'!AB175</f>
        <v>6.8185838608226497E-3</v>
      </c>
      <c r="AC175">
        <f>Return!AC175-'Return Estimasi'!AC175</f>
        <v>-8.0338408489037116E-3</v>
      </c>
      <c r="AD175">
        <f>Return!AD175-'Return Estimasi'!AD175</f>
        <v>5.8319266464632608E-3</v>
      </c>
      <c r="AE175">
        <f>Return!AE175-'Return Estimasi'!AE175</f>
        <v>4.3399694078458751E-3</v>
      </c>
      <c r="AF175">
        <f>Return!AF175-'Return Estimasi'!AF175</f>
        <v>-16.85016687245659</v>
      </c>
    </row>
    <row r="176" spans="1:32" x14ac:dyDescent="0.3">
      <c r="A176" s="3" t="s">
        <v>108</v>
      </c>
      <c r="B176">
        <f>('Data Saham'!B176-'Data Saham'!B175)/'Data Saham'!B175</f>
        <v>9.4169361690143501E-3</v>
      </c>
      <c r="C176">
        <f>Return!C176-'Return Estimasi'!C176</f>
        <v>-1.5273415050293651E-2</v>
      </c>
      <c r="D176">
        <f>Return!D176-'Return Estimasi'!D176</f>
        <v>-2.0887471947721534E-2</v>
      </c>
      <c r="E176">
        <f>Return!E176-'Return Estimasi'!E176</f>
        <v>-9.2927893721242421E-3</v>
      </c>
      <c r="F176">
        <f>Return!F176-'Return Estimasi'!F176</f>
        <v>-1.0128778481990704E-2</v>
      </c>
      <c r="G176">
        <f>Return!G176-'Return Estimasi'!G176</f>
        <v>9.0770044118540852E-3</v>
      </c>
      <c r="H176">
        <f>Return!H176-'Return Estimasi'!H176</f>
        <v>1.6467636421755673E-2</v>
      </c>
      <c r="I176">
        <f>Return!I176-'Return Estimasi'!I176</f>
        <v>7.8960476885958555E-4</v>
      </c>
      <c r="J176">
        <f>Return!J176-'Return Estimasi'!J176</f>
        <v>2.1492617652170198E-2</v>
      </c>
      <c r="K176">
        <f>Return!K176-'Return Estimasi'!K176</f>
        <v>-1.5576493039791519E-2</v>
      </c>
      <c r="L176">
        <f>Return!L176-'Return Estimasi'!L176</f>
        <v>-5.1988636318901597E-3</v>
      </c>
      <c r="M176">
        <f>Return!M176-'Return Estimasi'!M176</f>
        <v>-4.2520722742537664E-3</v>
      </c>
      <c r="N176">
        <f>Return!N176-'Return Estimasi'!N176</f>
        <v>6.3568484185037698E-3</v>
      </c>
      <c r="O176">
        <f>Return!O176-'Return Estimasi'!O176</f>
        <v>7.0213855327375951E-3</v>
      </c>
      <c r="P176">
        <f>Return!P176-'Return Estimasi'!P176</f>
        <v>2.9438183298051606E-3</v>
      </c>
      <c r="Q176">
        <f>Return!Q176-'Return Estimasi'!Q176</f>
        <v>2.7979412847192301E-2</v>
      </c>
      <c r="R176">
        <f>Return!R176-'Return Estimasi'!R176</f>
        <v>1.5652079609173399E-2</v>
      </c>
      <c r="S176">
        <f>Return!S176-'Return Estimasi'!S176</f>
        <v>5.5875403040562778E-3</v>
      </c>
      <c r="T176">
        <f>Return!T176-'Return Estimasi'!T176</f>
        <v>3.1315640110751344E-2</v>
      </c>
      <c r="U176">
        <f>Return!U176-'Return Estimasi'!U176</f>
        <v>0.15022325851422386</v>
      </c>
      <c r="V176">
        <f>Return!V176-'Return Estimasi'!V176</f>
        <v>6.9116325617008742E-3</v>
      </c>
      <c r="W176">
        <f>Return!W176-'Return Estimasi'!W176</f>
        <v>3.2121768650043951E-3</v>
      </c>
      <c r="X176">
        <f>Return!X176-'Return Estimasi'!X176</f>
        <v>2.4392882710273971E-3</v>
      </c>
      <c r="Y176">
        <f>Return!Y176-'Return Estimasi'!Y176</f>
        <v>-1.4007074667577807E-2</v>
      </c>
      <c r="Z176">
        <f>Return!Z176-'Return Estimasi'!Z176</f>
        <v>-1.1036110070433616E-2</v>
      </c>
      <c r="AA176">
        <f>Return!AA176-'Return Estimasi'!AA176</f>
        <v>-4.8217692542500086E-2</v>
      </c>
      <c r="AB176">
        <f>Return!AB176-'Return Estimasi'!AB176</f>
        <v>-9.0402743244250398E-3</v>
      </c>
      <c r="AC176">
        <f>Return!AC176-'Return Estimasi'!AC176</f>
        <v>-9.2576933506217582E-3</v>
      </c>
      <c r="AD176">
        <f>Return!AD176-'Return Estimasi'!AD176</f>
        <v>-3.4650126652162163E-3</v>
      </c>
      <c r="AE176">
        <f>Return!AE176-'Return Estimasi'!AE176</f>
        <v>-7.1509626273003465E-3</v>
      </c>
      <c r="AF176">
        <f>Return!AF176-'Return Estimasi'!AF176</f>
        <v>-16.409305250310581</v>
      </c>
    </row>
    <row r="177" spans="1:32" x14ac:dyDescent="0.3">
      <c r="A177" s="4" t="s">
        <v>109</v>
      </c>
      <c r="B177">
        <f>('Data Saham'!B177-'Data Saham'!B176)/'Data Saham'!B176</f>
        <v>-6.5402406148242827E-3</v>
      </c>
      <c r="C177">
        <f>Return!C177-'Return Estimasi'!C177</f>
        <v>-4.6123249499726293E-3</v>
      </c>
      <c r="D177">
        <f>Return!D177-'Return Estimasi'!D177</f>
        <v>-7.9441953824748515E-3</v>
      </c>
      <c r="E177">
        <f>Return!E177-'Return Estimasi'!E177</f>
        <v>-2.6512004558884212E-2</v>
      </c>
      <c r="F177">
        <f>Return!F177-'Return Estimasi'!F177</f>
        <v>-7.9557665000127738E-3</v>
      </c>
      <c r="G177">
        <f>Return!G177-'Return Estimasi'!G177</f>
        <v>-3.604854978698413E-2</v>
      </c>
      <c r="H177">
        <f>Return!H177-'Return Estimasi'!H177</f>
        <v>1.5964003789257619E-4</v>
      </c>
      <c r="I177">
        <f>Return!I177-'Return Estimasi'!I177</f>
        <v>-1.1768800454549661E-3</v>
      </c>
      <c r="J177">
        <f>Return!J177-'Return Estimasi'!J177</f>
        <v>-4.7954117870626272E-3</v>
      </c>
      <c r="K177">
        <f>Return!K177-'Return Estimasi'!K177</f>
        <v>-1.4134378703383146E-2</v>
      </c>
      <c r="L177">
        <f>Return!L177-'Return Estimasi'!L177</f>
        <v>5.92859095772039E-4</v>
      </c>
      <c r="M177">
        <f>Return!M177-'Return Estimasi'!M177</f>
        <v>-8.6705413196878113E-3</v>
      </c>
      <c r="N177">
        <f>Return!N177-'Return Estimasi'!N177</f>
        <v>1.5690148181663709E-2</v>
      </c>
      <c r="O177">
        <f>Return!O177-'Return Estimasi'!O177</f>
        <v>-4.8638496111491E-3</v>
      </c>
      <c r="P177">
        <f>Return!P177-'Return Estimasi'!P177</f>
        <v>7.6327648433224199E-3</v>
      </c>
      <c r="Q177">
        <f>Return!Q177-'Return Estimasi'!Q177</f>
        <v>-2.0437757028302387E-3</v>
      </c>
      <c r="R177">
        <f>Return!R177-'Return Estimasi'!R177</f>
        <v>-1.9234356007378203E-2</v>
      </c>
      <c r="S177">
        <f>Return!S177-'Return Estimasi'!S177</f>
        <v>-1.5254724867121938E-2</v>
      </c>
      <c r="T177">
        <f>Return!T177-'Return Estimasi'!T177</f>
        <v>-2.1671199672583661E-2</v>
      </c>
      <c r="U177">
        <f>Return!U177-'Return Estimasi'!U177</f>
        <v>-2.348218476605906E-2</v>
      </c>
      <c r="V177">
        <f>Return!V177-'Return Estimasi'!V177</f>
        <v>2.5818416830017815E-2</v>
      </c>
      <c r="W177">
        <f>Return!W177-'Return Estimasi'!W177</f>
        <v>3.5811413997375974E-2</v>
      </c>
      <c r="X177">
        <f>Return!X177-'Return Estimasi'!X177</f>
        <v>-1.2175610513412323E-2</v>
      </c>
      <c r="Y177">
        <f>Return!Y177-'Return Estimasi'!Y177</f>
        <v>-6.8192007785341877E-3</v>
      </c>
      <c r="Z177">
        <f>Return!Z177-'Return Estimasi'!Z177</f>
        <v>1.0899548536823834E-2</v>
      </c>
      <c r="AA177">
        <f>Return!AA177-'Return Estimasi'!AA177</f>
        <v>-2.8139825656057684E-3</v>
      </c>
      <c r="AB177">
        <f>Return!AB177-'Return Estimasi'!AB177</f>
        <v>7.7623708402460917E-3</v>
      </c>
      <c r="AC177">
        <f>Return!AC177-'Return Estimasi'!AC177</f>
        <v>1.6408597611205139E-2</v>
      </c>
      <c r="AD177">
        <f>Return!AD177-'Return Estimasi'!AD177</f>
        <v>-1.3820856438140964E-2</v>
      </c>
      <c r="AE177">
        <f>Return!AE177-'Return Estimasi'!AE177</f>
        <v>2.1972966392834366E-2</v>
      </c>
      <c r="AF177">
        <f>Return!AF177-'Return Estimasi'!AF177</f>
        <v>-16.869620521877838</v>
      </c>
    </row>
    <row r="178" spans="1:32" x14ac:dyDescent="0.3">
      <c r="A178" s="3" t="s">
        <v>110</v>
      </c>
      <c r="B178">
        <f>('Data Saham'!B178-'Data Saham'!B177)/'Data Saham'!B177</f>
        <v>-4.3482992369415488E-3</v>
      </c>
      <c r="C178">
        <f>Return!C178-'Return Estimasi'!C178</f>
        <v>-6.31742456986625E-4</v>
      </c>
      <c r="D178">
        <f>Return!D178-'Return Estimasi'!D178</f>
        <v>-1.294988299396633E-2</v>
      </c>
      <c r="E178">
        <f>Return!E178-'Return Estimasi'!E178</f>
        <v>-1.9941823476785558E-3</v>
      </c>
      <c r="F178">
        <f>Return!F178-'Return Estimasi'!F178</f>
        <v>-1.6896592577071389E-2</v>
      </c>
      <c r="G178">
        <f>Return!G178-'Return Estimasi'!G178</f>
        <v>-1.4507314025178608E-2</v>
      </c>
      <c r="H178">
        <f>Return!H178-'Return Estimasi'!H178</f>
        <v>-1.3294605667148181E-3</v>
      </c>
      <c r="I178">
        <f>Return!I178-'Return Estimasi'!I178</f>
        <v>-7.9878147032984778E-3</v>
      </c>
      <c r="J178">
        <f>Return!J178-'Return Estimasi'!J178</f>
        <v>-2.0808994723480294E-3</v>
      </c>
      <c r="K178">
        <f>Return!K178-'Return Estimasi'!K178</f>
        <v>2.7724022441074575E-3</v>
      </c>
      <c r="L178">
        <f>Return!L178-'Return Estimasi'!L178</f>
        <v>4.3368812434459638E-3</v>
      </c>
      <c r="M178">
        <f>Return!M178-'Return Estimasi'!M178</f>
        <v>-3.0896291996379822E-2</v>
      </c>
      <c r="N178">
        <f>Return!N178-'Return Estimasi'!N178</f>
        <v>-2.1454562655309473E-2</v>
      </c>
      <c r="O178">
        <f>Return!O178-'Return Estimasi'!O178</f>
        <v>3.9914586377590461E-2</v>
      </c>
      <c r="P178">
        <f>Return!P178-'Return Estimasi'!P178</f>
        <v>1.4964156176033992E-2</v>
      </c>
      <c r="Q178">
        <f>Return!Q178-'Return Estimasi'!Q178</f>
        <v>2.0223823222353481E-2</v>
      </c>
      <c r="R178">
        <f>Return!R178-'Return Estimasi'!R178</f>
        <v>-1.7021549125036329E-2</v>
      </c>
      <c r="S178">
        <f>Return!S178-'Return Estimasi'!S178</f>
        <v>-6.1049303312473973E-3</v>
      </c>
      <c r="T178">
        <f>Return!T178-'Return Estimasi'!T178</f>
        <v>1.3815701185561509E-2</v>
      </c>
      <c r="U178">
        <f>Return!U178-'Return Estimasi'!U178</f>
        <v>1.8458793079514056E-2</v>
      </c>
      <c r="V178">
        <f>Return!V178-'Return Estimasi'!V178</f>
        <v>-8.3235048127069285E-3</v>
      </c>
      <c r="W178">
        <f>Return!W178-'Return Estimasi'!W178</f>
        <v>4.5520044634536367E-4</v>
      </c>
      <c r="X178">
        <f>Return!X178-'Return Estimasi'!X178</f>
        <v>9.1189885830254176E-3</v>
      </c>
      <c r="Y178">
        <f>Return!Y178-'Return Estimasi'!Y178</f>
        <v>-4.6512134167844485E-4</v>
      </c>
      <c r="Z178">
        <f>Return!Z178-'Return Estimasi'!Z178</f>
        <v>-3.4885652728083427E-4</v>
      </c>
      <c r="AA178">
        <f>Return!AA178-'Return Estimasi'!AA178</f>
        <v>-1.378829828977704E-3</v>
      </c>
      <c r="AB178">
        <f>Return!AB178-'Return Estimasi'!AB178</f>
        <v>-9.9303228274666908E-3</v>
      </c>
      <c r="AC178">
        <f>Return!AC178-'Return Estimasi'!AC178</f>
        <v>-3.2688556932045859E-3</v>
      </c>
      <c r="AD178">
        <f>Return!AD178-'Return Estimasi'!AD178</f>
        <v>1.5059903698174743E-2</v>
      </c>
      <c r="AE178">
        <f>Return!AE178-'Return Estimasi'!AE178</f>
        <v>6.4462549159162025E-2</v>
      </c>
      <c r="AF178">
        <f>Return!AF178-'Return Estimasi'!AF178</f>
        <v>-16.784633895066708</v>
      </c>
    </row>
    <row r="179" spans="1:32" x14ac:dyDescent="0.3">
      <c r="A179" s="2">
        <v>45669</v>
      </c>
      <c r="B179">
        <f>('Data Saham'!B179-'Data Saham'!B178)/'Data Saham'!B178</f>
        <v>4.7104672741228402E-3</v>
      </c>
      <c r="C179">
        <f>Return!C179-'Return Estimasi'!C179</f>
        <v>1.2698647035462179E-2</v>
      </c>
      <c r="D179">
        <f>Return!D179-'Return Estimasi'!D179</f>
        <v>-8.5327351333332989E-3</v>
      </c>
      <c r="E179">
        <f>Return!E179-'Return Estimasi'!E179</f>
        <v>1.524410351162464E-3</v>
      </c>
      <c r="F179">
        <f>Return!F179-'Return Estimasi'!F179</f>
        <v>7.857216482187894E-3</v>
      </c>
      <c r="G179">
        <f>Return!G179-'Return Estimasi'!G179</f>
        <v>3.4024809955291828E-2</v>
      </c>
      <c r="H179">
        <f>Return!H179-'Return Estimasi'!H179</f>
        <v>-3.0339308688596092E-2</v>
      </c>
      <c r="I179">
        <f>Return!I179-'Return Estimasi'!I179</f>
        <v>-6.0483260177953187E-3</v>
      </c>
      <c r="J179">
        <f>Return!J179-'Return Estimasi'!J179</f>
        <v>-1.2933184610975053E-3</v>
      </c>
      <c r="K179">
        <f>Return!K179-'Return Estimasi'!K179</f>
        <v>-2.3030797022468956E-4</v>
      </c>
      <c r="L179">
        <f>Return!L179-'Return Estimasi'!L179</f>
        <v>-8.0293959654799858E-3</v>
      </c>
      <c r="M179">
        <f>Return!M179-'Return Estimasi'!M179</f>
        <v>1.7805808834088145E-2</v>
      </c>
      <c r="N179">
        <f>Return!N179-'Return Estimasi'!N179</f>
        <v>8.74524944937651E-3</v>
      </c>
      <c r="O179">
        <f>Return!O179-'Return Estimasi'!O179</f>
        <v>3.3920426885240926E-2</v>
      </c>
      <c r="P179">
        <f>Return!P179-'Return Estimasi'!P179</f>
        <v>-2.2625175346256271E-3</v>
      </c>
      <c r="Q179">
        <f>Return!Q179-'Return Estimasi'!Q179</f>
        <v>-1.7396068809141924E-2</v>
      </c>
      <c r="R179">
        <f>Return!R179-'Return Estimasi'!R179</f>
        <v>2.2492463633134864E-3</v>
      </c>
      <c r="S179">
        <f>Return!S179-'Return Estimasi'!S179</f>
        <v>1.4810855779842997E-2</v>
      </c>
      <c r="T179">
        <f>Return!T179-'Return Estimasi'!T179</f>
        <v>7.4059189502965916E-2</v>
      </c>
      <c r="U179">
        <f>Return!U179-'Return Estimasi'!U179</f>
        <v>-1.9149882522007385E-2</v>
      </c>
      <c r="V179">
        <f>Return!V179-'Return Estimasi'!V179</f>
        <v>-5.1860841818453553E-3</v>
      </c>
      <c r="W179">
        <f>Return!W179-'Return Estimasi'!W179</f>
        <v>-4.1906261031329162E-2</v>
      </c>
      <c r="X179">
        <f>Return!X179-'Return Estimasi'!X179</f>
        <v>-1.66288270736158E-2</v>
      </c>
      <c r="Y179">
        <f>Return!Y179-'Return Estimasi'!Y179</f>
        <v>-1.0485410533076969E-2</v>
      </c>
      <c r="Z179">
        <f>Return!Z179-'Return Estimasi'!Z179</f>
        <v>-7.4048175742677949E-3</v>
      </c>
      <c r="AA179">
        <f>Return!AA179-'Return Estimasi'!AA179</f>
        <v>-1.5992222562593854E-2</v>
      </c>
      <c r="AB179">
        <f>Return!AB179-'Return Estimasi'!AB179</f>
        <v>4.2790560149973775E-2</v>
      </c>
      <c r="AC179">
        <f>Return!AC179-'Return Estimasi'!AC179</f>
        <v>-2.2950296228362962E-2</v>
      </c>
      <c r="AD179">
        <f>Return!AD179-'Return Estimasi'!AD179</f>
        <v>6.2591072383815132E-3</v>
      </c>
      <c r="AE179">
        <f>Return!AE179-'Return Estimasi'!AE179</f>
        <v>-8.7956909992624212E-3</v>
      </c>
      <c r="AF179">
        <f>Return!AF179-'Return Estimasi'!AF179</f>
        <v>-16.558974943581863</v>
      </c>
    </row>
    <row r="180" spans="1:32" x14ac:dyDescent="0.3">
      <c r="A180" s="1">
        <v>45700</v>
      </c>
      <c r="B180">
        <f>('Data Saham'!B180-'Data Saham'!B179)/'Data Saham'!B179</f>
        <v>7.9835859811739438E-3</v>
      </c>
      <c r="C180">
        <f>Return!C180-'Return Estimasi'!C180</f>
        <v>-8.1948478822046113E-3</v>
      </c>
      <c r="D180">
        <f>Return!D180-'Return Estimasi'!D180</f>
        <v>1.865107778293797E-3</v>
      </c>
      <c r="E180">
        <f>Return!E180-'Return Estimasi'!E180</f>
        <v>-9.9476440811719531E-3</v>
      </c>
      <c r="F180">
        <f>Return!F180-'Return Estimasi'!F180</f>
        <v>-1.5933004564214551E-2</v>
      </c>
      <c r="G180">
        <f>Return!G180-'Return Estimasi'!G180</f>
        <v>-3.3467370790927084E-2</v>
      </c>
      <c r="H180">
        <f>Return!H180-'Return Estimasi'!H180</f>
        <v>3.3391840503907366E-2</v>
      </c>
      <c r="I180">
        <f>Return!I180-'Return Estimasi'!I180</f>
        <v>-3.7232654863670812E-2</v>
      </c>
      <c r="J180">
        <f>Return!J180-'Return Estimasi'!J180</f>
        <v>-2.264172800600197E-2</v>
      </c>
      <c r="K180">
        <f>Return!K180-'Return Estimasi'!K180</f>
        <v>2.1526539049043919E-3</v>
      </c>
      <c r="L180">
        <f>Return!L180-'Return Estimasi'!L180</f>
        <v>2.1504910034807166E-3</v>
      </c>
      <c r="M180">
        <f>Return!M180-'Return Estimasi'!M180</f>
        <v>-1.6205839547050706E-2</v>
      </c>
      <c r="N180">
        <f>Return!N180-'Return Estimasi'!N180</f>
        <v>-2.2004803399295333E-2</v>
      </c>
      <c r="O180">
        <f>Return!O180-'Return Estimasi'!O180</f>
        <v>-2.5160777489443387E-2</v>
      </c>
      <c r="P180">
        <f>Return!P180-'Return Estimasi'!P180</f>
        <v>1.3207315563149113E-2</v>
      </c>
      <c r="Q180">
        <f>Return!Q180-'Return Estimasi'!Q180</f>
        <v>-2.7978794114587938E-2</v>
      </c>
      <c r="R180">
        <f>Return!R180-'Return Estimasi'!R180</f>
        <v>-5.7775785781779089E-2</v>
      </c>
      <c r="S180">
        <f>Return!S180-'Return Estimasi'!S180</f>
        <v>4.2441679465503356E-3</v>
      </c>
      <c r="T180">
        <f>Return!T180-'Return Estimasi'!T180</f>
        <v>3.9947073267360828E-2</v>
      </c>
      <c r="U180">
        <f>Return!U180-'Return Estimasi'!U180</f>
        <v>-2.9896457002544837E-2</v>
      </c>
      <c r="V180">
        <f>Return!V180-'Return Estimasi'!V180</f>
        <v>1.2362658501517932E-2</v>
      </c>
      <c r="W180">
        <f>Return!W180-'Return Estimasi'!W180</f>
        <v>-8.7458461795852354E-3</v>
      </c>
      <c r="X180">
        <f>Return!X180-'Return Estimasi'!X180</f>
        <v>1.2418183477625706E-2</v>
      </c>
      <c r="Y180">
        <f>Return!Y180-'Return Estimasi'!Y180</f>
        <v>6.446626475565367E-3</v>
      </c>
      <c r="Z180">
        <f>Return!Z180-'Return Estimasi'!Z180</f>
        <v>4.4540245595383367E-3</v>
      </c>
      <c r="AA180">
        <f>Return!AA180-'Return Estimasi'!AA180</f>
        <v>-1.1667531392251643E-2</v>
      </c>
      <c r="AB180">
        <f>Return!AB180-'Return Estimasi'!AB180</f>
        <v>-3.7381726378368951E-2</v>
      </c>
      <c r="AC180">
        <f>Return!AC180-'Return Estimasi'!AC180</f>
        <v>-1.9974703916814159E-3</v>
      </c>
      <c r="AD180">
        <f>Return!AD180-'Return Estimasi'!AD180</f>
        <v>-1.237249415573129E-2</v>
      </c>
      <c r="AE180">
        <f>Return!AE180-'Return Estimasi'!AE180</f>
        <v>-2.7109997363415912E-2</v>
      </c>
      <c r="AF180">
        <f>Return!AF180-'Return Estimasi'!AF180</f>
        <v>-16.449639448094434</v>
      </c>
    </row>
    <row r="181" spans="1:32" x14ac:dyDescent="0.3">
      <c r="A181" s="2">
        <v>45728</v>
      </c>
      <c r="B181">
        <f>('Data Saham'!B181-'Data Saham'!B180)/'Data Saham'!B180</f>
        <v>-6.0925793543954764E-4</v>
      </c>
      <c r="C181">
        <f>Return!C181-'Return Estimasi'!C181</f>
        <v>-6.7927457361509165E-3</v>
      </c>
      <c r="D181">
        <f>Return!D181-'Return Estimasi'!D181</f>
        <v>-1.4061102743191676E-2</v>
      </c>
      <c r="E181">
        <f>Return!E181-'Return Estimasi'!E181</f>
        <v>6.7049845347930568E-3</v>
      </c>
      <c r="F181">
        <f>Return!F181-'Return Estimasi'!F181</f>
        <v>-1.7158918354494542E-3</v>
      </c>
      <c r="G181">
        <f>Return!G181-'Return Estimasi'!G181</f>
        <v>4.5490507000917803E-3</v>
      </c>
      <c r="H181">
        <f>Return!H181-'Return Estimasi'!H181</f>
        <v>-3.816322627775252E-3</v>
      </c>
      <c r="I181">
        <f>Return!I181-'Return Estimasi'!I181</f>
        <v>5.2098427363546666E-3</v>
      </c>
      <c r="J181">
        <f>Return!J181-'Return Estimasi'!J181</f>
        <v>-2.0598490953211927E-2</v>
      </c>
      <c r="K181">
        <f>Return!K181-'Return Estimasi'!K181</f>
        <v>4.6873961246671819E-3</v>
      </c>
      <c r="L181">
        <f>Return!L181-'Return Estimasi'!L181</f>
        <v>-4.3051214125599472E-4</v>
      </c>
      <c r="M181">
        <f>Return!M181-'Return Estimasi'!M181</f>
        <v>-2.4658341474674716E-2</v>
      </c>
      <c r="N181">
        <f>Return!N181-'Return Estimasi'!N181</f>
        <v>-5.6999377350183218E-3</v>
      </c>
      <c r="O181">
        <f>Return!O181-'Return Estimasi'!O181</f>
        <v>2.249732895772133E-2</v>
      </c>
      <c r="P181">
        <f>Return!P181-'Return Estimasi'!P181</f>
        <v>2.4163154456016212E-3</v>
      </c>
      <c r="Q181">
        <f>Return!Q181-'Return Estimasi'!Q181</f>
        <v>-8.4755689827151377E-3</v>
      </c>
      <c r="R181">
        <f>Return!R181-'Return Estimasi'!R181</f>
        <v>3.1899107568346824E-2</v>
      </c>
      <c r="S181">
        <f>Return!S181-'Return Estimasi'!S181</f>
        <v>6.7420597151042682E-3</v>
      </c>
      <c r="T181">
        <f>Return!T181-'Return Estimasi'!T181</f>
        <v>-1.5314808629869614E-2</v>
      </c>
      <c r="U181">
        <f>Return!U181-'Return Estimasi'!U181</f>
        <v>1.8218238246252585E-2</v>
      </c>
      <c r="V181">
        <f>Return!V181-'Return Estimasi'!V181</f>
        <v>6.7249291463983597E-3</v>
      </c>
      <c r="W181">
        <f>Return!W181-'Return Estimasi'!W181</f>
        <v>-3.9419402898750898E-3</v>
      </c>
      <c r="X181">
        <f>Return!X181-'Return Estimasi'!X181</f>
        <v>1.1165400567557651E-3</v>
      </c>
      <c r="Y181">
        <f>Return!Y181-'Return Estimasi'!Y181</f>
        <v>2.1473616281861015E-2</v>
      </c>
      <c r="Z181">
        <f>Return!Z181-'Return Estimasi'!Z181</f>
        <v>1.5100770017322596E-3</v>
      </c>
      <c r="AA181">
        <f>Return!AA181-'Return Estimasi'!AA181</f>
        <v>2.4210332125561263E-3</v>
      </c>
      <c r="AB181">
        <f>Return!AB181-'Return Estimasi'!AB181</f>
        <v>-1.38674719294819E-2</v>
      </c>
      <c r="AC181">
        <f>Return!AC181-'Return Estimasi'!AC181</f>
        <v>-6.5990899344003E-3</v>
      </c>
      <c r="AD181">
        <f>Return!AD181-'Return Estimasi'!AD181</f>
        <v>-4.1537149390377037E-3</v>
      </c>
      <c r="AE181">
        <f>Return!AE181-'Return Estimasi'!AE181</f>
        <v>-4.877665815189525E-3</v>
      </c>
      <c r="AF181">
        <f>Return!AF181-'Return Estimasi'!AF181</f>
        <v>-16.685489851919158</v>
      </c>
    </row>
    <row r="182" spans="1:32" x14ac:dyDescent="0.3">
      <c r="A182" s="1">
        <v>45759</v>
      </c>
      <c r="B182">
        <f>('Data Saham'!B182-'Data Saham'!B181)/'Data Saham'!B181</f>
        <v>3.298965720250941E-3</v>
      </c>
      <c r="C182">
        <f>Return!C182-'Return Estimasi'!C182</f>
        <v>-1.0230777169742781E-2</v>
      </c>
      <c r="D182">
        <f>Return!D182-'Return Estimasi'!D182</f>
        <v>3.7694248311301599E-3</v>
      </c>
      <c r="E182">
        <f>Return!E182-'Return Estimasi'!E182</f>
        <v>4.8913276754793105E-3</v>
      </c>
      <c r="F182">
        <f>Return!F182-'Return Estimasi'!F182</f>
        <v>9.0527832413817254E-3</v>
      </c>
      <c r="G182">
        <f>Return!G182-'Return Estimasi'!G182</f>
        <v>9.376809292184804E-3</v>
      </c>
      <c r="H182">
        <f>Return!H182-'Return Estimasi'!H182</f>
        <v>1.6267274902960233E-2</v>
      </c>
      <c r="I182">
        <f>Return!I182-'Return Estimasi'!I182</f>
        <v>9.6978211336289071E-3</v>
      </c>
      <c r="J182">
        <f>Return!J182-'Return Estimasi'!J182</f>
        <v>-4.433945416940234E-3</v>
      </c>
      <c r="K182">
        <f>Return!K182-'Return Estimasi'!K182</f>
        <v>-2.6048058552300048E-2</v>
      </c>
      <c r="L182">
        <f>Return!L182-'Return Estimasi'!L182</f>
        <v>-1.8515672296425389E-3</v>
      </c>
      <c r="M182">
        <f>Return!M182-'Return Estimasi'!M182</f>
        <v>-1.5165399569893006E-2</v>
      </c>
      <c r="N182">
        <f>Return!N182-'Return Estimasi'!N182</f>
        <v>-6.8514986723774247E-3</v>
      </c>
      <c r="O182">
        <f>Return!O182-'Return Estimasi'!O182</f>
        <v>-1.2061464402055893E-2</v>
      </c>
      <c r="P182">
        <f>Return!P182-'Return Estimasi'!P182</f>
        <v>7.9879428204090389E-3</v>
      </c>
      <c r="Q182">
        <f>Return!Q182-'Return Estimasi'!Q182</f>
        <v>3.0327923308562821E-2</v>
      </c>
      <c r="R182">
        <f>Return!R182-'Return Estimasi'!R182</f>
        <v>1.1674991037572116E-2</v>
      </c>
      <c r="S182">
        <f>Return!S182-'Return Estimasi'!S182</f>
        <v>-3.7919283213192455E-3</v>
      </c>
      <c r="T182">
        <f>Return!T182-'Return Estimasi'!T182</f>
        <v>-3.2523262225000141E-2</v>
      </c>
      <c r="U182">
        <f>Return!U182-'Return Estimasi'!U182</f>
        <v>-2.4836617024477169E-2</v>
      </c>
      <c r="V182">
        <f>Return!V182-'Return Estimasi'!V182</f>
        <v>6.5817777257121735E-2</v>
      </c>
      <c r="W182">
        <f>Return!W182-'Return Estimasi'!W182</f>
        <v>-5.636077565821412E-3</v>
      </c>
      <c r="X182">
        <f>Return!X182-'Return Estimasi'!X182</f>
        <v>6.5776294313799236E-2</v>
      </c>
      <c r="Y182">
        <f>Return!Y182-'Return Estimasi'!Y182</f>
        <v>4.4064226312585143E-3</v>
      </c>
      <c r="Z182">
        <f>Return!Z182-'Return Estimasi'!Z182</f>
        <v>-1.5242464863818314E-3</v>
      </c>
      <c r="AA182">
        <f>Return!AA182-'Return Estimasi'!AA182</f>
        <v>2.6431958544865231E-2</v>
      </c>
      <c r="AB182">
        <f>Return!AB182-'Return Estimasi'!AB182</f>
        <v>-2.5981518881662098E-3</v>
      </c>
      <c r="AC182">
        <f>Return!AC182-'Return Estimasi'!AC182</f>
        <v>-3.9815327088350127E-3</v>
      </c>
      <c r="AD182">
        <f>Return!AD182-'Return Estimasi'!AD182</f>
        <v>-1.3111883279002654E-2</v>
      </c>
      <c r="AE182">
        <f>Return!AE182-'Return Estimasi'!AE182</f>
        <v>-7.8885672230609785E-3</v>
      </c>
      <c r="AF182">
        <f>Return!AF182-'Return Estimasi'!AF182</f>
        <v>-16.587166590678692</v>
      </c>
    </row>
    <row r="183" spans="1:32" x14ac:dyDescent="0.3">
      <c r="A183" s="2">
        <v>45789</v>
      </c>
      <c r="B183">
        <f>('Data Saham'!B183-'Data Saham'!B182)/'Data Saham'!B182</f>
        <v>-8.6109117844500229E-4</v>
      </c>
      <c r="C183">
        <f>Return!C183-'Return Estimasi'!C183</f>
        <v>1.1497340493707445E-2</v>
      </c>
      <c r="D183">
        <f>Return!D183-'Return Estimasi'!D183</f>
        <v>-1.1176473537721072E-2</v>
      </c>
      <c r="E183">
        <f>Return!E183-'Return Estimasi'!E183</f>
        <v>-3.2991647132818232E-3</v>
      </c>
      <c r="F183">
        <f>Return!F183-'Return Estimasi'!F183</f>
        <v>-3.8010354833947118E-3</v>
      </c>
      <c r="G183">
        <f>Return!G183-'Return Estimasi'!G183</f>
        <v>1.8441685061606324E-2</v>
      </c>
      <c r="H183">
        <f>Return!H183-'Return Estimasi'!H183</f>
        <v>-3.5907810463532085E-3</v>
      </c>
      <c r="I183">
        <f>Return!I183-'Return Estimasi'!I183</f>
        <v>-1.6062528769107277E-2</v>
      </c>
      <c r="J183">
        <f>Return!J183-'Return Estimasi'!J183</f>
        <v>1.0983341365908901E-2</v>
      </c>
      <c r="K183">
        <f>Return!K183-'Return Estimasi'!K183</f>
        <v>2.2521105207011075E-3</v>
      </c>
      <c r="L183">
        <f>Return!L183-'Return Estimasi'!L183</f>
        <v>3.0752406958064788E-3</v>
      </c>
      <c r="M183">
        <f>Return!M183-'Return Estimasi'!M183</f>
        <v>-8.3149511152904448E-4</v>
      </c>
      <c r="N183">
        <f>Return!N183-'Return Estimasi'!N183</f>
        <v>-5.4625776514349725E-3</v>
      </c>
      <c r="O183">
        <f>Return!O183-'Return Estimasi'!O183</f>
        <v>-1.2744868372208255E-2</v>
      </c>
      <c r="P183">
        <f>Return!P183-'Return Estimasi'!P183</f>
        <v>-6.2907622710815514E-3</v>
      </c>
      <c r="Q183">
        <f>Return!Q183-'Return Estimasi'!Q183</f>
        <v>0.10617611929416773</v>
      </c>
      <c r="R183">
        <f>Return!R183-'Return Estimasi'!R183</f>
        <v>-2.3865278966549584E-2</v>
      </c>
      <c r="S183">
        <f>Return!S183-'Return Estimasi'!S183</f>
        <v>5.6327233806353872E-4</v>
      </c>
      <c r="T183">
        <f>Return!T183-'Return Estimasi'!T183</f>
        <v>3.1768540499289839E-3</v>
      </c>
      <c r="U183">
        <f>Return!U183-'Return Estimasi'!U183</f>
        <v>3.9986291866855414E-2</v>
      </c>
      <c r="V183">
        <f>Return!V183-'Return Estimasi'!V183</f>
        <v>6.5260990230595886E-3</v>
      </c>
      <c r="W183">
        <f>Return!W183-'Return Estimasi'!W183</f>
        <v>-6.0689518767162074E-4</v>
      </c>
      <c r="X183">
        <f>Return!X183-'Return Estimasi'!X183</f>
        <v>-2.1199769776807313E-2</v>
      </c>
      <c r="Y183">
        <f>Return!Y183-'Return Estimasi'!Y183</f>
        <v>-4.1917997620918249E-4</v>
      </c>
      <c r="Z183">
        <f>Return!Z183-'Return Estimasi'!Z183</f>
        <v>1.7055989553509524E-3</v>
      </c>
      <c r="AA183">
        <f>Return!AA183-'Return Estimasi'!AA183</f>
        <v>-3.3005094679528953E-2</v>
      </c>
      <c r="AB183">
        <f>Return!AB183-'Return Estimasi'!AB183</f>
        <v>1.7823197253603498E-3</v>
      </c>
      <c r="AC183">
        <f>Return!AC183-'Return Estimasi'!AC183</f>
        <v>-1.2442076820889063E-2</v>
      </c>
      <c r="AD183">
        <f>Return!AD183-'Return Estimasi'!AD183</f>
        <v>6.4781714500081007E-3</v>
      </c>
      <c r="AE183">
        <f>Return!AE183-'Return Estimasi'!AE183</f>
        <v>-2.1048312070198798E-2</v>
      </c>
      <c r="AF183">
        <f>Return!AF183-'Return Estimasi'!AF183</f>
        <v>-16.721273967980888</v>
      </c>
    </row>
    <row r="184" spans="1:32" x14ac:dyDescent="0.3">
      <c r="A184" s="1">
        <v>45881</v>
      </c>
      <c r="B184">
        <f>('Data Saham'!B184-'Data Saham'!B183)/'Data Saham'!B183</f>
        <v>9.0283987971402548E-3</v>
      </c>
      <c r="C184">
        <f>Return!C184-'Return Estimasi'!C184</f>
        <v>-6.1161373433134877E-3</v>
      </c>
      <c r="D184">
        <f>Return!D184-'Return Estimasi'!D184</f>
        <v>-4.5820744196818954E-3</v>
      </c>
      <c r="E184">
        <f>Return!E184-'Return Estimasi'!E184</f>
        <v>1.2915371510799981E-3</v>
      </c>
      <c r="F184">
        <f>Return!F184-'Return Estimasi'!F184</f>
        <v>-2.8752323611350421E-3</v>
      </c>
      <c r="G184">
        <f>Return!G184-'Return Estimasi'!G184</f>
        <v>-2.8669980715046429E-2</v>
      </c>
      <c r="H184">
        <f>Return!H184-'Return Estimasi'!H184</f>
        <v>-2.7954334186374888E-3</v>
      </c>
      <c r="I184">
        <f>Return!I184-'Return Estimasi'!I184</f>
        <v>1.1444116251141489E-3</v>
      </c>
      <c r="J184">
        <f>Return!J184-'Return Estimasi'!J184</f>
        <v>-2.0139334728910704E-2</v>
      </c>
      <c r="K184">
        <f>Return!K184-'Return Estimasi'!K184</f>
        <v>3.7012052502650043E-2</v>
      </c>
      <c r="L184">
        <f>Return!L184-'Return Estimasi'!L184</f>
        <v>-2.795274045734594E-3</v>
      </c>
      <c r="M184">
        <f>Return!M184-'Return Estimasi'!M184</f>
        <v>6.7434645230454587E-3</v>
      </c>
      <c r="N184">
        <f>Return!N184-'Return Estimasi'!N184</f>
        <v>3.4355249704764897E-2</v>
      </c>
      <c r="O184">
        <f>Return!O184-'Return Estimasi'!O184</f>
        <v>-1.5668703402310115E-3</v>
      </c>
      <c r="P184">
        <f>Return!P184-'Return Estimasi'!P184</f>
        <v>1.1957770408925126E-2</v>
      </c>
      <c r="Q184">
        <f>Return!Q184-'Return Estimasi'!Q184</f>
        <v>1.9642606781704292E-2</v>
      </c>
      <c r="R184">
        <f>Return!R184-'Return Estimasi'!R184</f>
        <v>2.1416439386064863E-2</v>
      </c>
      <c r="S184">
        <f>Return!S184-'Return Estimasi'!S184</f>
        <v>1.4725089826208926E-3</v>
      </c>
      <c r="T184">
        <f>Return!T184-'Return Estimasi'!T184</f>
        <v>-2.1428945708220327E-2</v>
      </c>
      <c r="U184">
        <f>Return!U184-'Return Estimasi'!U184</f>
        <v>-1.7008187113575005E-2</v>
      </c>
      <c r="V184">
        <f>Return!V184-'Return Estimasi'!V184</f>
        <v>-5.6879194010968082E-2</v>
      </c>
      <c r="W184">
        <f>Return!W184-'Return Estimasi'!W184</f>
        <v>-4.7945542119284049E-2</v>
      </c>
      <c r="X184">
        <f>Return!X184-'Return Estimasi'!X184</f>
        <v>-1.1784127442104652E-3</v>
      </c>
      <c r="Y184">
        <f>Return!Y184-'Return Estimasi'!Y184</f>
        <v>4.3190841582383517E-2</v>
      </c>
      <c r="Z184">
        <f>Return!Z184-'Return Estimasi'!Z184</f>
        <v>-1.2106422544301155E-3</v>
      </c>
      <c r="AA184">
        <f>Return!AA184-'Return Estimasi'!AA184</f>
        <v>-2.1045515971922737E-2</v>
      </c>
      <c r="AB184">
        <f>Return!AB184-'Return Estimasi'!AB184</f>
        <v>8.5118849149059705E-2</v>
      </c>
      <c r="AC184">
        <f>Return!AC184-'Return Estimasi'!AC184</f>
        <v>-8.9226172650941279E-3</v>
      </c>
      <c r="AD184">
        <f>Return!AD184-'Return Estimasi'!AD184</f>
        <v>-1.3455166404709944E-2</v>
      </c>
      <c r="AE184">
        <f>Return!AE184-'Return Estimasi'!AE184</f>
        <v>-2.3521188656634787E-2</v>
      </c>
      <c r="AF184">
        <f>Return!AF184-'Return Estimasi'!AF184</f>
        <v>-16.414449446957736</v>
      </c>
    </row>
    <row r="185" spans="1:32" x14ac:dyDescent="0.3">
      <c r="A185" s="2">
        <v>45912</v>
      </c>
      <c r="B185">
        <f>('Data Saham'!B185-'Data Saham'!B184)/'Data Saham'!B184</f>
        <v>-6.1441675181099602E-3</v>
      </c>
      <c r="C185">
        <f>Return!C185-'Return Estimasi'!C185</f>
        <v>-1.7179495670279904E-2</v>
      </c>
      <c r="D185">
        <f>Return!D185-'Return Estimasi'!D185</f>
        <v>7.5837206440515694E-3</v>
      </c>
      <c r="E185">
        <f>Return!E185-'Return Estimasi'!E185</f>
        <v>-6.1850155663827535E-3</v>
      </c>
      <c r="F185">
        <f>Return!F185-'Return Estimasi'!F185</f>
        <v>7.63438037966448E-3</v>
      </c>
      <c r="G185">
        <f>Return!G185-'Return Estimasi'!G185</f>
        <v>-1.2611699343760392E-2</v>
      </c>
      <c r="H185">
        <f>Return!H185-'Return Estimasi'!H185</f>
        <v>-1.4906312496227488E-2</v>
      </c>
      <c r="I185">
        <f>Return!I185-'Return Estimasi'!I185</f>
        <v>-4.8187147101081788E-3</v>
      </c>
      <c r="J185">
        <f>Return!J185-'Return Estimasi'!J185</f>
        <v>-1.6096329198480371E-2</v>
      </c>
      <c r="K185">
        <f>Return!K185-'Return Estimasi'!K185</f>
        <v>-2.9747563196964161E-2</v>
      </c>
      <c r="L185">
        <f>Return!L185-'Return Estimasi'!L185</f>
        <v>-6.925418093848704E-4</v>
      </c>
      <c r="M185">
        <f>Return!M185-'Return Estimasi'!M185</f>
        <v>-1.5988859722178329E-2</v>
      </c>
      <c r="N185">
        <f>Return!N185-'Return Estimasi'!N185</f>
        <v>-2.7767224299516377E-2</v>
      </c>
      <c r="O185">
        <f>Return!O185-'Return Estimasi'!O185</f>
        <v>-1.0181306171072312E-2</v>
      </c>
      <c r="P185">
        <f>Return!P185-'Return Estimasi'!P185</f>
        <v>-1.0414706515299762E-2</v>
      </c>
      <c r="Q185">
        <f>Return!Q185-'Return Estimasi'!Q185</f>
        <v>4.695226583833674E-2</v>
      </c>
      <c r="R185">
        <f>Return!R185-'Return Estimasi'!R185</f>
        <v>-1.2368602561992625E-2</v>
      </c>
      <c r="S185">
        <f>Return!S185-'Return Estimasi'!S185</f>
        <v>-2.3645966508681351E-2</v>
      </c>
      <c r="T185">
        <f>Return!T185-'Return Estimasi'!T185</f>
        <v>4.8547782285558061E-2</v>
      </c>
      <c r="U185">
        <f>Return!U185-'Return Estimasi'!U185</f>
        <v>1.3409658640483437E-2</v>
      </c>
      <c r="V185">
        <f>Return!V185-'Return Estimasi'!V185</f>
        <v>1.0781405494549298E-2</v>
      </c>
      <c r="W185">
        <f>Return!W185-'Return Estimasi'!W185</f>
        <v>3.8830527820589017E-2</v>
      </c>
      <c r="X185">
        <f>Return!X185-'Return Estimasi'!X185</f>
        <v>-2.7884627613792703E-2</v>
      </c>
      <c r="Y185">
        <f>Return!Y185-'Return Estimasi'!Y185</f>
        <v>3.9054784561795047E-3</v>
      </c>
      <c r="Z185">
        <f>Return!Z185-'Return Estimasi'!Z185</f>
        <v>1.0680140609398009E-3</v>
      </c>
      <c r="AA185">
        <f>Return!AA185-'Return Estimasi'!AA185</f>
        <v>-1.9933694199890981E-2</v>
      </c>
      <c r="AB185">
        <f>Return!AB185-'Return Estimasi'!AB185</f>
        <v>2.1631026657942184E-2</v>
      </c>
      <c r="AC185">
        <f>Return!AC185-'Return Estimasi'!AC185</f>
        <v>4.1622607835736574E-3</v>
      </c>
      <c r="AD185">
        <f>Return!AD185-'Return Estimasi'!AD185</f>
        <v>-4.1592897437189467E-3</v>
      </c>
      <c r="AE185">
        <f>Return!AE185-'Return Estimasi'!AE185</f>
        <v>4.7216237145324517E-3</v>
      </c>
      <c r="AF185">
        <f>Return!AF185-'Return Estimasi'!AF185</f>
        <v>-16.86991192219984</v>
      </c>
    </row>
    <row r="186" spans="1:32" x14ac:dyDescent="0.3">
      <c r="A186" s="1">
        <v>45942</v>
      </c>
      <c r="B186">
        <f>('Data Saham'!B186-'Data Saham'!B185)/'Data Saham'!B185</f>
        <v>5.0524535703311913E-3</v>
      </c>
      <c r="C186">
        <f>Return!C186-'Return Estimasi'!C186</f>
        <v>-5.7872744559759048E-3</v>
      </c>
      <c r="D186">
        <f>Return!D186-'Return Estimasi'!D186</f>
        <v>-1.1586430121103334E-2</v>
      </c>
      <c r="E186">
        <f>Return!E186-'Return Estimasi'!E186</f>
        <v>1.1338461081457526E-2</v>
      </c>
      <c r="F186">
        <f>Return!F186-'Return Estimasi'!F186</f>
        <v>-6.4843559707350191E-3</v>
      </c>
      <c r="G186">
        <f>Return!G186-'Return Estimasi'!G186</f>
        <v>1.3438533009907355E-2</v>
      </c>
      <c r="H186">
        <f>Return!H186-'Return Estimasi'!H186</f>
        <v>-6.3954766984017711E-5</v>
      </c>
      <c r="I186">
        <f>Return!I186-'Return Estimasi'!I186</f>
        <v>2.8488941870795669E-3</v>
      </c>
      <c r="J186">
        <f>Return!J186-'Return Estimasi'!J186</f>
        <v>5.9077115627363241E-3</v>
      </c>
      <c r="K186">
        <f>Return!K186-'Return Estimasi'!K186</f>
        <v>-8.8018981486112091E-3</v>
      </c>
      <c r="L186">
        <f>Return!L186-'Return Estimasi'!L186</f>
        <v>-2.4911610094890536E-3</v>
      </c>
      <c r="M186">
        <f>Return!M186-'Return Estimasi'!M186</f>
        <v>-6.5927562764552076E-3</v>
      </c>
      <c r="N186">
        <f>Return!N186-'Return Estimasi'!N186</f>
        <v>1.2963336736327311E-2</v>
      </c>
      <c r="O186">
        <f>Return!O186-'Return Estimasi'!O186</f>
        <v>2.54346717579178E-2</v>
      </c>
      <c r="P186">
        <f>Return!P186-'Return Estimasi'!P186</f>
        <v>-2.0581321156871692E-2</v>
      </c>
      <c r="Q186">
        <f>Return!Q186-'Return Estimasi'!Q186</f>
        <v>7.110923739139291E-2</v>
      </c>
      <c r="R186">
        <f>Return!R186-'Return Estimasi'!R186</f>
        <v>2.1558462123812431E-3</v>
      </c>
      <c r="S186">
        <f>Return!S186-'Return Estimasi'!S186</f>
        <v>-1.5501774749878548E-2</v>
      </c>
      <c r="T186">
        <f>Return!T186-'Return Estimasi'!T186</f>
        <v>-3.7093348941581852E-2</v>
      </c>
      <c r="U186">
        <f>Return!U186-'Return Estimasi'!U186</f>
        <v>-4.0143153548826326E-2</v>
      </c>
      <c r="V186">
        <f>Return!V186-'Return Estimasi'!V186</f>
        <v>1.2342002711842244E-2</v>
      </c>
      <c r="W186">
        <f>Return!W186-'Return Estimasi'!W186</f>
        <v>5.1028153723576566E-2</v>
      </c>
      <c r="X186">
        <f>Return!X186-'Return Estimasi'!X186</f>
        <v>2.7477158118258023E-2</v>
      </c>
      <c r="Y186">
        <f>Return!Y186-'Return Estimasi'!Y186</f>
        <v>-5.0150111133672876E-3</v>
      </c>
      <c r="Z186">
        <f>Return!Z186-'Return Estimasi'!Z186</f>
        <v>-7.6475496324026511E-3</v>
      </c>
      <c r="AA186">
        <f>Return!AA186-'Return Estimasi'!AA186</f>
        <v>-4.0403317586252341E-3</v>
      </c>
      <c r="AB186">
        <f>Return!AB186-'Return Estimasi'!AB186</f>
        <v>-1.8529052847375063E-2</v>
      </c>
      <c r="AC186">
        <f>Return!AC186-'Return Estimasi'!AC186</f>
        <v>-5.4937472018479145E-3</v>
      </c>
      <c r="AD186">
        <f>Return!AD186-'Return Estimasi'!AD186</f>
        <v>-9.7227433090861723E-3</v>
      </c>
      <c r="AE186">
        <f>Return!AE186-'Return Estimasi'!AE186</f>
        <v>-3.82101267438229E-3</v>
      </c>
      <c r="AF186">
        <f>Return!AF186-'Return Estimasi'!AF186</f>
        <v>-16.532017421160646</v>
      </c>
    </row>
    <row r="187" spans="1:32" x14ac:dyDescent="0.3">
      <c r="A187" s="2">
        <v>45973</v>
      </c>
      <c r="B187">
        <f>('Data Saham'!B187-'Data Saham'!B186)/'Data Saham'!B186</f>
        <v>-9.2449993793760326E-3</v>
      </c>
      <c r="C187">
        <f>Return!C187-'Return Estimasi'!C187</f>
        <v>2.9253638832378755E-4</v>
      </c>
      <c r="D187">
        <f>Return!D187-'Return Estimasi'!D187</f>
        <v>-3.0207298335545741E-3</v>
      </c>
      <c r="E187">
        <f>Return!E187-'Return Estimasi'!E187</f>
        <v>4.9467030655251047E-3</v>
      </c>
      <c r="F187">
        <f>Return!F187-'Return Estimasi'!F187</f>
        <v>-1.0620830771762534E-2</v>
      </c>
      <c r="G187">
        <f>Return!G187-'Return Estimasi'!G187</f>
        <v>-1.2520141873913575E-2</v>
      </c>
      <c r="H187">
        <f>Return!H187-'Return Estimasi'!H187</f>
        <v>-2.064786334233893E-2</v>
      </c>
      <c r="I187">
        <f>Return!I187-'Return Estimasi'!I187</f>
        <v>5.7833958112805638E-3</v>
      </c>
      <c r="J187">
        <f>Return!J187-'Return Estimasi'!J187</f>
        <v>-4.4385876897046032E-2</v>
      </c>
      <c r="K187">
        <f>Return!K187-'Return Estimasi'!K187</f>
        <v>-1.9940438184046363E-2</v>
      </c>
      <c r="L187">
        <f>Return!L187-'Return Estimasi'!L187</f>
        <v>-3.0063094110808924E-3</v>
      </c>
      <c r="M187">
        <f>Return!M187-'Return Estimasi'!M187</f>
        <v>-9.7971242501011212E-3</v>
      </c>
      <c r="N187">
        <f>Return!N187-'Return Estimasi'!N187</f>
        <v>-1.9865589627670044E-2</v>
      </c>
      <c r="O187">
        <f>Return!O187-'Return Estimasi'!O187</f>
        <v>-1.110127784281913E-2</v>
      </c>
      <c r="P187">
        <f>Return!P187-'Return Estimasi'!P187</f>
        <v>-8.3369552107984725E-3</v>
      </c>
      <c r="Q187">
        <f>Return!Q187-'Return Estimasi'!Q187</f>
        <v>5.1302161240338612E-3</v>
      </c>
      <c r="R187">
        <f>Return!R187-'Return Estimasi'!R187</f>
        <v>-2.7788852656637764E-2</v>
      </c>
      <c r="S187">
        <f>Return!S187-'Return Estimasi'!S187</f>
        <v>-2.524448494444979E-2</v>
      </c>
      <c r="T187">
        <f>Return!T187-'Return Estimasi'!T187</f>
        <v>-1.1043013855953947E-2</v>
      </c>
      <c r="U187">
        <f>Return!U187-'Return Estimasi'!U187</f>
        <v>1.7004262073713687E-2</v>
      </c>
      <c r="V187">
        <f>Return!V187-'Return Estimasi'!V187</f>
        <v>-1.0649617101838683E-2</v>
      </c>
      <c r="W187">
        <f>Return!W187-'Return Estimasi'!W187</f>
        <v>-6.2021855407662502E-3</v>
      </c>
      <c r="X187">
        <f>Return!X187-'Return Estimasi'!X187</f>
        <v>-1.324065025911296E-2</v>
      </c>
      <c r="Y187">
        <f>Return!Y187-'Return Estimasi'!Y187</f>
        <v>1.1658680084780252E-3</v>
      </c>
      <c r="Z187">
        <f>Return!Z187-'Return Estimasi'!Z187</f>
        <v>3.4301304698771276E-3</v>
      </c>
      <c r="AA187">
        <f>Return!AA187-'Return Estimasi'!AA187</f>
        <v>-1.2645653373402118E-2</v>
      </c>
      <c r="AB187">
        <f>Return!AB187-'Return Estimasi'!AB187</f>
        <v>-1.7960991159480022E-2</v>
      </c>
      <c r="AC187">
        <f>Return!AC187-'Return Estimasi'!AC187</f>
        <v>7.3886882532442875E-4</v>
      </c>
      <c r="AD187">
        <f>Return!AD187-'Return Estimasi'!AD187</f>
        <v>-1.3509983002246585E-3</v>
      </c>
      <c r="AE187">
        <f>Return!AE187-'Return Estimasi'!AE187</f>
        <v>1.4377341483865023E-3</v>
      </c>
      <c r="AF187">
        <f>Return!AF187-'Return Estimasi'!AF187</f>
        <v>-16.951481707110023</v>
      </c>
    </row>
    <row r="188" spans="1:32" x14ac:dyDescent="0.3">
      <c r="A188" s="1">
        <v>46003</v>
      </c>
      <c r="B188">
        <f>('Data Saham'!B188-'Data Saham'!B187)/'Data Saham'!B187</f>
        <v>4.6424329039682754E-3</v>
      </c>
      <c r="C188">
        <f>Return!C188-'Return Estimasi'!C188</f>
        <v>-2.348652551159089E-3</v>
      </c>
      <c r="D188">
        <f>Return!D188-'Return Estimasi'!D188</f>
        <v>-2.9860090122177593E-3</v>
      </c>
      <c r="E188">
        <f>Return!E188-'Return Estimasi'!E188</f>
        <v>-3.0882813710521716E-2</v>
      </c>
      <c r="F188">
        <f>Return!F188-'Return Estimasi'!F188</f>
        <v>-1.4581802120600786E-3</v>
      </c>
      <c r="G188">
        <f>Return!G188-'Return Estimasi'!G188</f>
        <v>-1.1402181698375046E-2</v>
      </c>
      <c r="H188">
        <f>Return!H188-'Return Estimasi'!H188</f>
        <v>1.9679834795302546E-2</v>
      </c>
      <c r="I188">
        <f>Return!I188-'Return Estimasi'!I188</f>
        <v>6.1281974537079559E-3</v>
      </c>
      <c r="J188">
        <f>Return!J188-'Return Estimasi'!J188</f>
        <v>2.9144476254654602E-2</v>
      </c>
      <c r="K188">
        <f>Return!K188-'Return Estimasi'!K188</f>
        <v>-5.6911249264941545E-3</v>
      </c>
      <c r="L188">
        <f>Return!L188-'Return Estimasi'!L188</f>
        <v>-2.3513849377008542E-3</v>
      </c>
      <c r="M188">
        <f>Return!M188-'Return Estimasi'!M188</f>
        <v>4.5743732345969595E-2</v>
      </c>
      <c r="N188">
        <f>Return!N188-'Return Estimasi'!N188</f>
        <v>1.8410349036265684E-2</v>
      </c>
      <c r="O188">
        <f>Return!O188-'Return Estimasi'!O188</f>
        <v>6.8398751115943211E-4</v>
      </c>
      <c r="P188">
        <f>Return!P188-'Return Estimasi'!P188</f>
        <v>7.1431148086054108E-3</v>
      </c>
      <c r="Q188">
        <f>Return!Q188-'Return Estimasi'!Q188</f>
        <v>1.7381230180513532E-2</v>
      </c>
      <c r="R188">
        <f>Return!R188-'Return Estimasi'!R188</f>
        <v>2.0148846489628381E-2</v>
      </c>
      <c r="S188">
        <f>Return!S188-'Return Estimasi'!S188</f>
        <v>4.2806594627109945E-3</v>
      </c>
      <c r="T188">
        <f>Return!T188-'Return Estimasi'!T188</f>
        <v>1.5534239090277572E-2</v>
      </c>
      <c r="U188">
        <f>Return!U188-'Return Estimasi'!U188</f>
        <v>-2.653104623456784E-2</v>
      </c>
      <c r="V188">
        <f>Return!V188-'Return Estimasi'!V188</f>
        <v>-2.2922364376019199E-2</v>
      </c>
      <c r="W188">
        <f>Return!W188-'Return Estimasi'!W188</f>
        <v>8.1798735476051182E-3</v>
      </c>
      <c r="X188">
        <f>Return!X188-'Return Estimasi'!X188</f>
        <v>-4.2755453102954078E-4</v>
      </c>
      <c r="Y188">
        <f>Return!Y188-'Return Estimasi'!Y188</f>
        <v>-7.3335161276445252E-3</v>
      </c>
      <c r="Z188">
        <f>Return!Z188-'Return Estimasi'!Z188</f>
        <v>-1.2182691681252085E-2</v>
      </c>
      <c r="AA188">
        <f>Return!AA188-'Return Estimasi'!AA188</f>
        <v>1.3676184260177039E-2</v>
      </c>
      <c r="AB188">
        <f>Return!AB188-'Return Estimasi'!AB188</f>
        <v>-3.3424565481140235E-2</v>
      </c>
      <c r="AC188">
        <f>Return!AC188-'Return Estimasi'!AC188</f>
        <v>-5.1401438426456067E-3</v>
      </c>
      <c r="AD188">
        <f>Return!AD188-'Return Estimasi'!AD188</f>
        <v>-9.4146491650763144E-3</v>
      </c>
      <c r="AE188">
        <f>Return!AE188-'Return Estimasi'!AE188</f>
        <v>-2.6235453750301299E-2</v>
      </c>
      <c r="AF188">
        <f>Return!AF188-'Return Estimasi'!AF188</f>
        <v>-16.53762884507119</v>
      </c>
    </row>
    <row r="189" spans="1:32" x14ac:dyDescent="0.3">
      <c r="A189" s="4" t="s">
        <v>111</v>
      </c>
      <c r="B189">
        <f>('Data Saham'!B189-'Data Saham'!B188)/'Data Saham'!B188</f>
        <v>-1.2516598348825294E-3</v>
      </c>
      <c r="C189">
        <f>Return!C189-'Return Estimasi'!C189</f>
        <v>4.0214292601181915E-2</v>
      </c>
      <c r="D189">
        <f>Return!D189-'Return Estimasi'!D189</f>
        <v>4.1370027688168186E-2</v>
      </c>
      <c r="E189">
        <f>Return!E189-'Return Estimasi'!E189</f>
        <v>3.6417818302476715E-2</v>
      </c>
      <c r="F189">
        <f>Return!F189-'Return Estimasi'!F189</f>
        <v>4.8339965620916019E-2</v>
      </c>
      <c r="G189">
        <f>Return!G189-'Return Estimasi'!G189</f>
        <v>-2.3025426885036098E-2</v>
      </c>
      <c r="H189">
        <f>Return!H189-'Return Estimasi'!H189</f>
        <v>3.8945851317961628E-4</v>
      </c>
      <c r="I189">
        <f>Return!I189-'Return Estimasi'!I189</f>
        <v>3.0259460829338489E-2</v>
      </c>
      <c r="J189">
        <f>Return!J189-'Return Estimasi'!J189</f>
        <v>4.1938075163141814E-4</v>
      </c>
      <c r="K189">
        <f>Return!K189-'Return Estimasi'!K189</f>
        <v>2.5138244670589747E-2</v>
      </c>
      <c r="L189">
        <f>Return!L189-'Return Estimasi'!L189</f>
        <v>-7.1160154721869864E-3</v>
      </c>
      <c r="M189">
        <f>Return!M189-'Return Estimasi'!M189</f>
        <v>-1.045819706371613E-2</v>
      </c>
      <c r="N189">
        <f>Return!N189-'Return Estimasi'!N189</f>
        <v>4.8420269923537332E-2</v>
      </c>
      <c r="O189">
        <f>Return!O189-'Return Estimasi'!O189</f>
        <v>-4.4953976657166241E-3</v>
      </c>
      <c r="P189">
        <f>Return!P189-'Return Estimasi'!P189</f>
        <v>5.8536879732862264E-2</v>
      </c>
      <c r="Q189">
        <f>Return!Q189-'Return Estimasi'!Q189</f>
        <v>-2.1783141987221925E-2</v>
      </c>
      <c r="R189">
        <f>Return!R189-'Return Estimasi'!R189</f>
        <v>5.3297626407016539E-2</v>
      </c>
      <c r="S189">
        <f>Return!S189-'Return Estimasi'!S189</f>
        <v>2.0775749150801125E-2</v>
      </c>
      <c r="T189">
        <f>Return!T189-'Return Estimasi'!T189</f>
        <v>3.3856677638836774E-3</v>
      </c>
      <c r="U189">
        <f>Return!U189-'Return Estimasi'!U189</f>
        <v>-6.0916930158428353E-3</v>
      </c>
      <c r="V189">
        <f>Return!V189-'Return Estimasi'!V189</f>
        <v>-1.7002172166122775E-2</v>
      </c>
      <c r="W189">
        <f>Return!W189-'Return Estimasi'!W189</f>
        <v>-2.9515311372510875E-2</v>
      </c>
      <c r="X189">
        <f>Return!X189-'Return Estimasi'!X189</f>
        <v>5.8309135856708383E-3</v>
      </c>
      <c r="Y189">
        <f>Return!Y189-'Return Estimasi'!Y189</f>
        <v>2.5944601990935613E-3</v>
      </c>
      <c r="Z189">
        <f>Return!Z189-'Return Estimasi'!Z189</f>
        <v>2.0088343257791503E-3</v>
      </c>
      <c r="AA189">
        <f>Return!AA189-'Return Estimasi'!AA189</f>
        <v>-1.3535500780074625E-2</v>
      </c>
      <c r="AB189">
        <f>Return!AB189-'Return Estimasi'!AB189</f>
        <v>-1.2957933043374868E-2</v>
      </c>
      <c r="AC189">
        <f>Return!AC189-'Return Estimasi'!AC189</f>
        <v>3.0617790448909412E-2</v>
      </c>
      <c r="AD189">
        <f>Return!AD189-'Return Estimasi'!AD189</f>
        <v>3.9455175069958125E-2</v>
      </c>
      <c r="AE189">
        <f>Return!AE189-'Return Estimasi'!AE189</f>
        <v>2.4244622755588835E-2</v>
      </c>
      <c r="AF189">
        <f>Return!AF189-'Return Estimasi'!AF189</f>
        <v>-16.697670512553202</v>
      </c>
    </row>
    <row r="190" spans="1:32" x14ac:dyDescent="0.3">
      <c r="A190" s="3" t="s">
        <v>112</v>
      </c>
      <c r="B190">
        <f>('Data Saham'!B190-'Data Saham'!B189)/'Data Saham'!B189</f>
        <v>4.2556586039219453E-3</v>
      </c>
      <c r="C190">
        <f>Return!C190-'Return Estimasi'!C190</f>
        <v>-2.9124852445500768E-2</v>
      </c>
      <c r="D190">
        <f>Return!D190-'Return Estimasi'!D190</f>
        <v>-2.9177616293245633E-2</v>
      </c>
      <c r="E190">
        <f>Return!E190-'Return Estimasi'!E190</f>
        <v>-2.2376599842237875E-3</v>
      </c>
      <c r="F190">
        <f>Return!F190-'Return Estimasi'!F190</f>
        <v>-1.2503650747979428E-2</v>
      </c>
      <c r="G190">
        <f>Return!G190-'Return Estimasi'!G190</f>
        <v>8.9577088110495019E-3</v>
      </c>
      <c r="H190">
        <f>Return!H190-'Return Estimasi'!H190</f>
        <v>-3.3157644911158326E-3</v>
      </c>
      <c r="I190">
        <f>Return!I190-'Return Estimasi'!I190</f>
        <v>6.0856857138539278E-3</v>
      </c>
      <c r="J190">
        <f>Return!J190-'Return Estimasi'!J190</f>
        <v>-1.162668705204376E-3</v>
      </c>
      <c r="K190">
        <f>Return!K190-'Return Estimasi'!K190</f>
        <v>-1.6285934683584635E-2</v>
      </c>
      <c r="L190">
        <f>Return!L190-'Return Estimasi'!L190</f>
        <v>-1.9622938902874167E-2</v>
      </c>
      <c r="M190">
        <f>Return!M190-'Return Estimasi'!M190</f>
        <v>-2.9046300183295733E-2</v>
      </c>
      <c r="N190">
        <f>Return!N190-'Return Estimasi'!N190</f>
        <v>-2.0794024550495744E-2</v>
      </c>
      <c r="O190">
        <f>Return!O190-'Return Estimasi'!O190</f>
        <v>-7.3517531899800733E-3</v>
      </c>
      <c r="P190">
        <f>Return!P190-'Return Estimasi'!P190</f>
        <v>-4.5722150919400885E-2</v>
      </c>
      <c r="Q190">
        <f>Return!Q190-'Return Estimasi'!Q190</f>
        <v>-9.2271929553360381E-3</v>
      </c>
      <c r="R190">
        <f>Return!R190-'Return Estimasi'!R190</f>
        <v>-1.8044566091182188E-2</v>
      </c>
      <c r="S190">
        <f>Return!S190-'Return Estimasi'!S190</f>
        <v>-8.7562850353285621E-3</v>
      </c>
      <c r="T190">
        <f>Return!T190-'Return Estimasi'!T190</f>
        <v>-3.5497324558015362E-3</v>
      </c>
      <c r="U190">
        <f>Return!U190-'Return Estimasi'!U190</f>
        <v>2.3668829995919169E-3</v>
      </c>
      <c r="V190">
        <f>Return!V190-'Return Estimasi'!V190</f>
        <v>-1.0930413834828581E-2</v>
      </c>
      <c r="W190">
        <f>Return!W190-'Return Estimasi'!W190</f>
        <v>7.9419440593237953E-4</v>
      </c>
      <c r="X190">
        <f>Return!X190-'Return Estimasi'!X190</f>
        <v>-1.6869675454801551E-5</v>
      </c>
      <c r="Y190">
        <f>Return!Y190-'Return Estimasi'!Y190</f>
        <v>8.4158164343299362E-4</v>
      </c>
      <c r="Z190">
        <f>Return!Z190-'Return Estimasi'!Z190</f>
        <v>-1.1975755477083178E-2</v>
      </c>
      <c r="AA190">
        <f>Return!AA190-'Return Estimasi'!AA190</f>
        <v>-2.4354648637788204E-2</v>
      </c>
      <c r="AB190">
        <f>Return!AB190-'Return Estimasi'!AB190</f>
        <v>4.254831236638492E-2</v>
      </c>
      <c r="AC190">
        <f>Return!AC190-'Return Estimasi'!AC190</f>
        <v>7.0981736678926441E-3</v>
      </c>
      <c r="AD190">
        <f>Return!AD190-'Return Estimasi'!AD190</f>
        <v>-8.8755113885802903E-3</v>
      </c>
      <c r="AE190">
        <f>Return!AE190-'Return Estimasi'!AE190</f>
        <v>-1.4576721912434431E-2</v>
      </c>
      <c r="AF190">
        <f>Return!AF190-'Return Estimasi'!AF190</f>
        <v>-16.577410987823679</v>
      </c>
    </row>
    <row r="191" spans="1:32" x14ac:dyDescent="0.3">
      <c r="A191" s="4" t="s">
        <v>113</v>
      </c>
      <c r="B191">
        <f>('Data Saham'!B191-'Data Saham'!B190)/'Data Saham'!B190</f>
        <v>-1.0510598666661141E-3</v>
      </c>
      <c r="C191">
        <f>Return!C191-'Return Estimasi'!C191</f>
        <v>-3.6499704958179511E-3</v>
      </c>
      <c r="D191">
        <f>Return!D191-'Return Estimasi'!D191</f>
        <v>1.6110609539893628E-2</v>
      </c>
      <c r="E191">
        <f>Return!E191-'Return Estimasi'!E191</f>
        <v>5.9517901587409112E-3</v>
      </c>
      <c r="F191">
        <f>Return!F191-'Return Estimasi'!F191</f>
        <v>-5.8179392359616056E-3</v>
      </c>
      <c r="G191">
        <f>Return!G191-'Return Estimasi'!G191</f>
        <v>-6.3527453608847682E-3</v>
      </c>
      <c r="H191">
        <f>Return!H191-'Return Estimasi'!H191</f>
        <v>2.5449852763395641E-4</v>
      </c>
      <c r="I191">
        <f>Return!I191-'Return Estimasi'!I191</f>
        <v>-6.8334588526536852E-4</v>
      </c>
      <c r="J191">
        <f>Return!J191-'Return Estimasi'!J191</f>
        <v>3.6175577964469755E-4</v>
      </c>
      <c r="K191">
        <f>Return!K191-'Return Estimasi'!K191</f>
        <v>5.2086749551117605E-3</v>
      </c>
      <c r="L191">
        <f>Return!L191-'Return Estimasi'!L191</f>
        <v>1.2686678326422018E-2</v>
      </c>
      <c r="M191">
        <f>Return!M191-'Return Estimasi'!M191</f>
        <v>1.2739563817830913E-2</v>
      </c>
      <c r="N191">
        <f>Return!N191-'Return Estimasi'!N191</f>
        <v>-4.9644191893849767E-3</v>
      </c>
      <c r="O191">
        <f>Return!O191-'Return Estimasi'!O191</f>
        <v>3.1252876544049145E-2</v>
      </c>
      <c r="P191">
        <f>Return!P191-'Return Estimasi'!P191</f>
        <v>2.1153515280676362E-2</v>
      </c>
      <c r="Q191">
        <f>Return!Q191-'Return Estimasi'!Q191</f>
        <v>3.9652247940444169E-2</v>
      </c>
      <c r="R191">
        <f>Return!R191-'Return Estimasi'!R191</f>
        <v>2.2289367723319249E-2</v>
      </c>
      <c r="S191">
        <f>Return!S191-'Return Estimasi'!S191</f>
        <v>-5.9123284337275353E-3</v>
      </c>
      <c r="T191">
        <f>Return!T191-'Return Estimasi'!T191</f>
        <v>4.4766161722373764E-2</v>
      </c>
      <c r="U191">
        <f>Return!U191-'Return Estimasi'!U191</f>
        <v>-6.3114903664288225E-3</v>
      </c>
      <c r="V191">
        <f>Return!V191-'Return Estimasi'!V191</f>
        <v>-2.55689052363721E-3</v>
      </c>
      <c r="W191">
        <f>Return!W191-'Return Estimasi'!W191</f>
        <v>-3.5960678604847487E-2</v>
      </c>
      <c r="X191">
        <f>Return!X191-'Return Estimasi'!X191</f>
        <v>1.3715078432033786E-2</v>
      </c>
      <c r="Y191">
        <f>Return!Y191-'Return Estimasi'!Y191</f>
        <v>5.0594315193373905E-3</v>
      </c>
      <c r="Z191">
        <f>Return!Z191-'Return Estimasi'!Z191</f>
        <v>1.165701117534792E-2</v>
      </c>
      <c r="AA191">
        <f>Return!AA191-'Return Estimasi'!AA191</f>
        <v>5.9442380500230631E-2</v>
      </c>
      <c r="AB191">
        <f>Return!AB191-'Return Estimasi'!AB191</f>
        <v>-2.7429411070776125E-2</v>
      </c>
      <c r="AC191">
        <f>Return!AC191-'Return Estimasi'!AC191</f>
        <v>-3.5524171988243973E-2</v>
      </c>
      <c r="AD191">
        <f>Return!AD191-'Return Estimasi'!AD191</f>
        <v>1.1896056891068357E-2</v>
      </c>
      <c r="AE191">
        <f>Return!AE191-'Return Estimasi'!AE191</f>
        <v>-4.9113685037392918E-3</v>
      </c>
      <c r="AF191">
        <f>Return!AF191-'Return Estimasi'!AF191</f>
        <v>-16.703658333445123</v>
      </c>
    </row>
    <row r="192" spans="1:32" x14ac:dyDescent="0.3">
      <c r="A192" s="3" t="s">
        <v>114</v>
      </c>
      <c r="B192">
        <f>('Data Saham'!B192-'Data Saham'!B191)/'Data Saham'!B191</f>
        <v>-6.8154526617603337E-3</v>
      </c>
      <c r="C192">
        <f>Return!C192-'Return Estimasi'!C192</f>
        <v>2.618510342591493E-2</v>
      </c>
      <c r="D192">
        <f>Return!D192-'Return Estimasi'!D192</f>
        <v>1.3519055742702183E-2</v>
      </c>
      <c r="E192">
        <f>Return!E192-'Return Estimasi'!E192</f>
        <v>3.1468776474265249E-2</v>
      </c>
      <c r="F192">
        <f>Return!F192-'Return Estimasi'!F192</f>
        <v>8.171114663417656E-3</v>
      </c>
      <c r="G192">
        <f>Return!G192-'Return Estimasi'!G192</f>
        <v>-6.9066143158435615E-3</v>
      </c>
      <c r="H192">
        <f>Return!H192-'Return Estimasi'!H192</f>
        <v>-1.1018838699814307E-2</v>
      </c>
      <c r="I192">
        <f>Return!I192-'Return Estimasi'!I192</f>
        <v>-4.2552960603509087E-3</v>
      </c>
      <c r="J192">
        <f>Return!J192-'Return Estimasi'!J192</f>
        <v>1.67778008186487E-2</v>
      </c>
      <c r="K192">
        <f>Return!K192-'Return Estimasi'!K192</f>
        <v>5.1926840887816114E-2</v>
      </c>
      <c r="L192">
        <f>Return!L192-'Return Estimasi'!L192</f>
        <v>-5.442622835521607E-4</v>
      </c>
      <c r="M192">
        <f>Return!M192-'Return Estimasi'!M192</f>
        <v>3.1298798983269857E-2</v>
      </c>
      <c r="N192">
        <f>Return!N192-'Return Estimasi'!N192</f>
        <v>-2.7497453959699689E-2</v>
      </c>
      <c r="O192">
        <f>Return!O192-'Return Estimasi'!O192</f>
        <v>-9.5804292241581327E-3</v>
      </c>
      <c r="P192">
        <f>Return!P192-'Return Estimasi'!P192</f>
        <v>3.4901847832083263E-2</v>
      </c>
      <c r="Q192">
        <f>Return!Q192-'Return Estimasi'!Q192</f>
        <v>-3.6316533278275137E-2</v>
      </c>
      <c r="R192">
        <f>Return!R192-'Return Estimasi'!R192</f>
        <v>4.8311669639857051E-3</v>
      </c>
      <c r="S192">
        <f>Return!S192-'Return Estimasi'!S192</f>
        <v>1.4840086364649931E-2</v>
      </c>
      <c r="T192">
        <f>Return!T192-'Return Estimasi'!T192</f>
        <v>-2.2493171690078508E-2</v>
      </c>
      <c r="U192">
        <f>Return!U192-'Return Estimasi'!U192</f>
        <v>-2.5502502295552384E-2</v>
      </c>
      <c r="V192">
        <f>Return!V192-'Return Estimasi'!V192</f>
        <v>3.9263699321108451E-2</v>
      </c>
      <c r="W192">
        <f>Return!W192-'Return Estimasi'!W192</f>
        <v>-6.4013606942233663E-3</v>
      </c>
      <c r="X192">
        <f>Return!X192-'Return Estimasi'!X192</f>
        <v>3.7065339920583345E-3</v>
      </c>
      <c r="Y192">
        <f>Return!Y192-'Return Estimasi'!Y192</f>
        <v>9.6416788432103773E-3</v>
      </c>
      <c r="Z192">
        <f>Return!Z192-'Return Estimasi'!Z192</f>
        <v>2.5746008398990772E-2</v>
      </c>
      <c r="AA192">
        <f>Return!AA192-'Return Estimasi'!AA192</f>
        <v>-1.895168320398781E-2</v>
      </c>
      <c r="AB192">
        <f>Return!AB192-'Return Estimasi'!AB192</f>
        <v>-7.0993505443420219E-3</v>
      </c>
      <c r="AC192">
        <f>Return!AC192-'Return Estimasi'!AC192</f>
        <v>4.7411796070635859E-3</v>
      </c>
      <c r="AD192">
        <f>Return!AD192-'Return Estimasi'!AD192</f>
        <v>6.9560421891851102E-3</v>
      </c>
      <c r="AE192">
        <f>Return!AE192-'Return Estimasi'!AE192</f>
        <v>5.2337911666761709E-3</v>
      </c>
      <c r="AF192">
        <f>Return!AF192-'Return Estimasi'!AF192</f>
        <v>-16.85420341368097</v>
      </c>
    </row>
    <row r="193" spans="1:32" x14ac:dyDescent="0.3">
      <c r="A193" s="4" t="s">
        <v>115</v>
      </c>
      <c r="B193">
        <f>('Data Saham'!B193-'Data Saham'!B192)/'Data Saham'!B192</f>
        <v>-1.0036898656333637E-3</v>
      </c>
      <c r="C193">
        <f>Return!C193-'Return Estimasi'!C193</f>
        <v>-1.2789230092934334E-2</v>
      </c>
      <c r="D193">
        <f>Return!D193-'Return Estimasi'!D193</f>
        <v>-2.8416385849925766E-3</v>
      </c>
      <c r="E193">
        <f>Return!E193-'Return Estimasi'!E193</f>
        <v>5.7598000989246599E-3</v>
      </c>
      <c r="F193">
        <f>Return!F193-'Return Estimasi'!F193</f>
        <v>-8.1723007370681239E-3</v>
      </c>
      <c r="G193">
        <f>Return!G193-'Return Estimasi'!G193</f>
        <v>-1.5164467751616379E-2</v>
      </c>
      <c r="H193">
        <f>Return!H193-'Return Estimasi'!H193</f>
        <v>4.0687827044577421E-3</v>
      </c>
      <c r="I193">
        <f>Return!I193-'Return Estimasi'!I193</f>
        <v>2.350271109777784E-2</v>
      </c>
      <c r="J193">
        <f>Return!J193-'Return Estimasi'!J193</f>
        <v>-1.783367005628626E-2</v>
      </c>
      <c r="K193">
        <f>Return!K193-'Return Estimasi'!K193</f>
        <v>-3.7608353496626187E-4</v>
      </c>
      <c r="L193">
        <f>Return!L193-'Return Estimasi'!L193</f>
        <v>1.2572468417121703E-2</v>
      </c>
      <c r="M193">
        <f>Return!M193-'Return Estimasi'!M193</f>
        <v>-1.7003150303721411E-2</v>
      </c>
      <c r="N193">
        <f>Return!N193-'Return Estimasi'!N193</f>
        <v>-9.1851274495502802E-4</v>
      </c>
      <c r="O193">
        <f>Return!O193-'Return Estimasi'!O193</f>
        <v>1.1711391359751673E-2</v>
      </c>
      <c r="P193">
        <f>Return!P193-'Return Estimasi'!P193</f>
        <v>2.0307087961601123E-2</v>
      </c>
      <c r="Q193">
        <f>Return!Q193-'Return Estimasi'!Q193</f>
        <v>5.5971900406610563E-2</v>
      </c>
      <c r="R193">
        <f>Return!R193-'Return Estimasi'!R193</f>
        <v>-1.8979864673208946E-2</v>
      </c>
      <c r="S193">
        <f>Return!S193-'Return Estimasi'!S193</f>
        <v>1.3741285430129632E-2</v>
      </c>
      <c r="T193">
        <f>Return!T193-'Return Estimasi'!T193</f>
        <v>-5.4392986617369306E-4</v>
      </c>
      <c r="U193">
        <f>Return!U193-'Return Estimasi'!U193</f>
        <v>4.6162214343462311E-3</v>
      </c>
      <c r="V193">
        <f>Return!V193-'Return Estimasi'!V193</f>
        <v>2.9424845939058388E-2</v>
      </c>
      <c r="W193">
        <f>Return!W193-'Return Estimasi'!W193</f>
        <v>1.7055017726111496E-2</v>
      </c>
      <c r="X193">
        <f>Return!X193-'Return Estimasi'!X193</f>
        <v>1.5190310090705331E-3</v>
      </c>
      <c r="Y193">
        <f>Return!Y193-'Return Estimasi'!Y193</f>
        <v>5.0080137037142106E-3</v>
      </c>
      <c r="Z193">
        <f>Return!Z193-'Return Estimasi'!Z193</f>
        <v>-7.7074977270172006E-3</v>
      </c>
      <c r="AA193">
        <f>Return!AA193-'Return Estimasi'!AA193</f>
        <v>-1.3771054626206916E-2</v>
      </c>
      <c r="AB193">
        <f>Return!AB193-'Return Estimasi'!AB193</f>
        <v>1.9324738017506462E-3</v>
      </c>
      <c r="AC193">
        <f>Return!AC193-'Return Estimasi'!AC193</f>
        <v>-1.2466028358811899E-2</v>
      </c>
      <c r="AD193">
        <f>Return!AD193-'Return Estimasi'!AD193</f>
        <v>6.5607462446330162E-3</v>
      </c>
      <c r="AE193">
        <f>Return!AE193-'Return Estimasi'!AE193</f>
        <v>-4.980730567597738E-3</v>
      </c>
      <c r="AF193">
        <f>Return!AF193-'Return Estimasi'!AF193</f>
        <v>-16.708140427880682</v>
      </c>
    </row>
    <row r="194" spans="1:32" x14ac:dyDescent="0.3">
      <c r="A194" s="3" t="s">
        <v>116</v>
      </c>
      <c r="B194">
        <f>('Data Saham'!B194-'Data Saham'!B193)/'Data Saham'!B193</f>
        <v>4.215086735079171E-3</v>
      </c>
      <c r="C194">
        <f>Return!C194-'Return Estimasi'!C194</f>
        <v>1.3546382281142688E-2</v>
      </c>
      <c r="D194">
        <f>Return!D194-'Return Estimasi'!D194</f>
        <v>-7.9807146709397203E-3</v>
      </c>
      <c r="E194">
        <f>Return!E194-'Return Estimasi'!E194</f>
        <v>-1.8694715672500171E-2</v>
      </c>
      <c r="F194">
        <f>Return!F194-'Return Estimasi'!F194</f>
        <v>-5.7644241145408002E-3</v>
      </c>
      <c r="G194">
        <f>Return!G194-'Return Estimasi'!G194</f>
        <v>1.2180344213454895E-2</v>
      </c>
      <c r="H194">
        <f>Return!H194-'Return Estimasi'!H194</f>
        <v>4.3743667683956364E-3</v>
      </c>
      <c r="I194">
        <f>Return!I194-'Return Estimasi'!I194</f>
        <v>-8.8232927809405708E-3</v>
      </c>
      <c r="J194">
        <f>Return!J194-'Return Estimasi'!J194</f>
        <v>1.3663800911085738E-2</v>
      </c>
      <c r="K194">
        <f>Return!K194-'Return Estimasi'!K194</f>
        <v>-7.9204167347331662E-3</v>
      </c>
      <c r="L194">
        <f>Return!L194-'Return Estimasi'!L194</f>
        <v>-2.205463765611284E-3</v>
      </c>
      <c r="M194">
        <f>Return!M194-'Return Estimasi'!M194</f>
        <v>2.9882992931892713E-2</v>
      </c>
      <c r="N194">
        <f>Return!N194-'Return Estimasi'!N194</f>
        <v>2.8247805337036011E-2</v>
      </c>
      <c r="O194">
        <f>Return!O194-'Return Estimasi'!O194</f>
        <v>2.2357121991138571E-2</v>
      </c>
      <c r="P194">
        <f>Return!P194-'Return Estimasi'!P194</f>
        <v>-1.8268178109493098E-3</v>
      </c>
      <c r="Q194">
        <f>Return!Q194-'Return Estimasi'!Q194</f>
        <v>-4.2386064505357042E-2</v>
      </c>
      <c r="R194">
        <f>Return!R194-'Return Estimasi'!R194</f>
        <v>1.9205965261548202E-2</v>
      </c>
      <c r="S194">
        <f>Return!S194-'Return Estimasi'!S194</f>
        <v>-2.1594817175082964E-2</v>
      </c>
      <c r="T194">
        <f>Return!T194-'Return Estimasi'!T194</f>
        <v>-2.2045063496034561E-2</v>
      </c>
      <c r="U194">
        <f>Return!U194-'Return Estimasi'!U194</f>
        <v>6.3745653727397839E-3</v>
      </c>
      <c r="V194">
        <f>Return!V194-'Return Estimasi'!V194</f>
        <v>2.0339856363189176E-3</v>
      </c>
      <c r="W194">
        <f>Return!W194-'Return Estimasi'!W194</f>
        <v>-3.0182943686606838E-2</v>
      </c>
      <c r="X194">
        <f>Return!X194-'Return Estimasi'!X194</f>
        <v>8.1562916647871346E-3</v>
      </c>
      <c r="Y194">
        <f>Return!Y194-'Return Estimasi'!Y194</f>
        <v>2.1679802559734382E-2</v>
      </c>
      <c r="Z194">
        <f>Return!Z194-'Return Estimasi'!Z194</f>
        <v>-7.0432101434506605E-3</v>
      </c>
      <c r="AA194">
        <f>Return!AA194-'Return Estimasi'!AA194</f>
        <v>1.3900238263145829E-2</v>
      </c>
      <c r="AB194">
        <f>Return!AB194-'Return Estimasi'!AB194</f>
        <v>-1.8947427660303742E-2</v>
      </c>
      <c r="AC194">
        <f>Return!AC194-'Return Estimasi'!AC194</f>
        <v>-4.7981475448348174E-2</v>
      </c>
      <c r="AD194">
        <f>Return!AD194-'Return Estimasi'!AD194</f>
        <v>-1.9092165080901252E-2</v>
      </c>
      <c r="AE194">
        <f>Return!AE194-'Return Estimasi'!AE194</f>
        <v>2.6318228786047274E-3</v>
      </c>
      <c r="AF194">
        <f>Return!AF194-'Return Estimasi'!AF194</f>
        <v>-16.572772489223681</v>
      </c>
    </row>
    <row r="195" spans="1:32" x14ac:dyDescent="0.3">
      <c r="A195" s="4" t="s">
        <v>117</v>
      </c>
      <c r="B195">
        <f>('Data Saham'!B195-'Data Saham'!B194)/'Data Saham'!B194</f>
        <v>-7.0623560001109769E-3</v>
      </c>
      <c r="C195">
        <f>Return!C195-'Return Estimasi'!C195</f>
        <v>-1.0643022617274584E-2</v>
      </c>
      <c r="D195">
        <f>Return!D195-'Return Estimasi'!D195</f>
        <v>8.4214308816246176E-3</v>
      </c>
      <c r="E195">
        <f>Return!E195-'Return Estimasi'!E195</f>
        <v>-2.9691332588794158E-3</v>
      </c>
      <c r="F195">
        <f>Return!F195-'Return Estimasi'!F195</f>
        <v>-3.1459586540313281E-3</v>
      </c>
      <c r="G195">
        <f>Return!G195-'Return Estimasi'!G195</f>
        <v>4.7443813147017219E-3</v>
      </c>
      <c r="H195">
        <f>Return!H195-'Return Estimasi'!H195</f>
        <v>-7.1080556096253748E-3</v>
      </c>
      <c r="I195">
        <f>Return!I195-'Return Estimasi'!I195</f>
        <v>-7.1176931577938011E-3</v>
      </c>
      <c r="J195">
        <f>Return!J195-'Return Estimasi'!J195</f>
        <v>-5.2106906334362987E-3</v>
      </c>
      <c r="K195">
        <f>Return!K195-'Return Estimasi'!K195</f>
        <v>1.0604355063949519E-2</v>
      </c>
      <c r="L195">
        <f>Return!L195-'Return Estimasi'!L195</f>
        <v>1.8131311068768557E-2</v>
      </c>
      <c r="M195">
        <f>Return!M195-'Return Estimasi'!M195</f>
        <v>1.7370335314120843E-3</v>
      </c>
      <c r="N195">
        <f>Return!N195-'Return Estimasi'!N195</f>
        <v>-1.1230972269906381E-3</v>
      </c>
      <c r="O195">
        <f>Return!O195-'Return Estimasi'!O195</f>
        <v>-9.1722533908562484E-3</v>
      </c>
      <c r="P195">
        <f>Return!P195-'Return Estimasi'!P195</f>
        <v>1.6712668196182126E-2</v>
      </c>
      <c r="Q195">
        <f>Return!Q195-'Return Estimasi'!Q195</f>
        <v>1.8533115613660577E-4</v>
      </c>
      <c r="R195">
        <f>Return!R195-'Return Estimasi'!R195</f>
        <v>-3.1875329855556057E-3</v>
      </c>
      <c r="S195">
        <f>Return!S195-'Return Estimasi'!S195</f>
        <v>-4.5872549047100506E-4</v>
      </c>
      <c r="T195">
        <f>Return!T195-'Return Estimasi'!T195</f>
        <v>1.8013035300700506E-2</v>
      </c>
      <c r="U195">
        <f>Return!U195-'Return Estimasi'!U195</f>
        <v>-1.8430623548947447E-2</v>
      </c>
      <c r="V195">
        <f>Return!V195-'Return Estimasi'!V195</f>
        <v>6.7531609945264189E-4</v>
      </c>
      <c r="W195">
        <f>Return!W195-'Return Estimasi'!W195</f>
        <v>-3.5350424708902789E-2</v>
      </c>
      <c r="X195">
        <f>Return!X195-'Return Estimasi'!X195</f>
        <v>2.0065345645310907E-2</v>
      </c>
      <c r="Y195">
        <f>Return!Y195-'Return Estimasi'!Y195</f>
        <v>2.1313826641346078E-3</v>
      </c>
      <c r="Z195">
        <f>Return!Z195-'Return Estimasi'!Z195</f>
        <v>1.6893091990255729E-3</v>
      </c>
      <c r="AA195">
        <f>Return!AA195-'Return Estimasi'!AA195</f>
        <v>-1.492172073010831E-2</v>
      </c>
      <c r="AB195">
        <f>Return!AB195-'Return Estimasi'!AB195</f>
        <v>8.3121497687388222E-3</v>
      </c>
      <c r="AC195">
        <f>Return!AC195-'Return Estimasi'!AC195</f>
        <v>1.7857335777766097E-2</v>
      </c>
      <c r="AD195">
        <f>Return!AD195-'Return Estimasi'!AD195</f>
        <v>7.1929568474737304E-3</v>
      </c>
      <c r="AE195">
        <f>Return!AE195-'Return Estimasi'!AE195</f>
        <v>-3.5817690789541334E-4</v>
      </c>
      <c r="AF195">
        <f>Return!AF195-'Return Estimasi'!AF195</f>
        <v>-16.89572778910463</v>
      </c>
    </row>
    <row r="196" spans="1:32" x14ac:dyDescent="0.3">
      <c r="A196" s="3" t="s">
        <v>118</v>
      </c>
      <c r="B196">
        <f>('Data Saham'!B196-'Data Saham'!B195)/'Data Saham'!B195</f>
        <v>-5.4596623326399508E-3</v>
      </c>
      <c r="C196">
        <f>Return!C196-'Return Estimasi'!C196</f>
        <v>6.3289092675653698E-3</v>
      </c>
      <c r="D196">
        <f>Return!D196-'Return Estimasi'!D196</f>
        <v>4.1857938936554389E-3</v>
      </c>
      <c r="E196">
        <f>Return!E196-'Return Estimasi'!E196</f>
        <v>5.2663006370304959E-3</v>
      </c>
      <c r="F196">
        <f>Return!F196-'Return Estimasi'!F196</f>
        <v>7.2402114622539815E-5</v>
      </c>
      <c r="G196">
        <f>Return!G196-'Return Estimasi'!G196</f>
        <v>4.187417131516968E-4</v>
      </c>
      <c r="H196">
        <f>Return!H196-'Return Estimasi'!H196</f>
        <v>2.24512947741328E-2</v>
      </c>
      <c r="I196">
        <f>Return!I196-'Return Estimasi'!I196</f>
        <v>4.1791061476929535E-3</v>
      </c>
      <c r="J196">
        <f>Return!J196-'Return Estimasi'!J196</f>
        <v>1.6281846622667271E-3</v>
      </c>
      <c r="K196">
        <f>Return!K196-'Return Estimasi'!K196</f>
        <v>-4.0554193109007888E-3</v>
      </c>
      <c r="L196">
        <f>Return!L196-'Return Estimasi'!L196</f>
        <v>8.1821707814176761E-3</v>
      </c>
      <c r="M196">
        <f>Return!M196-'Return Estimasi'!M196</f>
        <v>9.5864016566523692E-3</v>
      </c>
      <c r="N196">
        <f>Return!N196-'Return Estimasi'!N196</f>
        <v>-3.5566006591639943E-3</v>
      </c>
      <c r="O196">
        <f>Return!O196-'Return Estimasi'!O196</f>
        <v>8.4477599868573051E-3</v>
      </c>
      <c r="P196">
        <f>Return!P196-'Return Estimasi'!P196</f>
        <v>6.6823688914199979E-3</v>
      </c>
      <c r="Q196">
        <f>Return!Q196-'Return Estimasi'!Q196</f>
        <v>6.4738763544383883E-3</v>
      </c>
      <c r="R196">
        <f>Return!R196-'Return Estimasi'!R196</f>
        <v>-7.7893566584197847E-5</v>
      </c>
      <c r="S196">
        <f>Return!S196-'Return Estimasi'!S196</f>
        <v>1.6310016035675372E-2</v>
      </c>
      <c r="T196">
        <f>Return!T196-'Return Estimasi'!T196</f>
        <v>-1.2867158112483396E-2</v>
      </c>
      <c r="U196">
        <f>Return!U196-'Return Estimasi'!U196</f>
        <v>2.0948356677162421E-2</v>
      </c>
      <c r="V196">
        <f>Return!V196-'Return Estimasi'!V196</f>
        <v>8.7814378567970669E-6</v>
      </c>
      <c r="W196">
        <f>Return!W196-'Return Estimasi'!W196</f>
        <v>-3.7611925071562809E-2</v>
      </c>
      <c r="X196">
        <f>Return!X196-'Return Estimasi'!X196</f>
        <v>1.029905662889434E-2</v>
      </c>
      <c r="Y196">
        <f>Return!Y196-'Return Estimasi'!Y196</f>
        <v>8.502057859198513E-3</v>
      </c>
      <c r="Z196">
        <f>Return!Z196-'Return Estimasi'!Z196</f>
        <v>5.2759044686039817E-3</v>
      </c>
      <c r="AA196">
        <f>Return!AA196-'Return Estimasi'!AA196</f>
        <v>1.2436421334072606E-2</v>
      </c>
      <c r="AB196">
        <f>Return!AB196-'Return Estimasi'!AB196</f>
        <v>2.2249539650296371E-2</v>
      </c>
      <c r="AC196">
        <f>Return!AC196-'Return Estimasi'!AC196</f>
        <v>9.9413676980694195E-3</v>
      </c>
      <c r="AD196">
        <f>Return!AD196-'Return Estimasi'!AD196</f>
        <v>-4.8161027021654985E-3</v>
      </c>
      <c r="AE196">
        <f>Return!AE196-'Return Estimasi'!AE196</f>
        <v>-1.614583662723457E-3</v>
      </c>
      <c r="AF196">
        <f>Return!AF196-'Return Estimasi'!AF196</f>
        <v>-16.84512084222726</v>
      </c>
    </row>
    <row r="197" spans="1:32" x14ac:dyDescent="0.3">
      <c r="A197" s="4" t="s">
        <v>119</v>
      </c>
      <c r="B197">
        <f>('Data Saham'!B197-'Data Saham'!B196)/'Data Saham'!B196</f>
        <v>1.245621000924118E-2</v>
      </c>
      <c r="C197">
        <f>Return!C197-'Return Estimasi'!C197</f>
        <v>-9.0605803523371754E-3</v>
      </c>
      <c r="D197">
        <f>Return!D197-'Return Estimasi'!D197</f>
        <v>-1.0779859592778517E-2</v>
      </c>
      <c r="E197">
        <f>Return!E197-'Return Estimasi'!E197</f>
        <v>-7.3167015029576747E-3</v>
      </c>
      <c r="F197">
        <f>Return!F197-'Return Estimasi'!F197</f>
        <v>-1.2782574068369249E-2</v>
      </c>
      <c r="G197">
        <f>Return!G197-'Return Estimasi'!G197</f>
        <v>-4.1685037547395387E-3</v>
      </c>
      <c r="H197">
        <f>Return!H197-'Return Estimasi'!H197</f>
        <v>-1.2857755097258269E-3</v>
      </c>
      <c r="I197">
        <f>Return!I197-'Return Estimasi'!I197</f>
        <v>2.6466634368512644E-3</v>
      </c>
      <c r="J197">
        <f>Return!J197-'Return Estimasi'!J197</f>
        <v>-7.1948552449864304E-3</v>
      </c>
      <c r="K197">
        <f>Return!K197-'Return Estimasi'!K197</f>
        <v>1.6053816909390915E-2</v>
      </c>
      <c r="L197">
        <f>Return!L197-'Return Estimasi'!L197</f>
        <v>-5.1768778599624466E-3</v>
      </c>
      <c r="M197">
        <f>Return!M197-'Return Estimasi'!M197</f>
        <v>7.6437793935033999E-3</v>
      </c>
      <c r="N197">
        <f>Return!N197-'Return Estimasi'!N197</f>
        <v>3.9234863724308046E-2</v>
      </c>
      <c r="O197">
        <f>Return!O197-'Return Estimasi'!O197</f>
        <v>-7.7472828100776277E-4</v>
      </c>
      <c r="P197">
        <f>Return!P197-'Return Estimasi'!P197</f>
        <v>8.0189227555590471E-3</v>
      </c>
      <c r="Q197">
        <f>Return!Q197-'Return Estimasi'!Q197</f>
        <v>6.0806001708757704E-3</v>
      </c>
      <c r="R197">
        <f>Return!R197-'Return Estimasi'!R197</f>
        <v>1.0076264651173466E-2</v>
      </c>
      <c r="S197">
        <f>Return!S197-'Return Estimasi'!S197</f>
        <v>-1.7574840184545026E-2</v>
      </c>
      <c r="T197">
        <f>Return!T197-'Return Estimasi'!T197</f>
        <v>-1.5783649835413568E-2</v>
      </c>
      <c r="U197">
        <f>Return!U197-'Return Estimasi'!U197</f>
        <v>-3.2617778794251331E-2</v>
      </c>
      <c r="V197">
        <f>Return!V197-'Return Estimasi'!V197</f>
        <v>-1.3089692292792113E-2</v>
      </c>
      <c r="W197">
        <f>Return!W197-'Return Estimasi'!W197</f>
        <v>2.2044274940679672E-2</v>
      </c>
      <c r="X197">
        <f>Return!X197-'Return Estimasi'!X197</f>
        <v>-8.7243827370086235E-3</v>
      </c>
      <c r="Y197">
        <f>Return!Y197-'Return Estimasi'!Y197</f>
        <v>-1.0869597734762483E-2</v>
      </c>
      <c r="Z197">
        <f>Return!Z197-'Return Estimasi'!Z197</f>
        <v>-8.6338809086658284E-3</v>
      </c>
      <c r="AA197">
        <f>Return!AA197-'Return Estimasi'!AA197</f>
        <v>-2.9472531264863648E-2</v>
      </c>
      <c r="AB197">
        <f>Return!AB197-'Return Estimasi'!AB197</f>
        <v>-2.7625195163280936E-2</v>
      </c>
      <c r="AC197">
        <f>Return!AC197-'Return Estimasi'!AC197</f>
        <v>-1.187877449995259E-2</v>
      </c>
      <c r="AD197">
        <f>Return!AD197-'Return Estimasi'!AD197</f>
        <v>2.0210062418265277E-2</v>
      </c>
      <c r="AE197">
        <f>Return!AE197-'Return Estimasi'!AE197</f>
        <v>-9.4698239246788669E-3</v>
      </c>
      <c r="AF197">
        <f>Return!AF197-'Return Estimasi'!AF197</f>
        <v>-16.32970071693563</v>
      </c>
    </row>
    <row r="198" spans="1:32" x14ac:dyDescent="0.3">
      <c r="A198" s="3" t="s">
        <v>120</v>
      </c>
      <c r="B198">
        <f>('Data Saham'!B198-'Data Saham'!B197)/'Data Saham'!B197</f>
        <v>3.1003232202644193E-4</v>
      </c>
      <c r="C198">
        <f>Return!C198-'Return Estimasi'!C198</f>
        <v>7.6033499653393056E-3</v>
      </c>
      <c r="D198">
        <f>Return!D198-'Return Estimasi'!D198</f>
        <v>-3.3234060418072302E-2</v>
      </c>
      <c r="E198">
        <f>Return!E198-'Return Estimasi'!E198</f>
        <v>4.5458558834745059E-3</v>
      </c>
      <c r="F198">
        <f>Return!F198-'Return Estimasi'!F198</f>
        <v>2.5668969690263645E-2</v>
      </c>
      <c r="G198">
        <f>Return!G198-'Return Estimasi'!G198</f>
        <v>-4.7624039198803795E-3</v>
      </c>
      <c r="H198">
        <f>Return!H198-'Return Estimasi'!H198</f>
        <v>3.0840989773157391E-3</v>
      </c>
      <c r="I198">
        <f>Return!I198-'Return Estimasi'!I198</f>
        <v>-1.0314380498746348E-2</v>
      </c>
      <c r="J198">
        <f>Return!J198-'Return Estimasi'!J198</f>
        <v>-2.9235803963810958E-5</v>
      </c>
      <c r="K198">
        <f>Return!K198-'Return Estimasi'!K198</f>
        <v>-7.1021511102937224E-2</v>
      </c>
      <c r="L198">
        <f>Return!L198-'Return Estimasi'!L198</f>
        <v>-4.178729936614522E-3</v>
      </c>
      <c r="M198">
        <f>Return!M198-'Return Estimasi'!M198</f>
        <v>-5.0870604162371651E-2</v>
      </c>
      <c r="N198">
        <f>Return!N198-'Return Estimasi'!N198</f>
        <v>-1.5462791287797885E-2</v>
      </c>
      <c r="O198">
        <f>Return!O198-'Return Estimasi'!O198</f>
        <v>5.4307877545307351E-3</v>
      </c>
      <c r="P198">
        <f>Return!P198-'Return Estimasi'!P198</f>
        <v>-1.5198946294946425E-2</v>
      </c>
      <c r="Q198">
        <f>Return!Q198-'Return Estimasi'!Q198</f>
        <v>-2.3223488092119896E-2</v>
      </c>
      <c r="R198">
        <f>Return!R198-'Return Estimasi'!R198</f>
        <v>-1.9666107368073209E-2</v>
      </c>
      <c r="S198">
        <f>Return!S198-'Return Estimasi'!S198</f>
        <v>-6.6817707413873544E-3</v>
      </c>
      <c r="T198">
        <f>Return!T198-'Return Estimasi'!T198</f>
        <v>-5.0970246820555261E-3</v>
      </c>
      <c r="U198">
        <f>Return!U198-'Return Estimasi'!U198</f>
        <v>7.0509655498667704E-3</v>
      </c>
      <c r="V198">
        <f>Return!V198-'Return Estimasi'!V198</f>
        <v>-3.6322715625346988E-3</v>
      </c>
      <c r="W198">
        <f>Return!W198-'Return Estimasi'!W198</f>
        <v>-5.8781088357659182E-3</v>
      </c>
      <c r="X198">
        <f>Return!X198-'Return Estimasi'!X198</f>
        <v>1.2172676940072779E-2</v>
      </c>
      <c r="Y198">
        <f>Return!Y198-'Return Estimasi'!Y198</f>
        <v>1.1581353048868681E-2</v>
      </c>
      <c r="Z198">
        <f>Return!Z198-'Return Estimasi'!Z198</f>
        <v>-4.058023862347368E-3</v>
      </c>
      <c r="AA198">
        <f>Return!AA198-'Return Estimasi'!AA198</f>
        <v>-1.1256750098084091E-2</v>
      </c>
      <c r="AB198">
        <f>Return!AB198-'Return Estimasi'!AB198</f>
        <v>5.4914590714715472E-4</v>
      </c>
      <c r="AC198">
        <f>Return!AC198-'Return Estimasi'!AC198</f>
        <v>-1.4038653453351557E-3</v>
      </c>
      <c r="AD198">
        <f>Return!AD198-'Return Estimasi'!AD198</f>
        <v>-2.0393995881532966E-2</v>
      </c>
      <c r="AE198">
        <f>Return!AE198-'Return Estimasi'!AE198</f>
        <v>-1.1898614977043398E-2</v>
      </c>
      <c r="AF198">
        <f>Return!AF198-'Return Estimasi'!AF198</f>
        <v>-16.688955180331508</v>
      </c>
    </row>
    <row r="199" spans="1:32" x14ac:dyDescent="0.3">
      <c r="A199" s="2">
        <v>46054</v>
      </c>
      <c r="B199">
        <f>('Data Saham'!B199-'Data Saham'!B198)/'Data Saham'!B198</f>
        <v>1.1702405706527244E-2</v>
      </c>
      <c r="C199">
        <f>Return!C199-'Return Estimasi'!C199</f>
        <v>-1.4605023217288491E-2</v>
      </c>
      <c r="D199">
        <f>Return!D199-'Return Estimasi'!D199</f>
        <v>-1.8155581641955694E-2</v>
      </c>
      <c r="E199">
        <f>Return!E199-'Return Estimasi'!E199</f>
        <v>-1.6431441339985829E-2</v>
      </c>
      <c r="F199">
        <f>Return!F199-'Return Estimasi'!F199</f>
        <v>-3.4973792842521764E-2</v>
      </c>
      <c r="G199">
        <f>Return!G199-'Return Estimasi'!G199</f>
        <v>-1.5033518538867146E-2</v>
      </c>
      <c r="H199">
        <f>Return!H199-'Return Estimasi'!H199</f>
        <v>6.5995735456717969E-3</v>
      </c>
      <c r="I199">
        <f>Return!I199-'Return Estimasi'!I199</f>
        <v>-1.8338370089670892E-2</v>
      </c>
      <c r="J199">
        <f>Return!J199-'Return Estimasi'!J199</f>
        <v>-1.8061992085197327E-2</v>
      </c>
      <c r="K199">
        <f>Return!K199-'Return Estimasi'!K199</f>
        <v>-6.8122481248604049E-3</v>
      </c>
      <c r="L199">
        <f>Return!L199-'Return Estimasi'!L199</f>
        <v>3.0904673445770851E-3</v>
      </c>
      <c r="M199">
        <f>Return!M199-'Return Estimasi'!M199</f>
        <v>2.5780598888628034E-3</v>
      </c>
      <c r="N199">
        <f>Return!N199-'Return Estimasi'!N199</f>
        <v>7.6798057880201331E-3</v>
      </c>
      <c r="O199">
        <f>Return!O199-'Return Estimasi'!O199</f>
        <v>4.7923195739165069E-3</v>
      </c>
      <c r="P199">
        <f>Return!P199-'Return Estimasi'!P199</f>
        <v>-8.412104373142661E-3</v>
      </c>
      <c r="Q199">
        <f>Return!Q199-'Return Estimasi'!Q199</f>
        <v>-1.4451092475519031E-2</v>
      </c>
      <c r="R199">
        <f>Return!R199-'Return Estimasi'!R199</f>
        <v>-6.0112980104193581E-3</v>
      </c>
      <c r="S199">
        <f>Return!S199-'Return Estimasi'!S199</f>
        <v>3.803746491068908E-4</v>
      </c>
      <c r="T199">
        <f>Return!T199-'Return Estimasi'!T199</f>
        <v>9.9064560316595815E-2</v>
      </c>
      <c r="U199">
        <f>Return!U199-'Return Estimasi'!U199</f>
        <v>-5.4894862136862649E-3</v>
      </c>
      <c r="V199">
        <f>Return!V199-'Return Estimasi'!V199</f>
        <v>9.6275782798020335E-3</v>
      </c>
      <c r="W199">
        <f>Return!W199-'Return Estimasi'!W199</f>
        <v>-4.891339021117376E-2</v>
      </c>
      <c r="X199">
        <f>Return!X199-'Return Estimasi'!X199</f>
        <v>7.9490379487225891E-3</v>
      </c>
      <c r="Y199">
        <f>Return!Y199-'Return Estimasi'!Y199</f>
        <v>-2.6551714550122922E-3</v>
      </c>
      <c r="Z199">
        <f>Return!Z199-'Return Estimasi'!Z199</f>
        <v>-8.0486313675255713E-3</v>
      </c>
      <c r="AA199">
        <f>Return!AA199-'Return Estimasi'!AA199</f>
        <v>-3.1155655322618464E-3</v>
      </c>
      <c r="AB199">
        <f>Return!AB199-'Return Estimasi'!AB199</f>
        <v>6.6678163775954508E-2</v>
      </c>
      <c r="AC199">
        <f>Return!AC199-'Return Estimasi'!AC199</f>
        <v>-2.3886918692551294E-2</v>
      </c>
      <c r="AD199">
        <f>Return!AD199-'Return Estimasi'!AD199</f>
        <v>-5.5770587113041087E-3</v>
      </c>
      <c r="AE199">
        <f>Return!AE199-'Return Estimasi'!AE199</f>
        <v>-2.9775374320047043E-3</v>
      </c>
      <c r="AF199">
        <f>Return!AF199-'Return Estimasi'!AF199</f>
        <v>-16.356918840400134</v>
      </c>
    </row>
    <row r="200" spans="1:32" x14ac:dyDescent="0.3">
      <c r="A200" s="1">
        <v>46143</v>
      </c>
      <c r="B200">
        <f>('Data Saham'!B200-'Data Saham'!B199)/'Data Saham'!B199</f>
        <v>1.2695284592250151E-2</v>
      </c>
      <c r="C200">
        <f>Return!C200-'Return Estimasi'!C200</f>
        <v>-3.0354125584881727E-3</v>
      </c>
      <c r="D200">
        <f>Return!D200-'Return Estimasi'!D200</f>
        <v>-1.6414734235881918E-2</v>
      </c>
      <c r="E200">
        <f>Return!E200-'Return Estimasi'!E200</f>
        <v>-1.7427276985213676E-2</v>
      </c>
      <c r="F200">
        <f>Return!F200-'Return Estimasi'!F200</f>
        <v>-1.7685407611355508E-2</v>
      </c>
      <c r="G200">
        <f>Return!G200-'Return Estimasi'!G200</f>
        <v>1.8645892572919633E-2</v>
      </c>
      <c r="H200">
        <f>Return!H200-'Return Estimasi'!H200</f>
        <v>2.035621441767695E-3</v>
      </c>
      <c r="I200">
        <f>Return!I200-'Return Estimasi'!I200</f>
        <v>-4.1929123078479407E-4</v>
      </c>
      <c r="J200">
        <f>Return!J200-'Return Estimasi'!J200</f>
        <v>2.2630166497940325E-2</v>
      </c>
      <c r="K200">
        <f>Return!K200-'Return Estimasi'!K200</f>
        <v>-2.2827567590478232E-3</v>
      </c>
      <c r="L200">
        <f>Return!L200-'Return Estimasi'!L200</f>
        <v>-8.6676593055852076E-3</v>
      </c>
      <c r="M200">
        <f>Return!M200-'Return Estimasi'!M200</f>
        <v>3.8641862084645581E-2</v>
      </c>
      <c r="N200">
        <f>Return!N200-'Return Estimasi'!N200</f>
        <v>4.8730723350960806E-2</v>
      </c>
      <c r="O200">
        <f>Return!O200-'Return Estimasi'!O200</f>
        <v>6.764942309364576E-3</v>
      </c>
      <c r="P200">
        <f>Return!P200-'Return Estimasi'!P200</f>
        <v>-2.6379383579936022E-2</v>
      </c>
      <c r="Q200">
        <f>Return!Q200-'Return Estimasi'!Q200</f>
        <v>3.1596872598419062E-3</v>
      </c>
      <c r="R200">
        <f>Return!R200-'Return Estimasi'!R200</f>
        <v>1.0004867893908651E-2</v>
      </c>
      <c r="S200">
        <f>Return!S200-'Return Estimasi'!S200</f>
        <v>-2.0372562355438616E-4</v>
      </c>
      <c r="T200">
        <f>Return!T200-'Return Estimasi'!T200</f>
        <v>-2.5614494319718115E-2</v>
      </c>
      <c r="U200">
        <f>Return!U200-'Return Estimasi'!U200</f>
        <v>-1.7912539509572452E-2</v>
      </c>
      <c r="V200">
        <f>Return!V200-'Return Estimasi'!V200</f>
        <v>1.163300625511695E-2</v>
      </c>
      <c r="W200">
        <f>Return!W200-'Return Estimasi'!W200</f>
        <v>-2.6332737965148668E-2</v>
      </c>
      <c r="X200">
        <f>Return!X200-'Return Estimasi'!X200</f>
        <v>6.6467629852307586E-3</v>
      </c>
      <c r="Y200">
        <f>Return!Y200-'Return Estimasi'!Y200</f>
        <v>-9.5223306815631851E-4</v>
      </c>
      <c r="Z200">
        <f>Return!Z200-'Return Estimasi'!Z200</f>
        <v>-3.9414483279006157E-3</v>
      </c>
      <c r="AA200">
        <f>Return!AA200-'Return Estimasi'!AA200</f>
        <v>-1.2908153774757587E-2</v>
      </c>
      <c r="AB200">
        <f>Return!AB200-'Return Estimasi'!AB200</f>
        <v>-2.6985075012579227E-2</v>
      </c>
      <c r="AC200">
        <f>Return!AC200-'Return Estimasi'!AC200</f>
        <v>7.3555950425384029E-4</v>
      </c>
      <c r="AD200">
        <f>Return!AD200-'Return Estimasi'!AD200</f>
        <v>-6.5570386161936658E-3</v>
      </c>
      <c r="AE200">
        <f>Return!AE200-'Return Estimasi'!AE200</f>
        <v>-3.7698766589597411E-3</v>
      </c>
      <c r="AF200">
        <f>Return!AF200-'Return Estimasi'!AF200</f>
        <v>-16.316918269187543</v>
      </c>
    </row>
    <row r="201" spans="1:32" x14ac:dyDescent="0.3">
      <c r="A201" s="2">
        <v>46174</v>
      </c>
      <c r="B201">
        <f>('Data Saham'!B201-'Data Saham'!B200)/'Data Saham'!B200</f>
        <v>8.4003165074910992E-3</v>
      </c>
      <c r="C201">
        <f>Return!C201-'Return Estimasi'!C201</f>
        <v>6.8072776930006487E-3</v>
      </c>
      <c r="D201">
        <f>Return!D201-'Return Estimasi'!D201</f>
        <v>4.3302239736026302E-3</v>
      </c>
      <c r="E201">
        <f>Return!E201-'Return Estimasi'!E201</f>
        <v>-4.1961233572790635E-2</v>
      </c>
      <c r="F201">
        <f>Return!F201-'Return Estimasi'!F201</f>
        <v>-4.6411740309242446E-3</v>
      </c>
      <c r="G201">
        <f>Return!G201-'Return Estimasi'!G201</f>
        <v>-2.5945027019469262E-2</v>
      </c>
      <c r="H201">
        <f>Return!H201-'Return Estimasi'!H201</f>
        <v>-2.4678508018326191E-3</v>
      </c>
      <c r="I201">
        <f>Return!I201-'Return Estimasi'!I201</f>
        <v>-1.6949865727790064E-3</v>
      </c>
      <c r="J201">
        <f>Return!J201-'Return Estimasi'!J201</f>
        <v>1.9544534168661656E-2</v>
      </c>
      <c r="K201">
        <f>Return!K201-'Return Estimasi'!K201</f>
        <v>4.3583054534467851E-3</v>
      </c>
      <c r="L201">
        <f>Return!L201-'Return Estimasi'!L201</f>
        <v>-2.8660536416834359E-4</v>
      </c>
      <c r="M201">
        <f>Return!M201-'Return Estimasi'!M201</f>
        <v>4.4334224740124745E-3</v>
      </c>
      <c r="N201">
        <f>Return!N201-'Return Estimasi'!N201</f>
        <v>7.9105564076743837E-2</v>
      </c>
      <c r="O201">
        <f>Return!O201-'Return Estimasi'!O201</f>
        <v>-3.2117259705802141E-2</v>
      </c>
      <c r="P201">
        <f>Return!P201-'Return Estimasi'!P201</f>
        <v>-2.2899137684500415E-2</v>
      </c>
      <c r="Q201">
        <f>Return!Q201-'Return Estimasi'!Q201</f>
        <v>-1.617505495146998E-2</v>
      </c>
      <c r="R201">
        <f>Return!R201-'Return Estimasi'!R201</f>
        <v>-2.8567674535957557E-2</v>
      </c>
      <c r="S201">
        <f>Return!S201-'Return Estimasi'!S201</f>
        <v>-2.2869266180296118E-3</v>
      </c>
      <c r="T201">
        <f>Return!T201-'Return Estimasi'!T201</f>
        <v>-4.4514962612616442E-2</v>
      </c>
      <c r="U201">
        <f>Return!U201-'Return Estimasi'!U201</f>
        <v>-2.4541484846068953E-2</v>
      </c>
      <c r="V201">
        <f>Return!V201-'Return Estimasi'!V201</f>
        <v>7.7417918560111956E-3</v>
      </c>
      <c r="W201">
        <f>Return!W201-'Return Estimasi'!W201</f>
        <v>-3.0721390980111021E-2</v>
      </c>
      <c r="X201">
        <f>Return!X201-'Return Estimasi'!X201</f>
        <v>-1.5956213672575322E-2</v>
      </c>
      <c r="Y201">
        <f>Return!Y201-'Return Estimasi'!Y201</f>
        <v>-7.5896206405400499E-3</v>
      </c>
      <c r="Z201">
        <f>Return!Z201-'Return Estimasi'!Z201</f>
        <v>4.2238305050014031E-3</v>
      </c>
      <c r="AA201">
        <f>Return!AA201-'Return Estimasi'!AA201</f>
        <v>-2.0590848802285573E-2</v>
      </c>
      <c r="AB201">
        <f>Return!AB201-'Return Estimasi'!AB201</f>
        <v>-7.9697905119436394E-3</v>
      </c>
      <c r="AC201">
        <f>Return!AC201-'Return Estimasi'!AC201</f>
        <v>2.3264612875457891E-2</v>
      </c>
      <c r="AD201">
        <f>Return!AD201-'Return Estimasi'!AD201</f>
        <v>7.8998810772401024E-3</v>
      </c>
      <c r="AE201">
        <f>Return!AE201-'Return Estimasi'!AE201</f>
        <v>1.1168542821177078E-2</v>
      </c>
      <c r="AF201">
        <f>Return!AF201-'Return Estimasi'!AF201</f>
        <v>-16.42566428084589</v>
      </c>
    </row>
    <row r="202" spans="1:32" x14ac:dyDescent="0.3">
      <c r="A202" s="1">
        <v>46204</v>
      </c>
      <c r="B202">
        <f>('Data Saham'!B202-'Data Saham'!B201)/'Data Saham'!B201</f>
        <v>1.2536925162391136E-3</v>
      </c>
      <c r="C202">
        <f>Return!C202-'Return Estimasi'!C202</f>
        <v>-2.4958748221181734E-3</v>
      </c>
      <c r="D202">
        <f>Return!D202-'Return Estimasi'!D202</f>
        <v>3.0187740651479228E-3</v>
      </c>
      <c r="E202">
        <f>Return!E202-'Return Estimasi'!E202</f>
        <v>-1.5648034615075676E-2</v>
      </c>
      <c r="F202">
        <f>Return!F202-'Return Estimasi'!F202</f>
        <v>-1.0385885678217221E-2</v>
      </c>
      <c r="G202">
        <f>Return!G202-'Return Estimasi'!G202</f>
        <v>2.934642407088578E-3</v>
      </c>
      <c r="H202">
        <f>Return!H202-'Return Estimasi'!H202</f>
        <v>1.6819845354392703E-2</v>
      </c>
      <c r="I202">
        <f>Return!I202-'Return Estimasi'!I202</f>
        <v>-4.8389663348509214E-3</v>
      </c>
      <c r="J202">
        <f>Return!J202-'Return Estimasi'!J202</f>
        <v>-3.9586028857735642E-2</v>
      </c>
      <c r="K202">
        <f>Return!K202-'Return Estimasi'!K202</f>
        <v>7.5246893359091238E-2</v>
      </c>
      <c r="L202">
        <f>Return!L202-'Return Estimasi'!L202</f>
        <v>2.3043999058358182E-3</v>
      </c>
      <c r="M202">
        <f>Return!M202-'Return Estimasi'!M202</f>
        <v>0.10961037981815087</v>
      </c>
      <c r="N202">
        <f>Return!N202-'Return Estimasi'!N202</f>
        <v>7.858303851430045E-3</v>
      </c>
      <c r="O202">
        <f>Return!O202-'Return Estimasi'!O202</f>
        <v>2.3367558244177182E-2</v>
      </c>
      <c r="P202">
        <f>Return!P202-'Return Estimasi'!P202</f>
        <v>7.7780336641089867E-4</v>
      </c>
      <c r="Q202">
        <f>Return!Q202-'Return Estimasi'!Q202</f>
        <v>4.9292274490741812E-2</v>
      </c>
      <c r="R202">
        <f>Return!R202-'Return Estimasi'!R202</f>
        <v>1.0656964685334415E-4</v>
      </c>
      <c r="S202">
        <f>Return!S202-'Return Estimasi'!S202</f>
        <v>-7.1374287452605992E-3</v>
      </c>
      <c r="T202">
        <f>Return!T202-'Return Estimasi'!T202</f>
        <v>-7.1177126047912959E-2</v>
      </c>
      <c r="U202">
        <f>Return!U202-'Return Estimasi'!U202</f>
        <v>6.0462447005625239E-3</v>
      </c>
      <c r="V202">
        <f>Return!V202-'Return Estimasi'!V202</f>
        <v>6.0741282828031947E-3</v>
      </c>
      <c r="W202">
        <f>Return!W202-'Return Estimasi'!W202</f>
        <v>-3.6366137673658074E-2</v>
      </c>
      <c r="X202">
        <f>Return!X202-'Return Estimasi'!X202</f>
        <v>-1.2393523072597295E-2</v>
      </c>
      <c r="Y202">
        <f>Return!Y202-'Return Estimasi'!Y202</f>
        <v>5.9991221069158004E-4</v>
      </c>
      <c r="Z202">
        <f>Return!Z202-'Return Estimasi'!Z202</f>
        <v>-9.5516921634440973E-3</v>
      </c>
      <c r="AA202">
        <f>Return!AA202-'Return Estimasi'!AA202</f>
        <v>-8.098548258654345E-3</v>
      </c>
      <c r="AB202">
        <f>Return!AB202-'Return Estimasi'!AB202</f>
        <v>-1.515039513706321E-2</v>
      </c>
      <c r="AC202">
        <f>Return!AC202-'Return Estimasi'!AC202</f>
        <v>2.8457165192625655E-2</v>
      </c>
      <c r="AD202">
        <f>Return!AD202-'Return Estimasi'!AD202</f>
        <v>-1.0990740636969363E-2</v>
      </c>
      <c r="AE202">
        <f>Return!AE202-'Return Estimasi'!AE202</f>
        <v>-1.2416941655661576E-2</v>
      </c>
      <c r="AF202">
        <f>Return!AF202-'Return Estimasi'!AF202</f>
        <v>-16.650588829032873</v>
      </c>
    </row>
    <row r="203" spans="1:32" x14ac:dyDescent="0.3">
      <c r="A203" s="2">
        <v>46235</v>
      </c>
      <c r="B203">
        <f>('Data Saham'!B203-'Data Saham'!B202)/'Data Saham'!B202</f>
        <v>-2.1621476588099854E-3</v>
      </c>
      <c r="C203">
        <f>Return!C203-'Return Estimasi'!C203</f>
        <v>-8.7735494451752598E-3</v>
      </c>
      <c r="D203">
        <f>Return!D203-'Return Estimasi'!D203</f>
        <v>3.645775050953945E-3</v>
      </c>
      <c r="E203">
        <f>Return!E203-'Return Estimasi'!E203</f>
        <v>2.0391642094754782E-3</v>
      </c>
      <c r="F203">
        <f>Return!F203-'Return Estimasi'!F203</f>
        <v>4.322305957481733E-3</v>
      </c>
      <c r="G203">
        <f>Return!G203-'Return Estimasi'!G203</f>
        <v>-2.494856515160261E-3</v>
      </c>
      <c r="H203">
        <f>Return!H203-'Return Estimasi'!H203</f>
        <v>-2.5567008115094771E-3</v>
      </c>
      <c r="I203">
        <f>Return!I203-'Return Estimasi'!I203</f>
        <v>-3.2402623137457211E-4</v>
      </c>
      <c r="J203">
        <f>Return!J203-'Return Estimasi'!J203</f>
        <v>-1.4188958154608538E-2</v>
      </c>
      <c r="K203">
        <f>Return!K203-'Return Estimasi'!K203</f>
        <v>1.0664692539259621E-2</v>
      </c>
      <c r="L203">
        <f>Return!L203-'Return Estimasi'!L203</f>
        <v>1.3490466270825799E-4</v>
      </c>
      <c r="M203">
        <f>Return!M203-'Return Estimasi'!M203</f>
        <v>-9.6523908699867073E-2</v>
      </c>
      <c r="N203">
        <f>Return!N203-'Return Estimasi'!N203</f>
        <v>-5.3566684532265735E-2</v>
      </c>
      <c r="O203">
        <f>Return!O203-'Return Estimasi'!O203</f>
        <v>9.1484237024067935E-3</v>
      </c>
      <c r="P203">
        <f>Return!P203-'Return Estimasi'!P203</f>
        <v>-1.3916993778582151E-2</v>
      </c>
      <c r="Q203">
        <f>Return!Q203-'Return Estimasi'!Q203</f>
        <v>7.5293304769056935E-2</v>
      </c>
      <c r="R203">
        <f>Return!R203-'Return Estimasi'!R203</f>
        <v>-2.0775085919097751E-3</v>
      </c>
      <c r="S203">
        <f>Return!S203-'Return Estimasi'!S203</f>
        <v>-9.717939062877462E-3</v>
      </c>
      <c r="T203">
        <f>Return!T203-'Return Estimasi'!T203</f>
        <v>-3.8034211555548372E-3</v>
      </c>
      <c r="U203">
        <f>Return!U203-'Return Estimasi'!U203</f>
        <v>-5.4784177953020926E-3</v>
      </c>
      <c r="V203">
        <f>Return!V203-'Return Estimasi'!V203</f>
        <v>6.7773236799698044E-3</v>
      </c>
      <c r="W203">
        <f>Return!W203-'Return Estimasi'!W203</f>
        <v>1.4976865009711536E-2</v>
      </c>
      <c r="X203">
        <f>Return!X203-'Return Estimasi'!X203</f>
        <v>-9.0125885167820861E-3</v>
      </c>
      <c r="Y203">
        <f>Return!Y203-'Return Estimasi'!Y203</f>
        <v>-6.7057496611475764E-3</v>
      </c>
      <c r="Z203">
        <f>Return!Z203-'Return Estimasi'!Z203</f>
        <v>2.7157320965252984E-3</v>
      </c>
      <c r="AA203">
        <f>Return!AA203-'Return Estimasi'!AA203</f>
        <v>-2.1239429650593295E-2</v>
      </c>
      <c r="AB203">
        <f>Return!AB203-'Return Estimasi'!AB203</f>
        <v>-1.177306229619738E-2</v>
      </c>
      <c r="AC203">
        <f>Return!AC203-'Return Estimasi'!AC203</f>
        <v>-2.9033752827401844E-2</v>
      </c>
      <c r="AD203">
        <f>Return!AD203-'Return Estimasi'!AD203</f>
        <v>-1.2972927012483492E-2</v>
      </c>
      <c r="AE203">
        <f>Return!AE203-'Return Estimasi'!AE203</f>
        <v>7.4974331518787782E-3</v>
      </c>
      <c r="AF203">
        <f>Return!AF203-'Return Estimasi'!AF203</f>
        <v>-16.746664108505964</v>
      </c>
    </row>
    <row r="204" spans="1:32" x14ac:dyDescent="0.3">
      <c r="A204" s="1">
        <v>46266</v>
      </c>
      <c r="B204">
        <f>('Data Saham'!B204-'Data Saham'!B203)/'Data Saham'!B203</f>
        <v>1.2637989932183578E-3</v>
      </c>
      <c r="C204">
        <f>Return!C204-'Return Estimasi'!C204</f>
        <v>9.8703180140766022E-3</v>
      </c>
      <c r="D204">
        <f>Return!D204-'Return Estimasi'!D204</f>
        <v>-1.0512200455598508E-2</v>
      </c>
      <c r="E204">
        <f>Return!E204-'Return Estimasi'!E204</f>
        <v>-1.1708673491312941E-2</v>
      </c>
      <c r="F204">
        <f>Return!F204-'Return Estimasi'!F204</f>
        <v>-8.0863745150043052E-3</v>
      </c>
      <c r="G204">
        <f>Return!G204-'Return Estimasi'!G204</f>
        <v>-2.5419169767355226E-2</v>
      </c>
      <c r="H204">
        <f>Return!H204-'Return Estimasi'!H204</f>
        <v>-1.9160038984393425E-2</v>
      </c>
      <c r="I204">
        <f>Return!I204-'Return Estimasi'!I204</f>
        <v>-1.7856749215312791E-3</v>
      </c>
      <c r="J204">
        <f>Return!J204-'Return Estimasi'!J204</f>
        <v>-4.0768026957529596E-3</v>
      </c>
      <c r="K204">
        <f>Return!K204-'Return Estimasi'!K204</f>
        <v>3.1972148857474986E-2</v>
      </c>
      <c r="L204">
        <f>Return!L204-'Return Estimasi'!L204</f>
        <v>-3.3836752952703898E-3</v>
      </c>
      <c r="M204">
        <f>Return!M204-'Return Estimasi'!M204</f>
        <v>3.3773158159359037E-2</v>
      </c>
      <c r="N204">
        <f>Return!N204-'Return Estimasi'!N204</f>
        <v>5.5124177041258611E-2</v>
      </c>
      <c r="O204">
        <f>Return!O204-'Return Estimasi'!O204</f>
        <v>7.3312223440937675E-3</v>
      </c>
      <c r="P204">
        <f>Return!P204-'Return Estimasi'!P204</f>
        <v>2.7795941491109026E-2</v>
      </c>
      <c r="Q204">
        <f>Return!Q204-'Return Estimasi'!Q204</f>
        <v>-1.2652377871536571E-2</v>
      </c>
      <c r="R204">
        <f>Return!R204-'Return Estimasi'!R204</f>
        <v>-4.1010285089864359E-3</v>
      </c>
      <c r="S204">
        <f>Return!S204-'Return Estimasi'!S204</f>
        <v>-2.8149307434795507E-3</v>
      </c>
      <c r="T204">
        <f>Return!T204-'Return Estimasi'!T204</f>
        <v>1.7845203000781653E-2</v>
      </c>
      <c r="U204">
        <f>Return!U204-'Return Estimasi'!U204</f>
        <v>6.0351710354789893E-3</v>
      </c>
      <c r="V204">
        <f>Return!V204-'Return Estimasi'!V204</f>
        <v>-5.8687299506555938E-3</v>
      </c>
      <c r="W204">
        <f>Return!W204-'Return Estimasi'!W204</f>
        <v>-1.4030389660658663E-3</v>
      </c>
      <c r="X204">
        <f>Return!X204-'Return Estimasi'!X204</f>
        <v>-4.8721805158069642E-3</v>
      </c>
      <c r="Y204">
        <f>Return!Y204-'Return Estimasi'!Y204</f>
        <v>-9.5347159832949932E-3</v>
      </c>
      <c r="Z204">
        <f>Return!Z204-'Return Estimasi'!Z204</f>
        <v>4.9102147704838455E-3</v>
      </c>
      <c r="AA204">
        <f>Return!AA204-'Return Estimasi'!AA204</f>
        <v>-3.8549790922861151E-3</v>
      </c>
      <c r="AB204">
        <f>Return!AB204-'Return Estimasi'!AB204</f>
        <v>-4.551547384506428E-4</v>
      </c>
      <c r="AC204">
        <f>Return!AC204-'Return Estimasi'!AC204</f>
        <v>-1.4496335947068359E-2</v>
      </c>
      <c r="AD204">
        <f>Return!AD204-'Return Estimasi'!AD204</f>
        <v>5.679526642129195E-2</v>
      </c>
      <c r="AE204">
        <f>Return!AE204-'Return Estimasi'!AE204</f>
        <v>1.6410640786361941E-2</v>
      </c>
      <c r="AF204">
        <f>Return!AF204-'Return Estimasi'!AF204</f>
        <v>-16.608459370974689</v>
      </c>
    </row>
    <row r="205" spans="1:32" x14ac:dyDescent="0.3">
      <c r="A205" s="2">
        <v>46357</v>
      </c>
      <c r="B205">
        <f>('Data Saham'!B205-'Data Saham'!B204)/'Data Saham'!B204</f>
        <v>-5.8220270232467791E-3</v>
      </c>
      <c r="C205">
        <f>Return!C205-'Return Estimasi'!C205</f>
        <v>-5.6675167206144458E-3</v>
      </c>
      <c r="D205">
        <f>Return!D205-'Return Estimasi'!D205</f>
        <v>9.9769199627305107E-3</v>
      </c>
      <c r="E205">
        <f>Return!E205-'Return Estimasi'!E205</f>
        <v>7.7217717811482161E-3</v>
      </c>
      <c r="F205">
        <f>Return!F205-'Return Estimasi'!F205</f>
        <v>1.4610714063456175E-2</v>
      </c>
      <c r="G205">
        <f>Return!G205-'Return Estimasi'!G205</f>
        <v>2.3916879348953746E-2</v>
      </c>
      <c r="H205">
        <f>Return!H205-'Return Estimasi'!H205</f>
        <v>2.1646136053971126E-2</v>
      </c>
      <c r="I205">
        <f>Return!I205-'Return Estimasi'!I205</f>
        <v>-8.1673175867296079E-3</v>
      </c>
      <c r="J205">
        <f>Return!J205-'Return Estimasi'!J205</f>
        <v>1.7322786725043936E-3</v>
      </c>
      <c r="K205">
        <f>Return!K205-'Return Estimasi'!K205</f>
        <v>2.7969236337819385E-2</v>
      </c>
      <c r="L205">
        <f>Return!L205-'Return Estimasi'!L205</f>
        <v>-8.2122924770558145E-4</v>
      </c>
      <c r="M205">
        <f>Return!M205-'Return Estimasi'!M205</f>
        <v>5.5630017611699452E-2</v>
      </c>
      <c r="N205">
        <f>Return!N205-'Return Estimasi'!N205</f>
        <v>8.0776516916272481E-2</v>
      </c>
      <c r="O205">
        <f>Return!O205-'Return Estimasi'!O205</f>
        <v>-1.7487161689094389E-3</v>
      </c>
      <c r="P205">
        <f>Return!P205-'Return Estimasi'!P205</f>
        <v>-1.0542781839762188E-2</v>
      </c>
      <c r="Q205">
        <f>Return!Q205-'Return Estimasi'!Q205</f>
        <v>-5.4500006110225013E-2</v>
      </c>
      <c r="R205">
        <f>Return!R205-'Return Estimasi'!R205</f>
        <v>3.378536734236956E-2</v>
      </c>
      <c r="S205">
        <f>Return!S205-'Return Estimasi'!S205</f>
        <v>1.0349447472450817E-3</v>
      </c>
      <c r="T205">
        <f>Return!T205-'Return Estimasi'!T205</f>
        <v>6.0708314972835161E-3</v>
      </c>
      <c r="U205">
        <f>Return!U205-'Return Estimasi'!U205</f>
        <v>1.3740836868536482E-2</v>
      </c>
      <c r="V205">
        <f>Return!V205-'Return Estimasi'!V205</f>
        <v>6.1306265132147174E-4</v>
      </c>
      <c r="W205">
        <f>Return!W205-'Return Estimasi'!W205</f>
        <v>-6.2160302663025933E-2</v>
      </c>
      <c r="X205">
        <f>Return!X205-'Return Estimasi'!X205</f>
        <v>1.8780988854255356E-2</v>
      </c>
      <c r="Y205">
        <f>Return!Y205-'Return Estimasi'!Y205</f>
        <v>-1.4396372898528888E-3</v>
      </c>
      <c r="Z205">
        <f>Return!Z205-'Return Estimasi'!Z205</f>
        <v>7.263245596977547E-4</v>
      </c>
      <c r="AA205">
        <f>Return!AA205-'Return Estimasi'!AA205</f>
        <v>1.3116761605920919E-2</v>
      </c>
      <c r="AB205">
        <f>Return!AB205-'Return Estimasi'!AB205</f>
        <v>7.0061037201159734E-3</v>
      </c>
      <c r="AC205">
        <f>Return!AC205-'Return Estimasi'!AC205</f>
        <v>-8.5379146348481521E-3</v>
      </c>
      <c r="AD205">
        <f>Return!AD205-'Return Estimasi'!AD205</f>
        <v>-8.8486787367632064E-3</v>
      </c>
      <c r="AE205">
        <f>Return!AE205-'Return Estimasi'!AE205</f>
        <v>0.10674856888103108</v>
      </c>
      <c r="AF205">
        <f>Return!AF205-'Return Estimasi'!AF205</f>
        <v>-16.843613212828128</v>
      </c>
    </row>
    <row r="206" spans="1:32" x14ac:dyDescent="0.3">
      <c r="A206" s="3" t="s">
        <v>121</v>
      </c>
      <c r="B206">
        <f>('Data Saham'!B206-'Data Saham'!B205)/'Data Saham'!B205</f>
        <v>7.1561062138142716E-3</v>
      </c>
      <c r="C206">
        <f>Return!C206-'Return Estimasi'!C206</f>
        <v>1.7226660062074394E-3</v>
      </c>
      <c r="D206">
        <f>Return!D206-'Return Estimasi'!D206</f>
        <v>-2.814939421742664E-3</v>
      </c>
      <c r="E206">
        <f>Return!E206-'Return Estimasi'!E206</f>
        <v>3.4019684006635492E-3</v>
      </c>
      <c r="F206">
        <f>Return!F206-'Return Estimasi'!F206</f>
        <v>2.2484646838123221E-2</v>
      </c>
      <c r="G206">
        <f>Return!G206-'Return Estimasi'!G206</f>
        <v>2.0344693969298513E-2</v>
      </c>
      <c r="H206">
        <f>Return!H206-'Return Estimasi'!H206</f>
        <v>3.7590010322515147E-2</v>
      </c>
      <c r="I206">
        <f>Return!I206-'Return Estimasi'!I206</f>
        <v>8.3260016139310201E-3</v>
      </c>
      <c r="J206">
        <f>Return!J206-'Return Estimasi'!J206</f>
        <v>1.3155654827413408E-2</v>
      </c>
      <c r="K206">
        <f>Return!K206-'Return Estimasi'!K206</f>
        <v>5.7058879403634036E-2</v>
      </c>
      <c r="L206">
        <f>Return!L206-'Return Estimasi'!L206</f>
        <v>4.7498727258951778E-3</v>
      </c>
      <c r="M206">
        <f>Return!M206-'Return Estimasi'!M206</f>
        <v>9.9633823419761555E-4</v>
      </c>
      <c r="N206">
        <f>Return!N206-'Return Estimasi'!N206</f>
        <v>7.1731215109352431E-2</v>
      </c>
      <c r="O206">
        <f>Return!O206-'Return Estimasi'!O206</f>
        <v>4.2878435009149254E-3</v>
      </c>
      <c r="P206">
        <f>Return!P206-'Return Estimasi'!P206</f>
        <v>-1.3342090317212025E-2</v>
      </c>
      <c r="Q206">
        <f>Return!Q206-'Return Estimasi'!Q206</f>
        <v>-3.4553940899448167E-2</v>
      </c>
      <c r="R206">
        <f>Return!R206-'Return Estimasi'!R206</f>
        <v>4.8473452162442511E-3</v>
      </c>
      <c r="S206">
        <f>Return!S206-'Return Estimasi'!S206</f>
        <v>5.1303351793021302E-3</v>
      </c>
      <c r="T206">
        <f>Return!T206-'Return Estimasi'!T206</f>
        <v>4.8638768738629198E-2</v>
      </c>
      <c r="U206">
        <f>Return!U206-'Return Estimasi'!U206</f>
        <v>-1.5631034030501256E-2</v>
      </c>
      <c r="V206">
        <f>Return!V206-'Return Estimasi'!V206</f>
        <v>-3.3483834028988379E-3</v>
      </c>
      <c r="W206">
        <f>Return!W206-'Return Estimasi'!W206</f>
        <v>-4.0126632108360941E-2</v>
      </c>
      <c r="X206">
        <f>Return!X206-'Return Estimasi'!X206</f>
        <v>-7.1126884757088801E-3</v>
      </c>
      <c r="Y206">
        <f>Return!Y206-'Return Estimasi'!Y206</f>
        <v>1.3942150653529705E-2</v>
      </c>
      <c r="Z206">
        <f>Return!Z206-'Return Estimasi'!Z206</f>
        <v>-9.3732782186250752E-3</v>
      </c>
      <c r="AA206">
        <f>Return!AA206-'Return Estimasi'!AA206</f>
        <v>-1.5034491988136452E-2</v>
      </c>
      <c r="AB206">
        <f>Return!AB206-'Return Estimasi'!AB206</f>
        <v>8.4918576510736813E-3</v>
      </c>
      <c r="AC206">
        <f>Return!AC206-'Return Estimasi'!AC206</f>
        <v>-1.0186369488149735E-3</v>
      </c>
      <c r="AD206">
        <f>Return!AD206-'Return Estimasi'!AD206</f>
        <v>-6.4502856429046376E-3</v>
      </c>
      <c r="AE206">
        <f>Return!AE206-'Return Estimasi'!AE206</f>
        <v>-4.6663140614303905E-2</v>
      </c>
      <c r="AF206">
        <f>Return!AF206-'Return Estimasi'!AF206</f>
        <v>-16.472938547587617</v>
      </c>
    </row>
    <row r="207" spans="1:32" x14ac:dyDescent="0.3">
      <c r="A207" s="4" t="s">
        <v>122</v>
      </c>
      <c r="B207">
        <f>('Data Saham'!B207-'Data Saham'!B206)/'Data Saham'!B206</f>
        <v>9.4185487746276577E-3</v>
      </c>
      <c r="C207">
        <f>Return!C207-'Return Estimasi'!C207</f>
        <v>-1.5739196541317828E-2</v>
      </c>
      <c r="D207">
        <f>Return!D207-'Return Estimasi'!D207</f>
        <v>-1.0445193527720466E-2</v>
      </c>
      <c r="E207">
        <f>Return!E207-'Return Estimasi'!E207</f>
        <v>-5.1449899668329713E-3</v>
      </c>
      <c r="F207">
        <f>Return!F207-'Return Estimasi'!F207</f>
        <v>-3.2594060176524059E-3</v>
      </c>
      <c r="G207">
        <f>Return!G207-'Return Estimasi'!G207</f>
        <v>-1.8152376866981124E-3</v>
      </c>
      <c r="H207">
        <f>Return!H207-'Return Estimasi'!H207</f>
        <v>-3.0761865202987865E-2</v>
      </c>
      <c r="I207">
        <f>Return!I207-'Return Estimasi'!I207</f>
        <v>-5.2613268138771326E-3</v>
      </c>
      <c r="J207">
        <f>Return!J207-'Return Estimasi'!J207</f>
        <v>1.0855666591557908E-3</v>
      </c>
      <c r="K207">
        <f>Return!K207-'Return Estimasi'!K207</f>
        <v>-3.6388048867216125E-2</v>
      </c>
      <c r="L207">
        <f>Return!L207-'Return Estimasi'!L207</f>
        <v>3.8811758049324889E-3</v>
      </c>
      <c r="M207">
        <f>Return!M207-'Return Estimasi'!M207</f>
        <v>3.9870074428253827E-2</v>
      </c>
      <c r="N207">
        <f>Return!N207-'Return Estimasi'!N207</f>
        <v>-3.0267494030714048E-2</v>
      </c>
      <c r="O207">
        <f>Return!O207-'Return Estimasi'!O207</f>
        <v>2.0745705681744751E-2</v>
      </c>
      <c r="P207">
        <f>Return!P207-'Return Estimasi'!P207</f>
        <v>-1.5412403399184066E-2</v>
      </c>
      <c r="Q207">
        <f>Return!Q207-'Return Estimasi'!Q207</f>
        <v>3.9128593046370515E-2</v>
      </c>
      <c r="R207">
        <f>Return!R207-'Return Estimasi'!R207</f>
        <v>-4.6740678459916904E-3</v>
      </c>
      <c r="S207">
        <f>Return!S207-'Return Estimasi'!S207</f>
        <v>1.6081199047252807E-3</v>
      </c>
      <c r="T207">
        <f>Return!T207-'Return Estimasi'!T207</f>
        <v>-5.3945663044273201E-2</v>
      </c>
      <c r="U207">
        <f>Return!U207-'Return Estimasi'!U207</f>
        <v>-1.8167384880601385E-2</v>
      </c>
      <c r="V207">
        <f>Return!V207-'Return Estimasi'!V207</f>
        <v>-7.0251367489951432E-3</v>
      </c>
      <c r="W207">
        <f>Return!W207-'Return Estimasi'!W207</f>
        <v>-1.2997060803710788E-2</v>
      </c>
      <c r="X207">
        <f>Return!X207-'Return Estimasi'!X207</f>
        <v>-1.4666738985584368E-3</v>
      </c>
      <c r="Y207">
        <f>Return!Y207-'Return Estimasi'!Y207</f>
        <v>1.6946863302585271E-3</v>
      </c>
      <c r="Z207">
        <f>Return!Z207-'Return Estimasi'!Z207</f>
        <v>-6.2754573267142493E-3</v>
      </c>
      <c r="AA207">
        <f>Return!AA207-'Return Estimasi'!AA207</f>
        <v>1.2751110063480835E-2</v>
      </c>
      <c r="AB207">
        <f>Return!AB207-'Return Estimasi'!AB207</f>
        <v>2.0808773896997007E-2</v>
      </c>
      <c r="AC207">
        <f>Return!AC207-'Return Estimasi'!AC207</f>
        <v>-2.1759084067745828E-2</v>
      </c>
      <c r="AD207">
        <f>Return!AD207-'Return Estimasi'!AD207</f>
        <v>2.6554680190199999E-2</v>
      </c>
      <c r="AE207">
        <f>Return!AE207-'Return Estimasi'!AE207</f>
        <v>-1.7758489038395093E-3</v>
      </c>
      <c r="AF207">
        <f>Return!AF207-'Return Estimasi'!AF207</f>
        <v>-16.374877978310359</v>
      </c>
    </row>
    <row r="208" spans="1:32" x14ac:dyDescent="0.3">
      <c r="A208" s="3" t="s">
        <v>123</v>
      </c>
      <c r="B208">
        <f>('Data Saham'!B208-'Data Saham'!B207)/'Data Saham'!B207</f>
        <v>4.7417238485571037E-3</v>
      </c>
      <c r="C208">
        <f>Return!C208-'Return Estimasi'!C208</f>
        <v>6.9410578837032933E-3</v>
      </c>
      <c r="D208">
        <f>Return!D208-'Return Estimasi'!D208</f>
        <v>2.1035639401327945E-2</v>
      </c>
      <c r="E208">
        <f>Return!E208-'Return Estimasi'!E208</f>
        <v>2.6274376292986353E-2</v>
      </c>
      <c r="F208">
        <f>Return!F208-'Return Estimasi'!F208</f>
        <v>3.7378056079144677E-2</v>
      </c>
      <c r="G208">
        <f>Return!G208-'Return Estimasi'!G208</f>
        <v>-3.1496615567524035E-3</v>
      </c>
      <c r="H208">
        <f>Return!H208-'Return Estimasi'!H208</f>
        <v>-1.416909607711964E-2</v>
      </c>
      <c r="I208">
        <f>Return!I208-'Return Estimasi'!I208</f>
        <v>1.243420303446866E-2</v>
      </c>
      <c r="J208">
        <f>Return!J208-'Return Estimasi'!J208</f>
        <v>2.4151747968867484E-3</v>
      </c>
      <c r="K208">
        <f>Return!K208-'Return Estimasi'!K208</f>
        <v>-5.7845935777843492E-3</v>
      </c>
      <c r="L208">
        <f>Return!L208-'Return Estimasi'!L208</f>
        <v>4.4053112298833652E-3</v>
      </c>
      <c r="M208">
        <f>Return!M208-'Return Estimasi'!M208</f>
        <v>-1.9495878029870205E-2</v>
      </c>
      <c r="N208">
        <f>Return!N208-'Return Estimasi'!N208</f>
        <v>-2.7332439012071212E-2</v>
      </c>
      <c r="O208">
        <f>Return!O208-'Return Estimasi'!O208</f>
        <v>-7.0328025541277171E-3</v>
      </c>
      <c r="P208">
        <f>Return!P208-'Return Estimasi'!P208</f>
        <v>-2.2900084830394822E-3</v>
      </c>
      <c r="Q208">
        <f>Return!Q208-'Return Estimasi'!Q208</f>
        <v>-3.1379586330201568E-2</v>
      </c>
      <c r="R208">
        <f>Return!R208-'Return Estimasi'!R208</f>
        <v>-2.2260924716717822E-2</v>
      </c>
      <c r="S208">
        <f>Return!S208-'Return Estimasi'!S208</f>
        <v>1.9108382910693802E-3</v>
      </c>
      <c r="T208">
        <f>Return!T208-'Return Estimasi'!T208</f>
        <v>3.0655232027551563E-2</v>
      </c>
      <c r="U208">
        <f>Return!U208-'Return Estimasi'!U208</f>
        <v>6.0558269956916214E-3</v>
      </c>
      <c r="V208">
        <f>Return!V208-'Return Estimasi'!V208</f>
        <v>-1.86076329746582E-2</v>
      </c>
      <c r="W208">
        <f>Return!W208-'Return Estimasi'!W208</f>
        <v>-1.1239319438371691E-2</v>
      </c>
      <c r="X208">
        <f>Return!X208-'Return Estimasi'!X208</f>
        <v>3.4830805720101653E-3</v>
      </c>
      <c r="Y208">
        <f>Return!Y208-'Return Estimasi'!Y208</f>
        <v>-7.2020866481718477E-3</v>
      </c>
      <c r="Z208">
        <f>Return!Z208-'Return Estimasi'!Z208</f>
        <v>2.2336527678595126E-3</v>
      </c>
      <c r="AA208">
        <f>Return!AA208-'Return Estimasi'!AA208</f>
        <v>-7.8984807503573607E-3</v>
      </c>
      <c r="AB208">
        <f>Return!AB208-'Return Estimasi'!AB208</f>
        <v>-1.8610106132916061E-2</v>
      </c>
      <c r="AC208">
        <f>Return!AC208-'Return Estimasi'!AC208</f>
        <v>-5.2257727253466162E-3</v>
      </c>
      <c r="AD208">
        <f>Return!AD208-'Return Estimasi'!AD208</f>
        <v>-8.987948057874692E-3</v>
      </c>
      <c r="AE208">
        <f>Return!AE208-'Return Estimasi'!AE208</f>
        <v>2.3154031319292744E-2</v>
      </c>
      <c r="AF208">
        <f>Return!AF208-'Return Estimasi'!AF208</f>
        <v>-16.507927845004502</v>
      </c>
    </row>
    <row r="209" spans="1:32" x14ac:dyDescent="0.3">
      <c r="A209" s="4" t="s">
        <v>124</v>
      </c>
      <c r="B209">
        <f>('Data Saham'!B209-'Data Saham'!B208)/'Data Saham'!B208</f>
        <v>6.4415822535842399E-3</v>
      </c>
      <c r="C209">
        <f>Return!C209-'Return Estimasi'!C209</f>
        <v>2.2978531973890967E-3</v>
      </c>
      <c r="D209">
        <f>Return!D209-'Return Estimasi'!D209</f>
        <v>-2.2820916548289879E-3</v>
      </c>
      <c r="E209">
        <f>Return!E209-'Return Estimasi'!E209</f>
        <v>-4.3769298694085208E-3</v>
      </c>
      <c r="F209">
        <f>Return!F209-'Return Estimasi'!F209</f>
        <v>1.227498767610713E-2</v>
      </c>
      <c r="G209">
        <f>Return!G209-'Return Estimasi'!G209</f>
        <v>-1.8349675931007826E-2</v>
      </c>
      <c r="H209">
        <f>Return!H209-'Return Estimasi'!H209</f>
        <v>4.4858976173500827E-2</v>
      </c>
      <c r="I209">
        <f>Return!I209-'Return Estimasi'!I209</f>
        <v>5.3463381537508254E-3</v>
      </c>
      <c r="J209">
        <f>Return!J209-'Return Estimasi'!J209</f>
        <v>9.3205071664504424E-3</v>
      </c>
      <c r="K209">
        <f>Return!K209-'Return Estimasi'!K209</f>
        <v>-3.4290604068437938E-2</v>
      </c>
      <c r="L209">
        <f>Return!L209-'Return Estimasi'!L209</f>
        <v>3.8912219989180427E-4</v>
      </c>
      <c r="M209">
        <f>Return!M209-'Return Estimasi'!M209</f>
        <v>-2.3710901046014185E-2</v>
      </c>
      <c r="N209">
        <f>Return!N209-'Return Estimasi'!N209</f>
        <v>1.6563117461064231E-2</v>
      </c>
      <c r="O209">
        <f>Return!O209-'Return Estimasi'!O209</f>
        <v>6.9219362770804533E-3</v>
      </c>
      <c r="P209">
        <f>Return!P209-'Return Estimasi'!P209</f>
        <v>-1.2875986069753775E-2</v>
      </c>
      <c r="Q209">
        <f>Return!Q209-'Return Estimasi'!Q209</f>
        <v>-2.6312776525503866E-2</v>
      </c>
      <c r="R209">
        <f>Return!R209-'Return Estimasi'!R209</f>
        <v>5.367742860026543E-3</v>
      </c>
      <c r="S209">
        <f>Return!S209-'Return Estimasi'!S209</f>
        <v>-3.4044094864749318E-2</v>
      </c>
      <c r="T209">
        <f>Return!T209-'Return Estimasi'!T209</f>
        <v>2.4830606505046982E-2</v>
      </c>
      <c r="U209">
        <f>Return!U209-'Return Estimasi'!U209</f>
        <v>4.0626759244770782E-3</v>
      </c>
      <c r="V209">
        <f>Return!V209-'Return Estimasi'!V209</f>
        <v>8.6104674527128066E-3</v>
      </c>
      <c r="W209">
        <f>Return!W209-'Return Estimasi'!W209</f>
        <v>2.7937697597712235E-2</v>
      </c>
      <c r="X209">
        <f>Return!X209-'Return Estimasi'!X209</f>
        <v>3.3662071923686004E-2</v>
      </c>
      <c r="Y209">
        <f>Return!Y209-'Return Estimasi'!Y209</f>
        <v>-2.3732263590017344E-2</v>
      </c>
      <c r="Z209">
        <f>Return!Z209-'Return Estimasi'!Z209</f>
        <v>5.7445810753914573E-3</v>
      </c>
      <c r="AA209">
        <f>Return!AA209-'Return Estimasi'!AA209</f>
        <v>-1.4112056633704149E-2</v>
      </c>
      <c r="AB209">
        <f>Return!AB209-'Return Estimasi'!AB209</f>
        <v>-3.5319040207425351E-2</v>
      </c>
      <c r="AC209">
        <f>Return!AC209-'Return Estimasi'!AC209</f>
        <v>-3.6262305992154891E-4</v>
      </c>
      <c r="AD209">
        <f>Return!AD209-'Return Estimasi'!AD209</f>
        <v>-2.5276863466168212E-2</v>
      </c>
      <c r="AE209">
        <f>Return!AE209-'Return Estimasi'!AE209</f>
        <v>-3.0922536698434522E-2</v>
      </c>
      <c r="AF209">
        <f>Return!AF209-'Return Estimasi'!AF209</f>
        <v>-16.525404256656014</v>
      </c>
    </row>
    <row r="210" spans="1:32" x14ac:dyDescent="0.3">
      <c r="A210" s="3" t="s">
        <v>125</v>
      </c>
      <c r="B210">
        <f>('Data Saham'!B210-'Data Saham'!B209)/'Data Saham'!B209</f>
        <v>9.0870572933480243E-5</v>
      </c>
      <c r="C210">
        <f>Return!C210-'Return Estimasi'!C210</f>
        <v>-1.3823538065459676E-2</v>
      </c>
      <c r="D210">
        <f>Return!D210-'Return Estimasi'!D210</f>
        <v>1.3316580441204682E-3</v>
      </c>
      <c r="E210">
        <f>Return!E210-'Return Estimasi'!E210</f>
        <v>4.8342317294752853E-3</v>
      </c>
      <c r="F210">
        <f>Return!F210-'Return Estimasi'!F210</f>
        <v>-1.0789503502024355E-2</v>
      </c>
      <c r="G210">
        <f>Return!G210-'Return Estimasi'!G210</f>
        <v>-7.2245032435420123E-3</v>
      </c>
      <c r="H210">
        <f>Return!H210-'Return Estimasi'!H210</f>
        <v>-1.7405663254790746E-2</v>
      </c>
      <c r="I210">
        <f>Return!I210-'Return Estimasi'!I210</f>
        <v>4.9131164698959506E-3</v>
      </c>
      <c r="J210">
        <f>Return!J210-'Return Estimasi'!J210</f>
        <v>-1.8281297031977915E-2</v>
      </c>
      <c r="K210">
        <f>Return!K210-'Return Estimasi'!K210</f>
        <v>3.0851604159065762E-2</v>
      </c>
      <c r="L210">
        <f>Return!L210-'Return Estimasi'!L210</f>
        <v>3.8109743765200794E-3</v>
      </c>
      <c r="M210">
        <f>Return!M210-'Return Estimasi'!M210</f>
        <v>2.4796583944469722E-2</v>
      </c>
      <c r="N210">
        <f>Return!N210-'Return Estimasi'!N210</f>
        <v>5.1106547548196518E-2</v>
      </c>
      <c r="O210">
        <f>Return!O210-'Return Estimasi'!O210</f>
        <v>1.9887945815051853E-2</v>
      </c>
      <c r="P210">
        <f>Return!P210-'Return Estimasi'!P210</f>
        <v>2.9323470479923106E-2</v>
      </c>
      <c r="Q210">
        <f>Return!Q210-'Return Estimasi'!Q210</f>
        <v>8.1653655288058791E-2</v>
      </c>
      <c r="R210">
        <f>Return!R210-'Return Estimasi'!R210</f>
        <v>-1.9788713535070269E-2</v>
      </c>
      <c r="S210">
        <f>Return!S210-'Return Estimasi'!S210</f>
        <v>-2.2119493894701436E-3</v>
      </c>
      <c r="T210">
        <f>Return!T210-'Return Estimasi'!T210</f>
        <v>5.2787345698242047E-2</v>
      </c>
      <c r="U210">
        <f>Return!U210-'Return Estimasi'!U210</f>
        <v>-1.157844180188067E-2</v>
      </c>
      <c r="V210">
        <f>Return!V210-'Return Estimasi'!V210</f>
        <v>1.5026649161190984E-2</v>
      </c>
      <c r="W210">
        <f>Return!W210-'Return Estimasi'!W210</f>
        <v>-1.9362579118697411E-2</v>
      </c>
      <c r="X210">
        <f>Return!X210-'Return Estimasi'!X210</f>
        <v>3.1432414390886933E-2</v>
      </c>
      <c r="Y210">
        <f>Return!Y210-'Return Estimasi'!Y210</f>
        <v>-3.6289872510078636E-3</v>
      </c>
      <c r="Z210">
        <f>Return!Z210-'Return Estimasi'!Z210</f>
        <v>5.7741933616761963E-3</v>
      </c>
      <c r="AA210">
        <f>Return!AA210-'Return Estimasi'!AA210</f>
        <v>1.8785285566902912E-2</v>
      </c>
      <c r="AB210">
        <f>Return!AB210-'Return Estimasi'!AB210</f>
        <v>7.7991963069249629E-4</v>
      </c>
      <c r="AC210">
        <f>Return!AC210-'Return Estimasi'!AC210</f>
        <v>-7.5041676077208623E-3</v>
      </c>
      <c r="AD210">
        <f>Return!AD210-'Return Estimasi'!AD210</f>
        <v>3.2912000940251215E-4</v>
      </c>
      <c r="AE210">
        <f>Return!AE210-'Return Estimasi'!AE210</f>
        <v>-1.0730682841288577E-2</v>
      </c>
      <c r="AF210">
        <f>Return!AF210-'Return Estimasi'!AF210</f>
        <v>-16.671901190891251</v>
      </c>
    </row>
    <row r="211" spans="1:32" x14ac:dyDescent="0.3">
      <c r="A211" s="4" t="s">
        <v>126</v>
      </c>
      <c r="B211">
        <f>('Data Saham'!B211-'Data Saham'!B210)/'Data Saham'!B210</f>
        <v>-1.3615115986294108E-2</v>
      </c>
      <c r="C211">
        <f>Return!C211-'Return Estimasi'!C211</f>
        <v>-2.4165667443326239E-2</v>
      </c>
      <c r="D211">
        <f>Return!D211-'Return Estimasi'!D211</f>
        <v>4.4135247191986983E-3</v>
      </c>
      <c r="E211">
        <f>Return!E211-'Return Estimasi'!E211</f>
        <v>6.2825198211983024E-3</v>
      </c>
      <c r="F211">
        <f>Return!F211-'Return Estimasi'!F211</f>
        <v>1.6018587753602299E-2</v>
      </c>
      <c r="G211">
        <f>Return!G211-'Return Estimasi'!G211</f>
        <v>1.0647470436093463E-2</v>
      </c>
      <c r="H211">
        <f>Return!H211-'Return Estimasi'!H211</f>
        <v>-8.4076139722906201E-2</v>
      </c>
      <c r="I211">
        <f>Return!I211-'Return Estimasi'!I211</f>
        <v>4.5586018353041069E-3</v>
      </c>
      <c r="J211">
        <f>Return!J211-'Return Estimasi'!J211</f>
        <v>3.9709456931349332E-3</v>
      </c>
      <c r="K211">
        <f>Return!K211-'Return Estimasi'!K211</f>
        <v>2.0424396205339802E-2</v>
      </c>
      <c r="L211">
        <f>Return!L211-'Return Estimasi'!L211</f>
        <v>9.6627667952880591E-4</v>
      </c>
      <c r="M211">
        <f>Return!M211-'Return Estimasi'!M211</f>
        <v>4.4502644758151313E-2</v>
      </c>
      <c r="N211">
        <f>Return!N211-'Return Estimasi'!N211</f>
        <v>5.25233542749933E-2</v>
      </c>
      <c r="O211">
        <f>Return!O211-'Return Estimasi'!O211</f>
        <v>1.2121645272815156E-2</v>
      </c>
      <c r="P211">
        <f>Return!P211-'Return Estimasi'!P211</f>
        <v>4.0641011104847836E-2</v>
      </c>
      <c r="Q211">
        <f>Return!Q211-'Return Estimasi'!Q211</f>
        <v>-1.5629966589396228E-2</v>
      </c>
      <c r="R211">
        <f>Return!R211-'Return Estimasi'!R211</f>
        <v>1.7215826251716602E-2</v>
      </c>
      <c r="S211">
        <f>Return!S211-'Return Estimasi'!S211</f>
        <v>1.4289035875396948E-2</v>
      </c>
      <c r="T211">
        <f>Return!T211-'Return Estimasi'!T211</f>
        <v>6.663703838232179E-3</v>
      </c>
      <c r="U211">
        <f>Return!U211-'Return Estimasi'!U211</f>
        <v>3.3115240003338542E-3</v>
      </c>
      <c r="V211">
        <f>Return!V211-'Return Estimasi'!V211</f>
        <v>-0.13680686528797562</v>
      </c>
      <c r="W211">
        <f>Return!W211-'Return Estimasi'!W211</f>
        <v>9.8032281362138395E-3</v>
      </c>
      <c r="X211">
        <f>Return!X211-'Return Estimasi'!X211</f>
        <v>-7.3571054975327295E-3</v>
      </c>
      <c r="Y211">
        <f>Return!Y211-'Return Estimasi'!Y211</f>
        <v>1.7618537289296621E-2</v>
      </c>
      <c r="Z211">
        <f>Return!Z211-'Return Estimasi'!Z211</f>
        <v>-2.7463128693183958E-3</v>
      </c>
      <c r="AA211">
        <f>Return!AA211-'Return Estimasi'!AA211</f>
        <v>2.1776864097465591E-2</v>
      </c>
      <c r="AB211">
        <f>Return!AB211-'Return Estimasi'!AB211</f>
        <v>-1.5090931853607376E-2</v>
      </c>
      <c r="AC211">
        <f>Return!AC211-'Return Estimasi'!AC211</f>
        <v>4.2761208154723377E-3</v>
      </c>
      <c r="AD211">
        <f>Return!AD211-'Return Estimasi'!AD211</f>
        <v>-6.4198780381866504E-3</v>
      </c>
      <c r="AE211">
        <f>Return!AE211-'Return Estimasi'!AE211</f>
        <v>1.0421700169732234E-2</v>
      </c>
      <c r="AF211">
        <f>Return!AF211-'Return Estimasi'!AF211</f>
        <v>-17.111637420725224</v>
      </c>
    </row>
    <row r="212" spans="1:32" x14ac:dyDescent="0.3">
      <c r="A212" s="3" t="s">
        <v>127</v>
      </c>
      <c r="B212">
        <f>('Data Saham'!B212-'Data Saham'!B211)/'Data Saham'!B211</f>
        <v>-2.0143546351798032E-3</v>
      </c>
      <c r="C212">
        <f>Return!C212-'Return Estimasi'!C212</f>
        <v>-3.1240694768952262E-3</v>
      </c>
      <c r="D212">
        <f>Return!D212-'Return Estimasi'!D212</f>
        <v>-1.8200659208046856E-3</v>
      </c>
      <c r="E212">
        <f>Return!E212-'Return Estimasi'!E212</f>
        <v>-1.0948251099683029E-4</v>
      </c>
      <c r="F212">
        <f>Return!F212-'Return Estimasi'!F212</f>
        <v>1.8161702738200506E-3</v>
      </c>
      <c r="G212">
        <f>Return!G212-'Return Estimasi'!G212</f>
        <v>3.9085750989560436E-2</v>
      </c>
      <c r="H212">
        <f>Return!H212-'Return Estimasi'!H212</f>
        <v>2.7417737124706448E-2</v>
      </c>
      <c r="I212">
        <f>Return!I212-'Return Estimasi'!I212</f>
        <v>3.0496704433216518E-2</v>
      </c>
      <c r="J212">
        <f>Return!J212-'Return Estimasi'!J212</f>
        <v>8.1011614038661011E-3</v>
      </c>
      <c r="K212">
        <f>Return!K212-'Return Estimasi'!K212</f>
        <v>4.0398326001806095E-2</v>
      </c>
      <c r="L212">
        <f>Return!L212-'Return Estimasi'!L212</f>
        <v>2.0274584807160712E-2</v>
      </c>
      <c r="M212">
        <f>Return!M212-'Return Estimasi'!M212</f>
        <v>-1.4870413899001322E-2</v>
      </c>
      <c r="N212">
        <f>Return!N212-'Return Estimasi'!N212</f>
        <v>-1.6099130157794933E-2</v>
      </c>
      <c r="O212">
        <f>Return!O212-'Return Estimasi'!O212</f>
        <v>3.485331769568871E-2</v>
      </c>
      <c r="P212">
        <f>Return!P212-'Return Estimasi'!P212</f>
        <v>8.1913003125509559E-2</v>
      </c>
      <c r="Q212">
        <f>Return!Q212-'Return Estimasi'!Q212</f>
        <v>3.8690349674837199E-2</v>
      </c>
      <c r="R212">
        <f>Return!R212-'Return Estimasi'!R212</f>
        <v>2.2853390278191135E-2</v>
      </c>
      <c r="S212">
        <f>Return!S212-'Return Estimasi'!S212</f>
        <v>1.2426624753183546E-2</v>
      </c>
      <c r="T212">
        <f>Return!T212-'Return Estimasi'!T212</f>
        <v>-1.703116504437055E-2</v>
      </c>
      <c r="U212">
        <f>Return!U212-'Return Estimasi'!U212</f>
        <v>1.7289878649916619E-2</v>
      </c>
      <c r="V212">
        <f>Return!V212-'Return Estimasi'!V212</f>
        <v>1.1070930307733731E-2</v>
      </c>
      <c r="W212">
        <f>Return!W212-'Return Estimasi'!W212</f>
        <v>-3.6879893373341958E-2</v>
      </c>
      <c r="X212">
        <f>Return!X212-'Return Estimasi'!X212</f>
        <v>2.5945777815418E-2</v>
      </c>
      <c r="Y212">
        <f>Return!Y212-'Return Estimasi'!Y212</f>
        <v>8.3562919630570387E-3</v>
      </c>
      <c r="Z212">
        <f>Return!Z212-'Return Estimasi'!Z212</f>
        <v>1.2309724264734844E-2</v>
      </c>
      <c r="AA212">
        <f>Return!AA212-'Return Estimasi'!AA212</f>
        <v>4.5410810188155397E-2</v>
      </c>
      <c r="AB212">
        <f>Return!AB212-'Return Estimasi'!AB212</f>
        <v>-2.8253312789250709E-2</v>
      </c>
      <c r="AC212">
        <f>Return!AC212-'Return Estimasi'!AC212</f>
        <v>1.9708974931854716E-2</v>
      </c>
      <c r="AD212">
        <f>Return!AD212-'Return Estimasi'!AD212</f>
        <v>2.2653745107364218E-2</v>
      </c>
      <c r="AE212">
        <f>Return!AE212-'Return Estimasi'!AE212</f>
        <v>1.2381529485826576E-2</v>
      </c>
      <c r="AF212">
        <f>Return!AF212-'Return Estimasi'!AF212</f>
        <v>-16.71941350895468</v>
      </c>
    </row>
    <row r="213" spans="1:32" x14ac:dyDescent="0.3">
      <c r="A213" s="4" t="s">
        <v>128</v>
      </c>
      <c r="B213">
        <f>('Data Saham'!B213-'Data Saham'!B212)/'Data Saham'!B212</f>
        <v>-4.5784225849571595E-3</v>
      </c>
      <c r="C213">
        <f>Return!C213-'Return Estimasi'!C213</f>
        <v>5.5719363615960096E-3</v>
      </c>
      <c r="D213">
        <f>Return!D213-'Return Estimasi'!D213</f>
        <v>1.3817884923827566E-2</v>
      </c>
      <c r="E213">
        <f>Return!E213-'Return Estimasi'!E213</f>
        <v>6.4119011549359948E-3</v>
      </c>
      <c r="F213">
        <f>Return!F213-'Return Estimasi'!F213</f>
        <v>6.1666303751626121E-3</v>
      </c>
      <c r="G213">
        <f>Return!G213-'Return Estimasi'!G213</f>
        <v>1.0528106895545727E-2</v>
      </c>
      <c r="H213">
        <f>Return!H213-'Return Estimasi'!H213</f>
        <v>1.0007717377733457E-2</v>
      </c>
      <c r="I213">
        <f>Return!I213-'Return Estimasi'!I213</f>
        <v>-2.2003841216414865E-3</v>
      </c>
      <c r="J213">
        <f>Return!J213-'Return Estimasi'!J213</f>
        <v>1.2486148097307319E-2</v>
      </c>
      <c r="K213">
        <f>Return!K213-'Return Estimasi'!K213</f>
        <v>2.4265627199623947E-2</v>
      </c>
      <c r="L213">
        <f>Return!L213-'Return Estimasi'!L213</f>
        <v>-7.7532379307586113E-3</v>
      </c>
      <c r="M213">
        <f>Return!M213-'Return Estimasi'!M213</f>
        <v>1.591466392066667E-2</v>
      </c>
      <c r="N213">
        <f>Return!N213-'Return Estimasi'!N213</f>
        <v>2.717496411289308E-2</v>
      </c>
      <c r="O213">
        <f>Return!O213-'Return Estimasi'!O213</f>
        <v>5.360228872540862E-2</v>
      </c>
      <c r="P213">
        <f>Return!P213-'Return Estimasi'!P213</f>
        <v>1.3971812355508239E-2</v>
      </c>
      <c r="Q213">
        <f>Return!Q213-'Return Estimasi'!Q213</f>
        <v>1.4463844458220975E-2</v>
      </c>
      <c r="R213">
        <f>Return!R213-'Return Estimasi'!R213</f>
        <v>-5.6027807515394556E-4</v>
      </c>
      <c r="S213">
        <f>Return!S213-'Return Estimasi'!S213</f>
        <v>-2.8525539450952934E-2</v>
      </c>
      <c r="T213">
        <f>Return!T213-'Return Estimasi'!T213</f>
        <v>8.4435320598409275E-3</v>
      </c>
      <c r="U213">
        <f>Return!U213-'Return Estimasi'!U213</f>
        <v>3.4962336207573275E-2</v>
      </c>
      <c r="V213">
        <f>Return!V213-'Return Estimasi'!V213</f>
        <v>-2.1418141344671958E-3</v>
      </c>
      <c r="W213">
        <f>Return!W213-'Return Estimasi'!W213</f>
        <v>-5.173435865600981E-2</v>
      </c>
      <c r="X213">
        <f>Return!X213-'Return Estimasi'!X213</f>
        <v>-2.0002981070859835E-3</v>
      </c>
      <c r="Y213">
        <f>Return!Y213-'Return Estimasi'!Y213</f>
        <v>-2.449362561311702E-3</v>
      </c>
      <c r="Z213">
        <f>Return!Z213-'Return Estimasi'!Z213</f>
        <v>-2.1597756327677159E-4</v>
      </c>
      <c r="AA213">
        <f>Return!AA213-'Return Estimasi'!AA213</f>
        <v>-4.967839386892178E-3</v>
      </c>
      <c r="AB213">
        <f>Return!AB213-'Return Estimasi'!AB213</f>
        <v>-2.6561455851739572E-2</v>
      </c>
      <c r="AC213">
        <f>Return!AC213-'Return Estimasi'!AC213</f>
        <v>2.8119564856757167E-3</v>
      </c>
      <c r="AD213">
        <f>Return!AD213-'Return Estimasi'!AD213</f>
        <v>4.8095130261224198E-3</v>
      </c>
      <c r="AE213">
        <f>Return!AE213-'Return Estimasi'!AE213</f>
        <v>1.9569794988063965E-2</v>
      </c>
      <c r="AF213">
        <f>Return!AF213-'Return Estimasi'!AF213</f>
        <v>-16.819883877760951</v>
      </c>
    </row>
    <row r="214" spans="1:32" x14ac:dyDescent="0.3">
      <c r="A214" s="3" t="s">
        <v>129</v>
      </c>
      <c r="B214">
        <f>('Data Saham'!B214-'Data Saham'!B213)/'Data Saham'!B213</f>
        <v>2.7170118232467295E-3</v>
      </c>
      <c r="C214">
        <f>Return!C214-'Return Estimasi'!C214</f>
        <v>-6.9474214309940855E-4</v>
      </c>
      <c r="D214">
        <f>Return!D214-'Return Estimasi'!D214</f>
        <v>-3.8550126160082159E-3</v>
      </c>
      <c r="E214">
        <f>Return!E214-'Return Estimasi'!E214</f>
        <v>-1.8767924401722157E-2</v>
      </c>
      <c r="F214">
        <f>Return!F214-'Return Estimasi'!F214</f>
        <v>-1.7408772030200838E-2</v>
      </c>
      <c r="G214">
        <f>Return!G214-'Return Estimasi'!G214</f>
        <v>1.7154744298497934E-2</v>
      </c>
      <c r="H214">
        <f>Return!H214-'Return Estimasi'!H214</f>
        <v>5.0454162156558209E-3</v>
      </c>
      <c r="I214">
        <f>Return!I214-'Return Estimasi'!I214</f>
        <v>1.5819433957790351E-2</v>
      </c>
      <c r="J214">
        <f>Return!J214-'Return Estimasi'!J214</f>
        <v>-4.3836758992045529E-3</v>
      </c>
      <c r="K214">
        <f>Return!K214-'Return Estimasi'!K214</f>
        <v>-8.0452747284456352E-3</v>
      </c>
      <c r="L214">
        <f>Return!L214-'Return Estimasi'!L214</f>
        <v>6.1641655164160472E-3</v>
      </c>
      <c r="M214">
        <f>Return!M214-'Return Estimasi'!M214</f>
        <v>0.10180566838733611</v>
      </c>
      <c r="N214">
        <f>Return!N214-'Return Estimasi'!N214</f>
        <v>4.3846611047673713E-2</v>
      </c>
      <c r="O214">
        <f>Return!O214-'Return Estimasi'!O214</f>
        <v>-5.4729074730912632E-3</v>
      </c>
      <c r="P214">
        <f>Return!P214-'Return Estimasi'!P214</f>
        <v>-5.0922300516248052E-4</v>
      </c>
      <c r="Q214">
        <f>Return!Q214-'Return Estimasi'!Q214</f>
        <v>-4.8954859353693312E-3</v>
      </c>
      <c r="R214">
        <f>Return!R214-'Return Estimasi'!R214</f>
        <v>-3.3537109512094515E-2</v>
      </c>
      <c r="S214">
        <f>Return!S214-'Return Estimasi'!S214</f>
        <v>5.4974498737532969E-3</v>
      </c>
      <c r="T214">
        <f>Return!T214-'Return Estimasi'!T214</f>
        <v>-2.3360026143680126E-2</v>
      </c>
      <c r="U214">
        <f>Return!U214-'Return Estimasi'!U214</f>
        <v>-1.7871963912867571E-2</v>
      </c>
      <c r="V214">
        <f>Return!V214-'Return Estimasi'!V214</f>
        <v>-2.4633551789378992E-3</v>
      </c>
      <c r="W214">
        <f>Return!W214-'Return Estimasi'!W214</f>
        <v>-1.1258040958294441E-2</v>
      </c>
      <c r="X214">
        <f>Return!X214-'Return Estimasi'!X214</f>
        <v>3.9931073163933579E-2</v>
      </c>
      <c r="Y214">
        <f>Return!Y214-'Return Estimasi'!Y214</f>
        <v>-5.7330165461023409E-3</v>
      </c>
      <c r="Z214">
        <f>Return!Z214-'Return Estimasi'!Z214</f>
        <v>-5.9033385354805073E-3</v>
      </c>
      <c r="AA214">
        <f>Return!AA214-'Return Estimasi'!AA214</f>
        <v>1.0391742981776307E-2</v>
      </c>
      <c r="AB214">
        <f>Return!AB214-'Return Estimasi'!AB214</f>
        <v>-1.9853639892778033E-3</v>
      </c>
      <c r="AC214">
        <f>Return!AC214-'Return Estimasi'!AC214</f>
        <v>-2.2229653487216894E-2</v>
      </c>
      <c r="AD214">
        <f>Return!AD214-'Return Estimasi'!AD214</f>
        <v>-7.1659028888801622E-3</v>
      </c>
      <c r="AE214">
        <f>Return!AE214-'Return Estimasi'!AE214</f>
        <v>-1.7828624715223406E-2</v>
      </c>
      <c r="AF214">
        <f>Return!AF214-'Return Estimasi'!AF214</f>
        <v>-16.620574311408362</v>
      </c>
    </row>
    <row r="215" spans="1:32" x14ac:dyDescent="0.3">
      <c r="A215" s="4" t="s">
        <v>130</v>
      </c>
      <c r="B215">
        <f>('Data Saham'!B215-'Data Saham'!B214)/'Data Saham'!B214</f>
        <v>5.4594092919142093E-4</v>
      </c>
      <c r="C215">
        <f>Return!C215-'Return Estimasi'!C215</f>
        <v>-1.8437665038093388E-2</v>
      </c>
      <c r="D215">
        <f>Return!D215-'Return Estimasi'!D215</f>
        <v>-9.5122250977702355E-3</v>
      </c>
      <c r="E215">
        <f>Return!E215-'Return Estimasi'!E215</f>
        <v>-2.0977724922273969E-2</v>
      </c>
      <c r="F215">
        <f>Return!F215-'Return Estimasi'!F215</f>
        <v>-6.9749618692391945E-3</v>
      </c>
      <c r="G215">
        <f>Return!G215-'Return Estimasi'!G215</f>
        <v>2.1267029430460417E-2</v>
      </c>
      <c r="H215">
        <f>Return!H215-'Return Estimasi'!H215</f>
        <v>-8.4456298002421951E-2</v>
      </c>
      <c r="I215">
        <f>Return!I215-'Return Estimasi'!I215</f>
        <v>-1.9199503106280439E-2</v>
      </c>
      <c r="J215">
        <f>Return!J215-'Return Estimasi'!J215</f>
        <v>-1.4802885998546129E-2</v>
      </c>
      <c r="K215">
        <f>Return!K215-'Return Estimasi'!K215</f>
        <v>-4.3675850156969016E-2</v>
      </c>
      <c r="L215">
        <f>Return!L215-'Return Estimasi'!L215</f>
        <v>-1.9581353735479902E-2</v>
      </c>
      <c r="M215">
        <f>Return!M215-'Return Estimasi'!M215</f>
        <v>-3.7157555114940288E-2</v>
      </c>
      <c r="N215">
        <f>Return!N215-'Return Estimasi'!N215</f>
        <v>-6.8118543200616832E-2</v>
      </c>
      <c r="O215">
        <f>Return!O215-'Return Estimasi'!O215</f>
        <v>-4.4201224980617425E-2</v>
      </c>
      <c r="P215">
        <f>Return!P215-'Return Estimasi'!P215</f>
        <v>-3.8599711197436409E-2</v>
      </c>
      <c r="Q215">
        <f>Return!Q215-'Return Estimasi'!Q215</f>
        <v>2.7229874773027209E-2</v>
      </c>
      <c r="R215">
        <f>Return!R215-'Return Estimasi'!R215</f>
        <v>-3.7614625124133327E-2</v>
      </c>
      <c r="S215">
        <f>Return!S215-'Return Estimasi'!S215</f>
        <v>-7.0358930004553524E-3</v>
      </c>
      <c r="T215">
        <f>Return!T215-'Return Estimasi'!T215</f>
        <v>1.2654938150064649E-2</v>
      </c>
      <c r="U215">
        <f>Return!U215-'Return Estimasi'!U215</f>
        <v>-1.1993523613463879E-2</v>
      </c>
      <c r="V215">
        <f>Return!V215-'Return Estimasi'!V215</f>
        <v>-5.9132221240840999E-2</v>
      </c>
      <c r="W215">
        <f>Return!W215-'Return Estimasi'!W215</f>
        <v>4.323461738787826E-2</v>
      </c>
      <c r="X215">
        <f>Return!X215-'Return Estimasi'!X215</f>
        <v>-3.4578894405775497E-3</v>
      </c>
      <c r="Y215">
        <f>Return!Y215-'Return Estimasi'!Y215</f>
        <v>-2.7408064875119691E-2</v>
      </c>
      <c r="Z215">
        <f>Return!Z215-'Return Estimasi'!Z215</f>
        <v>-4.2411820157265169E-3</v>
      </c>
      <c r="AA215">
        <f>Return!AA215-'Return Estimasi'!AA215</f>
        <v>-3.0471364030864662E-2</v>
      </c>
      <c r="AB215">
        <f>Return!AB215-'Return Estimasi'!AB215</f>
        <v>8.3634071350339192E-2</v>
      </c>
      <c r="AC215">
        <f>Return!AC215-'Return Estimasi'!AC215</f>
        <v>1.1131539690975356E-2</v>
      </c>
      <c r="AD215">
        <f>Return!AD215-'Return Estimasi'!AD215</f>
        <v>-1.0754009681694654E-4</v>
      </c>
      <c r="AE215">
        <f>Return!AE215-'Return Estimasi'!AE215</f>
        <v>-1.1077885854963726E-2</v>
      </c>
      <c r="AF215">
        <f>Return!AF215-'Return Estimasi'!AF215</f>
        <v>-16.687692261488429</v>
      </c>
    </row>
    <row r="216" spans="1:32" x14ac:dyDescent="0.3">
      <c r="A216" s="3" t="s">
        <v>131</v>
      </c>
      <c r="B216">
        <f>('Data Saham'!B216-'Data Saham'!B215)/'Data Saham'!B215</f>
        <v>-7.3458029471405534E-2</v>
      </c>
      <c r="C216">
        <f>Return!C216-'Return Estimasi'!C216</f>
        <v>1.4052444830579963E-3</v>
      </c>
      <c r="D216">
        <f>Return!D216-'Return Estimasi'!D216</f>
        <v>1.0844842579129287E-2</v>
      </c>
      <c r="E216">
        <f>Return!E216-'Return Estimasi'!E216</f>
        <v>1.9838339217574871E-2</v>
      </c>
      <c r="F216">
        <f>Return!F216-'Return Estimasi'!F216</f>
        <v>4.8996892029225358E-2</v>
      </c>
      <c r="G216">
        <f>Return!G216-'Return Estimasi'!G216</f>
        <v>-5.4732058787079929E-2</v>
      </c>
      <c r="H216">
        <f>Return!H216-'Return Estimasi'!H216</f>
        <v>2.9127312034165E-2</v>
      </c>
      <c r="I216">
        <f>Return!I216-'Return Estimasi'!I216</f>
        <v>-2.1713285563954854E-2</v>
      </c>
      <c r="J216">
        <f>Return!J216-'Return Estimasi'!J216</f>
        <v>4.3549667207011034E-2</v>
      </c>
      <c r="K216">
        <f>Return!K216-'Return Estimasi'!K216</f>
        <v>3.2895128958856684E-2</v>
      </c>
      <c r="L216">
        <f>Return!L216-'Return Estimasi'!L216</f>
        <v>1.4782645362625668E-2</v>
      </c>
      <c r="M216">
        <f>Return!M216-'Return Estimasi'!M216</f>
        <v>2.4942977596368848E-2</v>
      </c>
      <c r="N216">
        <f>Return!N216-'Return Estimasi'!N216</f>
        <v>0.1149130502086885</v>
      </c>
      <c r="O216">
        <f>Return!O216-'Return Estimasi'!O216</f>
        <v>1.950654687858612E-2</v>
      </c>
      <c r="P216">
        <f>Return!P216-'Return Estimasi'!P216</f>
        <v>-8.5113459646469491E-3</v>
      </c>
      <c r="Q216">
        <f>Return!Q216-'Return Estimasi'!Q216</f>
        <v>-7.3106870219268982E-2</v>
      </c>
      <c r="R216">
        <f>Return!R216-'Return Estimasi'!R216</f>
        <v>1.3014323016352556E-2</v>
      </c>
      <c r="S216">
        <f>Return!S216-'Return Estimasi'!S216</f>
        <v>4.0057394072490655E-2</v>
      </c>
      <c r="T216">
        <f>Return!T216-'Return Estimasi'!T216</f>
        <v>-4.2739935217691316E-3</v>
      </c>
      <c r="U216">
        <f>Return!U216-'Return Estimasi'!U216</f>
        <v>2.0094654411256269E-2</v>
      </c>
      <c r="V216">
        <f>Return!V216-'Return Estimasi'!V216</f>
        <v>3.9223152704140493E-2</v>
      </c>
      <c r="W216">
        <f>Return!W216-'Return Estimasi'!W216</f>
        <v>-1.098832365782601E-2</v>
      </c>
      <c r="X216">
        <f>Return!X216-'Return Estimasi'!X216</f>
        <v>3.4173974866269177E-2</v>
      </c>
      <c r="Y216">
        <f>Return!Y216-'Return Estimasi'!Y216</f>
        <v>-1.2113496459190715E-2</v>
      </c>
      <c r="Z216">
        <f>Return!Z216-'Return Estimasi'!Z216</f>
        <v>1.9045074865004355E-2</v>
      </c>
      <c r="AA216">
        <f>Return!AA216-'Return Estimasi'!AA216</f>
        <v>3.0598686579217042E-2</v>
      </c>
      <c r="AB216">
        <f>Return!AB216-'Return Estimasi'!AB216</f>
        <v>1.3026269110294753E-3</v>
      </c>
      <c r="AC216">
        <f>Return!AC216-'Return Estimasi'!AC216</f>
        <v>-6.9684023498461645E-3</v>
      </c>
      <c r="AD216">
        <f>Return!AD216-'Return Estimasi'!AD216</f>
        <v>3.5902538084302701E-2</v>
      </c>
      <c r="AE216">
        <f>Return!AE216-'Return Estimasi'!AE216</f>
        <v>2.3647350324764019E-2</v>
      </c>
      <c r="AF216">
        <f>Return!AF216-'Return Estimasi'!AF216</f>
        <v>-18.79261019523452</v>
      </c>
    </row>
    <row r="217" spans="1:32" x14ac:dyDescent="0.3">
      <c r="A217" s="4" t="s">
        <v>132</v>
      </c>
      <c r="B217">
        <f>('Data Saham'!B217-'Data Saham'!B216)/'Data Saham'!B216</f>
        <v>-1.0619477535165754E-2</v>
      </c>
      <c r="C217">
        <f>Return!C217-'Return Estimasi'!C217</f>
        <v>3.5672152074533482E-2</v>
      </c>
      <c r="D217">
        <f>Return!D217-'Return Estimasi'!D217</f>
        <v>6.2184662151011386E-2</v>
      </c>
      <c r="E217">
        <f>Return!E217-'Return Estimasi'!E217</f>
        <v>2.5666868050248745E-2</v>
      </c>
      <c r="F217">
        <f>Return!F217-'Return Estimasi'!F217</f>
        <v>4.600356929293197E-3</v>
      </c>
      <c r="G217">
        <f>Return!G217-'Return Estimasi'!G217</f>
        <v>2.1851446445139708E-3</v>
      </c>
      <c r="H217">
        <f>Return!H217-'Return Estimasi'!H217</f>
        <v>5.5274950684639106E-2</v>
      </c>
      <c r="I217">
        <f>Return!I217-'Return Estimasi'!I217</f>
        <v>-6.4958135061283697E-3</v>
      </c>
      <c r="J217">
        <f>Return!J217-'Return Estimasi'!J217</f>
        <v>-7.8384958529420894E-3</v>
      </c>
      <c r="K217">
        <f>Return!K217-'Return Estimasi'!K217</f>
        <v>1.3200733589733508E-2</v>
      </c>
      <c r="L217">
        <f>Return!L217-'Return Estimasi'!L217</f>
        <v>1.6885079442456864E-2</v>
      </c>
      <c r="M217">
        <f>Return!M217-'Return Estimasi'!M217</f>
        <v>-1.7436088021964433E-2</v>
      </c>
      <c r="N217">
        <f>Return!N217-'Return Estimasi'!N217</f>
        <v>-4.448973642747385E-3</v>
      </c>
      <c r="O217">
        <f>Return!O217-'Return Estimasi'!O217</f>
        <v>-1.3091319662065629E-2</v>
      </c>
      <c r="P217">
        <f>Return!P217-'Return Estimasi'!P217</f>
        <v>-5.1842506090412896E-2</v>
      </c>
      <c r="Q217">
        <f>Return!Q217-'Return Estimasi'!Q217</f>
        <v>-0.1399273232996639</v>
      </c>
      <c r="R217">
        <f>Return!R217-'Return Estimasi'!R217</f>
        <v>-6.5778869245996831E-3</v>
      </c>
      <c r="S217">
        <f>Return!S217-'Return Estimasi'!S217</f>
        <v>-5.5958689126583893E-3</v>
      </c>
      <c r="T217">
        <f>Return!T217-'Return Estimasi'!T217</f>
        <v>-4.9593806462058417E-2</v>
      </c>
      <c r="U217">
        <f>Return!U217-'Return Estimasi'!U217</f>
        <v>-2.0607160170403829E-2</v>
      </c>
      <c r="V217">
        <f>Return!V217-'Return Estimasi'!V217</f>
        <v>-1.2265350572081415E-2</v>
      </c>
      <c r="W217">
        <f>Return!W217-'Return Estimasi'!W217</f>
        <v>-2.5566732149457982E-2</v>
      </c>
      <c r="X217">
        <f>Return!X217-'Return Estimasi'!X217</f>
        <v>-4.2815896147536718E-2</v>
      </c>
      <c r="Y217">
        <f>Return!Y217-'Return Estimasi'!Y217</f>
        <v>-4.4702725078391473E-2</v>
      </c>
      <c r="Z217">
        <f>Return!Z217-'Return Estimasi'!Z217</f>
        <v>9.281956793822323E-3</v>
      </c>
      <c r="AA217">
        <f>Return!AA217-'Return Estimasi'!AA217</f>
        <v>-2.8052129842623136E-3</v>
      </c>
      <c r="AB217">
        <f>Return!AB217-'Return Estimasi'!AB217</f>
        <v>6.2057740343486954E-2</v>
      </c>
      <c r="AC217">
        <f>Return!AC217-'Return Estimasi'!AC217</f>
        <v>-3.9275512384025303E-2</v>
      </c>
      <c r="AD217">
        <f>Return!AD217-'Return Estimasi'!AD217</f>
        <v>1.5787519220330459E-2</v>
      </c>
      <c r="AE217">
        <f>Return!AE217-'Return Estimasi'!AE217</f>
        <v>-8.6236453644508576E-3</v>
      </c>
      <c r="AF217">
        <f>Return!AF217-'Return Estimasi'!AF217</f>
        <v>-16.997132287408441</v>
      </c>
    </row>
    <row r="218" spans="1:32" x14ac:dyDescent="0.3">
      <c r="A218" s="3" t="s">
        <v>133</v>
      </c>
      <c r="B218">
        <f>('Data Saham'!B218-'Data Saham'!B217)/'Data Saham'!B217</f>
        <v>1.1832802895945172E-2</v>
      </c>
      <c r="C218">
        <f>Return!C218-'Return Estimasi'!C218</f>
        <v>1.925269562033536E-2</v>
      </c>
      <c r="D218">
        <f>Return!D218-'Return Estimasi'!D218</f>
        <v>-4.8828232766058507E-3</v>
      </c>
      <c r="E218">
        <f>Return!E218-'Return Estimasi'!E218</f>
        <v>2.9379622360660201E-2</v>
      </c>
      <c r="F218">
        <f>Return!F218-'Return Estimasi'!F218</f>
        <v>5.9244872201106805E-3</v>
      </c>
      <c r="G218">
        <f>Return!G218-'Return Estimasi'!G218</f>
        <v>3.1200836538788468E-2</v>
      </c>
      <c r="H218">
        <f>Return!H218-'Return Estimasi'!H218</f>
        <v>-2.7718547735088504E-2</v>
      </c>
      <c r="I218">
        <f>Return!I218-'Return Estimasi'!I218</f>
        <v>3.2680886714407095E-2</v>
      </c>
      <c r="J218">
        <f>Return!J218-'Return Estimasi'!J218</f>
        <v>3.5073411366706242E-4</v>
      </c>
      <c r="K218">
        <f>Return!K218-'Return Estimasi'!K218</f>
        <v>-1.6964365373744319E-2</v>
      </c>
      <c r="L218">
        <f>Return!L218-'Return Estimasi'!L218</f>
        <v>-1.5075306891169128E-2</v>
      </c>
      <c r="M218">
        <f>Return!M218-'Return Estimasi'!M218</f>
        <v>-4.2059040569051E-2</v>
      </c>
      <c r="N218">
        <f>Return!N218-'Return Estimasi'!N218</f>
        <v>-1.8151857945058591E-3</v>
      </c>
      <c r="O218">
        <f>Return!O218-'Return Estimasi'!O218</f>
        <v>1.3484965368597165E-2</v>
      </c>
      <c r="P218">
        <f>Return!P218-'Return Estimasi'!P218</f>
        <v>1.0885926133996134E-3</v>
      </c>
      <c r="Q218">
        <f>Return!Q218-'Return Estimasi'!Q218</f>
        <v>7.9485072040826402E-4</v>
      </c>
      <c r="R218">
        <f>Return!R218-'Return Estimasi'!R218</f>
        <v>4.9211891782589022E-2</v>
      </c>
      <c r="S218">
        <f>Return!S218-'Return Estimasi'!S218</f>
        <v>2.1499778763742202E-2</v>
      </c>
      <c r="T218">
        <f>Return!T218-'Return Estimasi'!T218</f>
        <v>5.7504422593890853E-2</v>
      </c>
      <c r="U218">
        <f>Return!U218-'Return Estimasi'!U218</f>
        <v>-8.1142575252910777E-4</v>
      </c>
      <c r="V218">
        <f>Return!V218-'Return Estimasi'!V218</f>
        <v>5.6791849294209329E-2</v>
      </c>
      <c r="W218">
        <f>Return!W218-'Return Estimasi'!W218</f>
        <v>-4.2877830454724118E-2</v>
      </c>
      <c r="X218">
        <f>Return!X218-'Return Estimasi'!X218</f>
        <v>3.7580717202269368E-2</v>
      </c>
      <c r="Y218">
        <f>Return!Y218-'Return Estimasi'!Y218</f>
        <v>5.6202116522352373E-2</v>
      </c>
      <c r="Z218">
        <f>Return!Z218-'Return Estimasi'!Z218</f>
        <v>7.0785553631607916E-3</v>
      </c>
      <c r="AA218">
        <f>Return!AA218-'Return Estimasi'!AA218</f>
        <v>5.4090198697440382E-3</v>
      </c>
      <c r="AB218">
        <f>Return!AB218-'Return Estimasi'!AB218</f>
        <v>4.2888735494052612E-3</v>
      </c>
      <c r="AC218">
        <f>Return!AC218-'Return Estimasi'!AC218</f>
        <v>1.702764845698046E-2</v>
      </c>
      <c r="AD218">
        <f>Return!AD218-'Return Estimasi'!AD218</f>
        <v>9.6807740329015561E-3</v>
      </c>
      <c r="AE218">
        <f>Return!AE218-'Return Estimasi'!AE218</f>
        <v>1.3733086966025916E-2</v>
      </c>
      <c r="AF218">
        <f>Return!AF218-'Return Estimasi'!AF218</f>
        <v>-16.296595573947894</v>
      </c>
    </row>
    <row r="219" spans="1:32" x14ac:dyDescent="0.3">
      <c r="A219" s="2">
        <v>46055</v>
      </c>
      <c r="B219">
        <f>('Data Saham'!B219-'Data Saham'!B218)/'Data Saham'!B218</f>
        <v>-4.8847425029503302E-2</v>
      </c>
      <c r="C219">
        <f>Return!C219-'Return Estimasi'!C219</f>
        <v>7.0625431796259089E-2</v>
      </c>
      <c r="D219">
        <f>Return!D219-'Return Estimasi'!D219</f>
        <v>5.2101947981471552E-2</v>
      </c>
      <c r="E219">
        <f>Return!E219-'Return Estimasi'!E219</f>
        <v>4.3578668739719266E-2</v>
      </c>
      <c r="F219">
        <f>Return!F219-'Return Estimasi'!F219</f>
        <v>4.3711779991151757E-2</v>
      </c>
      <c r="G219">
        <f>Return!G219-'Return Estimasi'!G219</f>
        <v>1.4608907992467494E-2</v>
      </c>
      <c r="H219">
        <f>Return!H219-'Return Estimasi'!H219</f>
        <v>2.059999421546229E-2</v>
      </c>
      <c r="I219">
        <f>Return!I219-'Return Estimasi'!I219</f>
        <v>7.6026691020646964E-2</v>
      </c>
      <c r="J219">
        <f>Return!J219-'Return Estimasi'!J219</f>
        <v>4.7180123875200021E-2</v>
      </c>
      <c r="K219">
        <f>Return!K219-'Return Estimasi'!K219</f>
        <v>1.2987948383020954E-2</v>
      </c>
      <c r="L219">
        <f>Return!L219-'Return Estimasi'!L219</f>
        <v>1.5951696304732161E-2</v>
      </c>
      <c r="M219">
        <f>Return!M219-'Return Estimasi'!M219</f>
        <v>-5.2732695696379124E-2</v>
      </c>
      <c r="N219">
        <f>Return!N219-'Return Estimasi'!N219</f>
        <v>-7.859157566789958E-2</v>
      </c>
      <c r="O219">
        <f>Return!O219-'Return Estimasi'!O219</f>
        <v>5.3696901344484002E-2</v>
      </c>
      <c r="P219">
        <f>Return!P219-'Return Estimasi'!P219</f>
        <v>5.436681398329439E-2</v>
      </c>
      <c r="Q219">
        <f>Return!Q219-'Return Estimasi'!Q219</f>
        <v>-6.8240590620841396E-2</v>
      </c>
      <c r="R219">
        <f>Return!R219-'Return Estimasi'!R219</f>
        <v>2.507466221085063E-2</v>
      </c>
      <c r="S219">
        <f>Return!S219-'Return Estimasi'!S219</f>
        <v>2.8926091298843354E-2</v>
      </c>
      <c r="T219">
        <f>Return!T219-'Return Estimasi'!T219</f>
        <v>-9.301545568919857E-3</v>
      </c>
      <c r="U219">
        <f>Return!U219-'Return Estimasi'!U219</f>
        <v>0.1063404197974286</v>
      </c>
      <c r="V219">
        <f>Return!V219-'Return Estimasi'!V219</f>
        <v>-1.6550657968721426E-2</v>
      </c>
      <c r="W219">
        <f>Return!W219-'Return Estimasi'!W219</f>
        <v>-5.7691701554718672E-2</v>
      </c>
      <c r="X219">
        <f>Return!X219-'Return Estimasi'!X219</f>
        <v>4.0496053822253263E-2</v>
      </c>
      <c r="Y219">
        <f>Return!Y219-'Return Estimasi'!Y219</f>
        <v>2.9024833383236609E-2</v>
      </c>
      <c r="Z219">
        <f>Return!Z219-'Return Estimasi'!Z219</f>
        <v>2.8961926315414846E-2</v>
      </c>
      <c r="AA219">
        <f>Return!AA219-'Return Estimasi'!AA219</f>
        <v>7.1282921227588766E-2</v>
      </c>
      <c r="AB219">
        <f>Return!AB219-'Return Estimasi'!AB219</f>
        <v>5.4361414195208194E-3</v>
      </c>
      <c r="AC219">
        <f>Return!AC219-'Return Estimasi'!AC219</f>
        <v>-3.8960025521188324E-4</v>
      </c>
      <c r="AD219">
        <f>Return!AD219-'Return Estimasi'!AD219</f>
        <v>1.6984545826609618E-2</v>
      </c>
      <c r="AE219">
        <f>Return!AE219-'Return Estimasi'!AE219</f>
        <v>3.7302738915316172E-2</v>
      </c>
      <c r="AF219">
        <f>Return!AF219-'Return Estimasi'!AF219</f>
        <v>-18.077415416106572</v>
      </c>
    </row>
    <row r="220" spans="1:32" x14ac:dyDescent="0.3">
      <c r="A220" s="1">
        <v>46083</v>
      </c>
      <c r="B220">
        <f>('Data Saham'!B220-'Data Saham'!B219)/'Data Saham'!B219</f>
        <v>2.5227415297504878E-2</v>
      </c>
      <c r="C220">
        <f>Return!C220-'Return Estimasi'!C220</f>
        <v>-1.3451923878316532E-2</v>
      </c>
      <c r="D220">
        <f>Return!D220-'Return Estimasi'!D220</f>
        <v>-3.3824270308132648E-2</v>
      </c>
      <c r="E220">
        <f>Return!E220-'Return Estimasi'!E220</f>
        <v>-1.851582836648568E-2</v>
      </c>
      <c r="F220">
        <f>Return!F220-'Return Estimasi'!F220</f>
        <v>-1.2580902565935241E-3</v>
      </c>
      <c r="G220">
        <f>Return!G220-'Return Estimasi'!G220</f>
        <v>-3.8629747330930254E-2</v>
      </c>
      <c r="H220">
        <f>Return!H220-'Return Estimasi'!H220</f>
        <v>6.6240160252603597E-2</v>
      </c>
      <c r="I220">
        <f>Return!I220-'Return Estimasi'!I220</f>
        <v>1.5054002259391892E-2</v>
      </c>
      <c r="J220">
        <f>Return!J220-'Return Estimasi'!J220</f>
        <v>1.7723951142520358E-2</v>
      </c>
      <c r="K220">
        <f>Return!K220-'Return Estimasi'!K220</f>
        <v>-2.0396133229308139E-2</v>
      </c>
      <c r="L220">
        <f>Return!L220-'Return Estimasi'!L220</f>
        <v>-2.9722189418938949E-3</v>
      </c>
      <c r="M220">
        <f>Return!M220-'Return Estimasi'!M220</f>
        <v>1.9038037104878898E-3</v>
      </c>
      <c r="N220">
        <f>Return!N220-'Return Estimasi'!N220</f>
        <v>4.7306922464095527E-2</v>
      </c>
      <c r="O220">
        <f>Return!O220-'Return Estimasi'!O220</f>
        <v>-2.1794170267249155E-2</v>
      </c>
      <c r="P220">
        <f>Return!P220-'Return Estimasi'!P220</f>
        <v>-1.4397681392146616E-3</v>
      </c>
      <c r="Q220">
        <f>Return!Q220-'Return Estimasi'!Q220</f>
        <v>4.6766976056044442E-2</v>
      </c>
      <c r="R220">
        <f>Return!R220-'Return Estimasi'!R220</f>
        <v>-5.1584503956992843E-3</v>
      </c>
      <c r="S220">
        <f>Return!S220-'Return Estimasi'!S220</f>
        <v>6.6408965428390154E-3</v>
      </c>
      <c r="T220">
        <f>Return!T220-'Return Estimasi'!T220</f>
        <v>2.9408390121477487E-2</v>
      </c>
      <c r="U220">
        <f>Return!U220-'Return Estimasi'!U220</f>
        <v>-4.3388470435200943E-2</v>
      </c>
      <c r="V220">
        <f>Return!V220-'Return Estimasi'!V220</f>
        <v>4.7425599482924408E-2</v>
      </c>
      <c r="W220">
        <f>Return!W220-'Return Estimasi'!W220</f>
        <v>2.5972078724858474E-2</v>
      </c>
      <c r="X220">
        <f>Return!X220-'Return Estimasi'!X220</f>
        <v>4.6263277603366147E-2</v>
      </c>
      <c r="Y220">
        <f>Return!Y220-'Return Estimasi'!Y220</f>
        <v>-3.9931687500151265E-3</v>
      </c>
      <c r="Z220">
        <f>Return!Z220-'Return Estimasi'!Z220</f>
        <v>-8.4483647997361019E-3</v>
      </c>
      <c r="AA220">
        <f>Return!AA220-'Return Estimasi'!AA220</f>
        <v>-1.5118025312244442E-2</v>
      </c>
      <c r="AB220">
        <f>Return!AB220-'Return Estimasi'!AB220</f>
        <v>-9.2950066435806729E-3</v>
      </c>
      <c r="AC220">
        <f>Return!AC220-'Return Estimasi'!AC220</f>
        <v>-1.5698465195656233E-2</v>
      </c>
      <c r="AD220">
        <f>Return!AD220-'Return Estimasi'!AD220</f>
        <v>-2.9571715426963477E-3</v>
      </c>
      <c r="AE220">
        <f>Return!AE220-'Return Estimasi'!AE220</f>
        <v>-2.5471471781900977E-3</v>
      </c>
      <c r="AF220">
        <f>Return!AF220-'Return Estimasi'!AF220</f>
        <v>-15.902723168083075</v>
      </c>
    </row>
    <row r="221" spans="1:32" x14ac:dyDescent="0.3">
      <c r="A221" s="2">
        <v>46114</v>
      </c>
      <c r="B221">
        <f>('Data Saham'!B221-'Data Saham'!B220)/'Data Saham'!B220</f>
        <v>2.9694925270233531E-3</v>
      </c>
      <c r="C221">
        <f>Return!C221-'Return Estimasi'!C221</f>
        <v>1.8696223518370352E-2</v>
      </c>
      <c r="D221">
        <f>Return!D221-'Return Estimasi'!D221</f>
        <v>1.4317754655559171E-2</v>
      </c>
      <c r="E221">
        <f>Return!E221-'Return Estimasi'!E221</f>
        <v>3.2213735042358284E-2</v>
      </c>
      <c r="F221">
        <f>Return!F221-'Return Estimasi'!F221</f>
        <v>6.309360606277549E-3</v>
      </c>
      <c r="G221">
        <f>Return!G221-'Return Estimasi'!G221</f>
        <v>-3.9075472150000873E-2</v>
      </c>
      <c r="H221">
        <f>Return!H221-'Return Estimasi'!H221</f>
        <v>-2.0832808446000311E-2</v>
      </c>
      <c r="I221">
        <f>Return!I221-'Return Estimasi'!I221</f>
        <v>-3.1463282648204742E-2</v>
      </c>
      <c r="J221">
        <f>Return!J221-'Return Estimasi'!J221</f>
        <v>-2.1626533963290593E-2</v>
      </c>
      <c r="K221">
        <f>Return!K221-'Return Estimasi'!K221</f>
        <v>9.8372047503067876E-3</v>
      </c>
      <c r="L221">
        <f>Return!L221-'Return Estimasi'!L221</f>
        <v>5.4085255016374386E-4</v>
      </c>
      <c r="M221">
        <f>Return!M221-'Return Estimasi'!M221</f>
        <v>7.270763887923597E-3</v>
      </c>
      <c r="N221">
        <f>Return!N221-'Return Estimasi'!N221</f>
        <v>2.515547956199736E-2</v>
      </c>
      <c r="O221">
        <f>Return!O221-'Return Estimasi'!O221</f>
        <v>1.7321325434249673E-2</v>
      </c>
      <c r="P221">
        <f>Return!P221-'Return Estimasi'!P221</f>
        <v>-1.9249804693706699E-2</v>
      </c>
      <c r="Q221">
        <f>Return!Q221-'Return Estimasi'!Q221</f>
        <v>-1.4748653589014383E-2</v>
      </c>
      <c r="R221">
        <f>Return!R221-'Return Estimasi'!R221</f>
        <v>-9.5937074221215946E-3</v>
      </c>
      <c r="S221">
        <f>Return!S221-'Return Estimasi'!S221</f>
        <v>-1.9180682548986961E-2</v>
      </c>
      <c r="T221">
        <f>Return!T221-'Return Estimasi'!T221</f>
        <v>-7.0915026194015476E-2</v>
      </c>
      <c r="U221">
        <f>Return!U221-'Return Estimasi'!U221</f>
        <v>4.4041554956913368E-4</v>
      </c>
      <c r="V221">
        <f>Return!V221-'Return Estimasi'!V221</f>
        <v>6.1297241885755534E-2</v>
      </c>
      <c r="W221">
        <f>Return!W221-'Return Estimasi'!W221</f>
        <v>6.7881407733290294E-2</v>
      </c>
      <c r="X221">
        <f>Return!X221-'Return Estimasi'!X221</f>
        <v>-2.1292701685987028E-2</v>
      </c>
      <c r="Y221">
        <f>Return!Y221-'Return Estimasi'!Y221</f>
        <v>-1.2194632933504188E-2</v>
      </c>
      <c r="Z221">
        <f>Return!Z221-'Return Estimasi'!Z221</f>
        <v>-6.2684452997074742E-3</v>
      </c>
      <c r="AA221">
        <f>Return!AA221-'Return Estimasi'!AA221</f>
        <v>1.0488479740384599E-2</v>
      </c>
      <c r="AB221">
        <f>Return!AB221-'Return Estimasi'!AB221</f>
        <v>-2.251222025066545E-3</v>
      </c>
      <c r="AC221">
        <f>Return!AC221-'Return Estimasi'!AC221</f>
        <v>3.4454633505451027E-3</v>
      </c>
      <c r="AD221">
        <f>Return!AD221-'Return Estimasi'!AD221</f>
        <v>2.6689959188018271E-3</v>
      </c>
      <c r="AE221">
        <f>Return!AE221-'Return Estimasi'!AE221</f>
        <v>-1.3160746863674808E-2</v>
      </c>
      <c r="AF221">
        <f>Return!AF221-'Return Estimasi'!AF221</f>
        <v>-16.596430087522524</v>
      </c>
    </row>
    <row r="222" spans="1:32" x14ac:dyDescent="0.3">
      <c r="A222" s="1">
        <v>46144</v>
      </c>
      <c r="B222">
        <f>('Data Saham'!B222-'Data Saham'!B221)/'Data Saham'!B221</f>
        <v>-5.2585580454465285E-3</v>
      </c>
      <c r="C222">
        <f>Return!C222-'Return Estimasi'!C222</f>
        <v>6.1561634318492778E-3</v>
      </c>
      <c r="D222">
        <f>Return!D222-'Return Estimasi'!D222</f>
        <v>-1.1799274019535285E-3</v>
      </c>
      <c r="E222">
        <f>Return!E222-'Return Estimasi'!E222</f>
        <v>1.5069488481472871E-2</v>
      </c>
      <c r="F222">
        <f>Return!F222-'Return Estimasi'!F222</f>
        <v>-8.3948953913367437E-3</v>
      </c>
      <c r="G222">
        <f>Return!G222-'Return Estimasi'!G222</f>
        <v>-8.8925917985592691E-3</v>
      </c>
      <c r="H222">
        <f>Return!H222-'Return Estimasi'!H222</f>
        <v>4.4283728133903646E-2</v>
      </c>
      <c r="I222">
        <f>Return!I222-'Return Estimasi'!I222</f>
        <v>4.093874760034687E-3</v>
      </c>
      <c r="J222">
        <f>Return!J222-'Return Estimasi'!J222</f>
        <v>-5.5217837635211896E-3</v>
      </c>
      <c r="K222">
        <f>Return!K222-'Return Estimasi'!K222</f>
        <v>-3.3067963059711727E-2</v>
      </c>
      <c r="L222">
        <f>Return!L222-'Return Estimasi'!L222</f>
        <v>5.7961893305749235E-3</v>
      </c>
      <c r="M222">
        <f>Return!M222-'Return Estimasi'!M222</f>
        <v>-4.5125891333327083E-2</v>
      </c>
      <c r="N222">
        <f>Return!N222-'Return Estimasi'!N222</f>
        <v>1.9514358671258822E-2</v>
      </c>
      <c r="O222">
        <f>Return!O222-'Return Estimasi'!O222</f>
        <v>3.0254052404270803E-3</v>
      </c>
      <c r="P222">
        <f>Return!P222-'Return Estimasi'!P222</f>
        <v>1.5939454844423454E-2</v>
      </c>
      <c r="Q222">
        <f>Return!Q222-'Return Estimasi'!Q222</f>
        <v>-5.4478302921471884E-2</v>
      </c>
      <c r="R222">
        <f>Return!R222-'Return Estimasi'!R222</f>
        <v>-1.8010241162347253E-2</v>
      </c>
      <c r="S222">
        <f>Return!S222-'Return Estimasi'!S222</f>
        <v>1.8685915426475814E-2</v>
      </c>
      <c r="T222">
        <f>Return!T222-'Return Estimasi'!T222</f>
        <v>-1.9583578307966502E-3</v>
      </c>
      <c r="U222">
        <f>Return!U222-'Return Estimasi'!U222</f>
        <v>2.5126724406330014E-2</v>
      </c>
      <c r="V222">
        <f>Return!V222-'Return Estimasi'!V222</f>
        <v>-1.1300252348342577E-2</v>
      </c>
      <c r="W222">
        <f>Return!W222-'Return Estimasi'!W222</f>
        <v>-6.3463590448434738E-3</v>
      </c>
      <c r="X222">
        <f>Return!X222-'Return Estimasi'!X222</f>
        <v>2.3635122651511197E-3</v>
      </c>
      <c r="Y222">
        <f>Return!Y222-'Return Estimasi'!Y222</f>
        <v>2.8905798293853709E-2</v>
      </c>
      <c r="Z222">
        <f>Return!Z222-'Return Estimasi'!Z222</f>
        <v>2.5220270711610433E-2</v>
      </c>
      <c r="AA222">
        <f>Return!AA222-'Return Estimasi'!AA222</f>
        <v>-4.3040911245772638E-3</v>
      </c>
      <c r="AB222">
        <f>Return!AB222-'Return Estimasi'!AB222</f>
        <v>-2.5845284378469481E-2</v>
      </c>
      <c r="AC222">
        <f>Return!AC222-'Return Estimasi'!AC222</f>
        <v>3.3985078555736929E-3</v>
      </c>
      <c r="AD222">
        <f>Return!AD222-'Return Estimasi'!AD222</f>
        <v>1.5614417304408938E-2</v>
      </c>
      <c r="AE222">
        <f>Return!AE222-'Return Estimasi'!AE222</f>
        <v>-1.4789276998782176E-3</v>
      </c>
      <c r="AF222">
        <f>Return!AF222-'Return Estimasi'!AF222</f>
        <v>-16.82199032341283</v>
      </c>
    </row>
    <row r="223" spans="1:32" x14ac:dyDescent="0.3">
      <c r="A223" s="2">
        <v>46175</v>
      </c>
      <c r="B223">
        <f>('Data Saham'!B223-'Data Saham'!B222)/'Data Saham'!B222</f>
        <v>-2.0807316988899132E-2</v>
      </c>
      <c r="C223">
        <f>Return!C223-'Return Estimasi'!C223</f>
        <v>3.4866939504349416E-3</v>
      </c>
      <c r="D223">
        <f>Return!D223-'Return Estimasi'!D223</f>
        <v>1.0966061769112564E-3</v>
      </c>
      <c r="E223">
        <f>Return!E223-'Return Estimasi'!E223</f>
        <v>2.0286393136337545E-2</v>
      </c>
      <c r="F223">
        <f>Return!F223-'Return Estimasi'!F223</f>
        <v>8.9814062536957111E-3</v>
      </c>
      <c r="G223">
        <f>Return!G223-'Return Estimasi'!G223</f>
        <v>4.4482226540942346E-2</v>
      </c>
      <c r="H223">
        <f>Return!H223-'Return Estimasi'!H223</f>
        <v>-2.2425076447542353E-2</v>
      </c>
      <c r="I223">
        <f>Return!I223-'Return Estimasi'!I223</f>
        <v>-1.6424732772742943E-2</v>
      </c>
      <c r="J223">
        <f>Return!J223-'Return Estimasi'!J223</f>
        <v>-1.5391571662831397E-2</v>
      </c>
      <c r="K223">
        <f>Return!K223-'Return Estimasi'!K223</f>
        <v>8.7424748382241534E-3</v>
      </c>
      <c r="L223">
        <f>Return!L223-'Return Estimasi'!L223</f>
        <v>1.3370901509004128E-4</v>
      </c>
      <c r="M223">
        <f>Return!M223-'Return Estimasi'!M223</f>
        <v>-1.1173576693369131E-2</v>
      </c>
      <c r="N223">
        <f>Return!N223-'Return Estimasi'!N223</f>
        <v>-3.7137609889398862E-2</v>
      </c>
      <c r="O223">
        <f>Return!O223-'Return Estimasi'!O223</f>
        <v>2.4641321613790387E-2</v>
      </c>
      <c r="P223">
        <f>Return!P223-'Return Estimasi'!P223</f>
        <v>1.4894308723497549E-3</v>
      </c>
      <c r="Q223">
        <f>Return!Q223-'Return Estimasi'!Q223</f>
        <v>9.8477230312206329E-3</v>
      </c>
      <c r="R223">
        <f>Return!R223-'Return Estimasi'!R223</f>
        <v>1.7507904081721096E-2</v>
      </c>
      <c r="S223">
        <f>Return!S223-'Return Estimasi'!S223</f>
        <v>4.7772322030195363E-3</v>
      </c>
      <c r="T223">
        <f>Return!T223-'Return Estimasi'!T223</f>
        <v>-2.3974871882674692E-2</v>
      </c>
      <c r="U223">
        <f>Return!U223-'Return Estimasi'!U223</f>
        <v>3.4094115300860421E-2</v>
      </c>
      <c r="V223">
        <f>Return!V223-'Return Estimasi'!V223</f>
        <v>-1.7365790665594055E-2</v>
      </c>
      <c r="W223">
        <f>Return!W223-'Return Estimasi'!W223</f>
        <v>-3.6564600938784914E-2</v>
      </c>
      <c r="X223">
        <f>Return!X223-'Return Estimasi'!X223</f>
        <v>1.4922358223352652E-2</v>
      </c>
      <c r="Y223">
        <f>Return!Y223-'Return Estimasi'!Y223</f>
        <v>4.0761877578269837E-2</v>
      </c>
      <c r="Z223">
        <f>Return!Z223-'Return Estimasi'!Z223</f>
        <v>1.2265631295499461E-2</v>
      </c>
      <c r="AA223">
        <f>Return!AA223-'Return Estimasi'!AA223</f>
        <v>5.6109886086989948E-3</v>
      </c>
      <c r="AB223">
        <f>Return!AB223-'Return Estimasi'!AB223</f>
        <v>2.2785368021905106E-2</v>
      </c>
      <c r="AC223">
        <f>Return!AC223-'Return Estimasi'!AC223</f>
        <v>-4.468779908115502E-3</v>
      </c>
      <c r="AD223">
        <f>Return!AD223-'Return Estimasi'!AD223</f>
        <v>-9.7688997699493622E-3</v>
      </c>
      <c r="AE223">
        <f>Return!AE223-'Return Estimasi'!AE223</f>
        <v>1.0353546350462171E-2</v>
      </c>
      <c r="AF223">
        <f>Return!AF223-'Return Estimasi'!AF223</f>
        <v>-17.293676555897559</v>
      </c>
    </row>
    <row r="224" spans="1:32" x14ac:dyDescent="0.3">
      <c r="A224" s="1">
        <v>46267</v>
      </c>
      <c r="B224">
        <f>('Data Saham'!B224-'Data Saham'!B223)/'Data Saham'!B223</f>
        <v>1.2174774361520565E-2</v>
      </c>
      <c r="C224">
        <f>Return!C224-'Return Estimasi'!C224</f>
        <v>-3.1620133906810156E-2</v>
      </c>
      <c r="D224">
        <f>Return!D224-'Return Estimasi'!D224</f>
        <v>-1.5801122957838788E-2</v>
      </c>
      <c r="E224">
        <f>Return!E224-'Return Estimasi'!E224</f>
        <v>-2.1892757632769523E-2</v>
      </c>
      <c r="F224">
        <f>Return!F224-'Return Estimasi'!F224</f>
        <v>-1.2409778245473277E-2</v>
      </c>
      <c r="G224">
        <f>Return!G224-'Return Estimasi'!G224</f>
        <v>-2.1461230812091087E-2</v>
      </c>
      <c r="H224">
        <f>Return!H224-'Return Estimasi'!H224</f>
        <v>-1.6106287137630189E-2</v>
      </c>
      <c r="I224">
        <f>Return!I224-'Return Estimasi'!I224</f>
        <v>-3.2946654510674716E-3</v>
      </c>
      <c r="J224">
        <f>Return!J224-'Return Estimasi'!J224</f>
        <v>-7.0871736120633232E-3</v>
      </c>
      <c r="K224">
        <f>Return!K224-'Return Estimasi'!K224</f>
        <v>1.1256681970598936E-2</v>
      </c>
      <c r="L224">
        <f>Return!L224-'Return Estimasi'!L224</f>
        <v>-5.2141902752973323E-4</v>
      </c>
      <c r="M224">
        <f>Return!M224-'Return Estimasi'!M224</f>
        <v>3.1589643288950309E-2</v>
      </c>
      <c r="N224">
        <f>Return!N224-'Return Estimasi'!N224</f>
        <v>5.1752044374940812E-2</v>
      </c>
      <c r="O224">
        <f>Return!O224-'Return Estimasi'!O224</f>
        <v>-1.0405607003737657E-2</v>
      </c>
      <c r="P224">
        <f>Return!P224-'Return Estimasi'!P224</f>
        <v>6.9624496151357053E-4</v>
      </c>
      <c r="Q224">
        <f>Return!Q224-'Return Estimasi'!Q224</f>
        <v>-1.1126071724545921E-3</v>
      </c>
      <c r="R224">
        <f>Return!R224-'Return Estimasi'!R224</f>
        <v>-1.9680733605001936E-2</v>
      </c>
      <c r="S224">
        <f>Return!S224-'Return Estimasi'!S224</f>
        <v>2.380198342138924E-3</v>
      </c>
      <c r="T224">
        <f>Return!T224-'Return Estimasi'!T224</f>
        <v>1.1924364993807994E-2</v>
      </c>
      <c r="U224">
        <f>Return!U224-'Return Estimasi'!U224</f>
        <v>-3.6396506256198932E-2</v>
      </c>
      <c r="V224">
        <f>Return!V224-'Return Estimasi'!V224</f>
        <v>1.1582262023893976E-2</v>
      </c>
      <c r="W224">
        <f>Return!W224-'Return Estimasi'!W224</f>
        <v>3.6197165964473726E-4</v>
      </c>
      <c r="X224">
        <f>Return!X224-'Return Estimasi'!X224</f>
        <v>-1.2362556489098796E-2</v>
      </c>
      <c r="Y224">
        <f>Return!Y224-'Return Estimasi'!Y224</f>
        <v>5.2678958409825054E-2</v>
      </c>
      <c r="Z224">
        <f>Return!Z224-'Return Estimasi'!Z224</f>
        <v>-8.415375809801319E-3</v>
      </c>
      <c r="AA224">
        <f>Return!AA224-'Return Estimasi'!AA224</f>
        <v>-2.8885965817701229E-2</v>
      </c>
      <c r="AB224">
        <f>Return!AB224-'Return Estimasi'!AB224</f>
        <v>-1.1944232662292916E-2</v>
      </c>
      <c r="AC224">
        <f>Return!AC224-'Return Estimasi'!AC224</f>
        <v>-1.1636063342693011E-2</v>
      </c>
      <c r="AD224">
        <f>Return!AD224-'Return Estimasi'!AD224</f>
        <v>-6.0845722431672059E-3</v>
      </c>
      <c r="AE224">
        <f>Return!AE224-'Return Estimasi'!AE224</f>
        <v>1.3091270499738608E-2</v>
      </c>
      <c r="AF224">
        <f>Return!AF224-'Return Estimasi'!AF224</f>
        <v>-16.34944790551501</v>
      </c>
    </row>
    <row r="225" spans="1:32" x14ac:dyDescent="0.3">
      <c r="A225" s="2">
        <v>46297</v>
      </c>
      <c r="B225">
        <f>('Data Saham'!B225-'Data Saham'!B224)/'Data Saham'!B224</f>
        <v>1.2434215195216045E-2</v>
      </c>
      <c r="C225">
        <f>Return!C225-'Return Estimasi'!C225</f>
        <v>-1.2375020440860977E-2</v>
      </c>
      <c r="D225">
        <f>Return!D225-'Return Estimasi'!D225</f>
        <v>-1.0758230255419535E-2</v>
      </c>
      <c r="E225">
        <f>Return!E225-'Return Estimasi'!E225</f>
        <v>7.7543288303115986E-3</v>
      </c>
      <c r="F225">
        <f>Return!F225-'Return Estimasi'!F225</f>
        <v>-1.2634413078036765E-2</v>
      </c>
      <c r="G225">
        <f>Return!G225-'Return Estimasi'!G225</f>
        <v>2.1061632950356776E-3</v>
      </c>
      <c r="H225">
        <f>Return!H225-'Return Estimasi'!H225</f>
        <v>2.1257040357019981E-2</v>
      </c>
      <c r="I225">
        <f>Return!I225-'Return Estimasi'!I225</f>
        <v>2.7873296136718411E-3</v>
      </c>
      <c r="J225">
        <f>Return!J225-'Return Estimasi'!J225</f>
        <v>7.4769446310777483E-3</v>
      </c>
      <c r="K225">
        <f>Return!K225-'Return Estimasi'!K225</f>
        <v>5.753335598283409E-3</v>
      </c>
      <c r="L225">
        <f>Return!L225-'Return Estimasi'!L225</f>
        <v>-6.2730270492997956E-4</v>
      </c>
      <c r="M225">
        <f>Return!M225-'Return Estimasi'!M225</f>
        <v>-1.7179600538212929E-2</v>
      </c>
      <c r="N225">
        <f>Return!N225-'Return Estimasi'!N225</f>
        <v>1.1677234102004247E-3</v>
      </c>
      <c r="O225">
        <f>Return!O225-'Return Estimasi'!O225</f>
        <v>-6.0544459329743144E-3</v>
      </c>
      <c r="P225">
        <f>Return!P225-'Return Estimasi'!P225</f>
        <v>-1.8489711606918278E-2</v>
      </c>
      <c r="Q225">
        <f>Return!Q225-'Return Estimasi'!Q225</f>
        <v>-2.5468250408438257E-2</v>
      </c>
      <c r="R225">
        <f>Return!R225-'Return Estimasi'!R225</f>
        <v>-1.9148958197100852E-3</v>
      </c>
      <c r="S225">
        <f>Return!S225-'Return Estimasi'!S225</f>
        <v>-2.4329672548148402E-2</v>
      </c>
      <c r="T225">
        <f>Return!T225-'Return Estimasi'!T225</f>
        <v>3.5407962496950794E-3</v>
      </c>
      <c r="U225">
        <f>Return!U225-'Return Estimasi'!U225</f>
        <v>7.5627076104107668E-2</v>
      </c>
      <c r="V225">
        <f>Return!V225-'Return Estimasi'!V225</f>
        <v>6.2094308531730289E-3</v>
      </c>
      <c r="W225">
        <f>Return!W225-'Return Estimasi'!W225</f>
        <v>-8.2934486838207241E-3</v>
      </c>
      <c r="X225">
        <f>Return!X225-'Return Estimasi'!X225</f>
        <v>2.2919525165674082E-2</v>
      </c>
      <c r="Y225">
        <f>Return!Y225-'Return Estimasi'!Y225</f>
        <v>7.3239330695131152E-3</v>
      </c>
      <c r="Z225">
        <f>Return!Z225-'Return Estimasi'!Z225</f>
        <v>-3.6663092057518552E-3</v>
      </c>
      <c r="AA225">
        <f>Return!AA225-'Return Estimasi'!AA225</f>
        <v>-1.6841917658480143E-2</v>
      </c>
      <c r="AB225">
        <f>Return!AB225-'Return Estimasi'!AB225</f>
        <v>-2.888408626727982E-2</v>
      </c>
      <c r="AC225">
        <f>Return!AC225-'Return Estimasi'!AC225</f>
        <v>7.5096715649217535E-2</v>
      </c>
      <c r="AD225">
        <f>Return!AD225-'Return Estimasi'!AD225</f>
        <v>-1.2055859817345551E-3</v>
      </c>
      <c r="AE225">
        <f>Return!AE225-'Return Estimasi'!AE225</f>
        <v>-1.4917523513179813E-2</v>
      </c>
      <c r="AF225">
        <f>Return!AF225-'Return Estimasi'!AF225</f>
        <v>-16.324331101080126</v>
      </c>
    </row>
    <row r="226" spans="1:32" x14ac:dyDescent="0.3">
      <c r="A226" s="1">
        <v>46328</v>
      </c>
      <c r="B226">
        <f>('Data Saham'!B226-'Data Saham'!B225)/'Data Saham'!B225</f>
        <v>1.9581295024189111E-2</v>
      </c>
      <c r="C226">
        <f>Return!C226-'Return Estimasi'!C226</f>
        <v>-1.8525412660463626E-2</v>
      </c>
      <c r="D226">
        <f>Return!D226-'Return Estimasi'!D226</f>
        <v>-1.514806528765561E-2</v>
      </c>
      <c r="E226">
        <f>Return!E226-'Return Estimasi'!E226</f>
        <v>-3.3946094547653682E-2</v>
      </c>
      <c r="F226">
        <f>Return!F226-'Return Estimasi'!F226</f>
        <v>-2.3127611311487377E-2</v>
      </c>
      <c r="G226">
        <f>Return!G226-'Return Estimasi'!G226</f>
        <v>1.8977598926061767E-2</v>
      </c>
      <c r="H226">
        <f>Return!H226-'Return Estimasi'!H226</f>
        <v>-2.8225112201765837E-2</v>
      </c>
      <c r="I226">
        <f>Return!I226-'Return Estimasi'!I226</f>
        <v>-2.7982763269112157E-4</v>
      </c>
      <c r="J226">
        <f>Return!J226-'Return Estimasi'!J226</f>
        <v>-3.4550666027969405E-2</v>
      </c>
      <c r="K226">
        <f>Return!K226-'Return Estimasi'!K226</f>
        <v>3.2874832704290723E-3</v>
      </c>
      <c r="L226">
        <f>Return!L226-'Return Estimasi'!L226</f>
        <v>1.5844655284018988E-4</v>
      </c>
      <c r="M226">
        <f>Return!M226-'Return Estimasi'!M226</f>
        <v>1.5928546543876355E-3</v>
      </c>
      <c r="N226">
        <f>Return!N226-'Return Estimasi'!N226</f>
        <v>-2.6815744598034756E-3</v>
      </c>
      <c r="O226">
        <f>Return!O226-'Return Estimasi'!O226</f>
        <v>-5.2177904586235653E-3</v>
      </c>
      <c r="P226">
        <f>Return!P226-'Return Estimasi'!P226</f>
        <v>-1.5341786966666887E-2</v>
      </c>
      <c r="Q226">
        <f>Return!Q226-'Return Estimasi'!Q226</f>
        <v>1.5101058758386583E-2</v>
      </c>
      <c r="R226">
        <f>Return!R226-'Return Estimasi'!R226</f>
        <v>-1.5129002365844999E-2</v>
      </c>
      <c r="S226">
        <f>Return!S226-'Return Estimasi'!S226</f>
        <v>-3.816203369581524E-3</v>
      </c>
      <c r="T226">
        <f>Return!T226-'Return Estimasi'!T226</f>
        <v>-1.2308581181341262E-2</v>
      </c>
      <c r="U226">
        <f>Return!U226-'Return Estimasi'!U226</f>
        <v>-1.0983855741991348E-2</v>
      </c>
      <c r="V226">
        <f>Return!V226-'Return Estimasi'!V226</f>
        <v>1.754305627193806E-2</v>
      </c>
      <c r="W226">
        <f>Return!W226-'Return Estimasi'!W226</f>
        <v>8.3752435886989926E-2</v>
      </c>
      <c r="X226">
        <f>Return!X226-'Return Estimasi'!X226</f>
        <v>-2.3952778857006047E-2</v>
      </c>
      <c r="Y226">
        <f>Return!Y226-'Return Estimasi'!Y226</f>
        <v>-2.4247372937267173E-2</v>
      </c>
      <c r="Z226">
        <f>Return!Z226-'Return Estimasi'!Z226</f>
        <v>-9.2396496018048793E-3</v>
      </c>
      <c r="AA226">
        <f>Return!AA226-'Return Estimasi'!AA226</f>
        <v>8.3182084582072754E-2</v>
      </c>
      <c r="AB226">
        <f>Return!AB226-'Return Estimasi'!AB226</f>
        <v>-2.7940247756981229E-3</v>
      </c>
      <c r="AC226">
        <f>Return!AC226-'Return Estimasi'!AC226</f>
        <v>-1.8023474517725853E-2</v>
      </c>
      <c r="AD226">
        <f>Return!AD226-'Return Estimasi'!AD226</f>
        <v>-8.168721465244411E-3</v>
      </c>
      <c r="AE226">
        <f>Return!AE226-'Return Estimasi'!AE226</f>
        <v>-1.4906018473196857E-2</v>
      </c>
      <c r="AF226">
        <f>Return!AF226-'Return Estimasi'!AF226</f>
        <v>-16.123418828439945</v>
      </c>
    </row>
    <row r="227" spans="1:32" x14ac:dyDescent="0.3">
      <c r="A227" s="2">
        <v>46358</v>
      </c>
      <c r="B227">
        <f>('Data Saham'!B227-'Data Saham'!B226)/'Data Saham'!B226</f>
        <v>-3.0901088774894837E-3</v>
      </c>
      <c r="C227">
        <f>Return!C227-'Return Estimasi'!C227</f>
        <v>-1.2485028273437577E-2</v>
      </c>
      <c r="D227">
        <f>Return!D227-'Return Estimasi'!D227</f>
        <v>-7.7596484123121888E-4</v>
      </c>
      <c r="E227">
        <f>Return!E227-'Return Estimasi'!E227</f>
        <v>1.2897568879578689E-2</v>
      </c>
      <c r="F227">
        <f>Return!F227-'Return Estimasi'!F227</f>
        <v>9.4237816984585193E-3</v>
      </c>
      <c r="G227">
        <f>Return!G227-'Return Estimasi'!G227</f>
        <v>9.6645446723992133E-3</v>
      </c>
      <c r="H227">
        <f>Return!H227-'Return Estimasi'!H227</f>
        <v>5.3300370699689795E-3</v>
      </c>
      <c r="I227">
        <f>Return!I227-'Return Estimasi'!I227</f>
        <v>6.2329534167628372E-3</v>
      </c>
      <c r="J227">
        <f>Return!J227-'Return Estimasi'!J227</f>
        <v>1.2141529203398331E-2</v>
      </c>
      <c r="K227">
        <f>Return!K227-'Return Estimasi'!K227</f>
        <v>1.5879905492514306E-3</v>
      </c>
      <c r="L227">
        <f>Return!L227-'Return Estimasi'!L227</f>
        <v>-8.505275438725696E-3</v>
      </c>
      <c r="M227">
        <f>Return!M227-'Return Estimasi'!M227</f>
        <v>3.0464396900088897E-2</v>
      </c>
      <c r="N227">
        <f>Return!N227-'Return Estimasi'!N227</f>
        <v>1.6056119522937874E-2</v>
      </c>
      <c r="O227">
        <f>Return!O227-'Return Estimasi'!O227</f>
        <v>-2.5717379938180931E-3</v>
      </c>
      <c r="P227">
        <f>Return!P227-'Return Estimasi'!P227</f>
        <v>4.5982866470137213E-3</v>
      </c>
      <c r="Q227">
        <f>Return!Q227-'Return Estimasi'!Q227</f>
        <v>1.2801543613401088E-3</v>
      </c>
      <c r="R227">
        <f>Return!R227-'Return Estimasi'!R227</f>
        <v>-1.8749607838852238E-3</v>
      </c>
      <c r="S227">
        <f>Return!S227-'Return Estimasi'!S227</f>
        <v>-1.3849099437878262E-2</v>
      </c>
      <c r="T227">
        <f>Return!T227-'Return Estimasi'!T227</f>
        <v>-1.0979414681658016E-2</v>
      </c>
      <c r="U227">
        <f>Return!U227-'Return Estimasi'!U227</f>
        <v>0.13388496135960723</v>
      </c>
      <c r="V227">
        <f>Return!V227-'Return Estimasi'!V227</f>
        <v>1.3412046808563317E-2</v>
      </c>
      <c r="W227">
        <f>Return!W227-'Return Estimasi'!W227</f>
        <v>-3.1464622647110932E-2</v>
      </c>
      <c r="X227">
        <f>Return!X227-'Return Estimasi'!X227</f>
        <v>6.1008626059981183E-5</v>
      </c>
      <c r="Y227">
        <f>Return!Y227-'Return Estimasi'!Y227</f>
        <v>-1.9257985556783257E-2</v>
      </c>
      <c r="Z227">
        <f>Return!Z227-'Return Estimasi'!Z227</f>
        <v>-1.1269686237475103E-2</v>
      </c>
      <c r="AA227">
        <f>Return!AA227-'Return Estimasi'!AA227</f>
        <v>-2.5108832375120134E-2</v>
      </c>
      <c r="AB227">
        <f>Return!AB227-'Return Estimasi'!AB227</f>
        <v>4.1294387659132356E-3</v>
      </c>
      <c r="AC227">
        <f>Return!AC227-'Return Estimasi'!AC227</f>
        <v>-1.1804904166355252E-2</v>
      </c>
      <c r="AD227">
        <f>Return!AD227-'Return Estimasi'!AD227</f>
        <v>3.3814102884825604E-3</v>
      </c>
      <c r="AE227">
        <f>Return!AE227-'Return Estimasi'!AE227</f>
        <v>2.4369504101518745E-2</v>
      </c>
      <c r="AF227">
        <f>Return!AF227-'Return Estimasi'!AF227</f>
        <v>-16.772719525332775</v>
      </c>
    </row>
    <row r="228" spans="1:32" x14ac:dyDescent="0.3">
      <c r="A228" s="3" t="s">
        <v>134</v>
      </c>
      <c r="B228">
        <f>('Data Saham'!B228-'Data Saham'!B227)/'Data Saham'!B227</f>
        <v>-6.4219905993091551E-3</v>
      </c>
      <c r="C228">
        <f>Return!C228-'Return Estimasi'!C228</f>
        <v>-9.9093103126664354E-3</v>
      </c>
      <c r="D228">
        <f>Return!D228-'Return Estimasi'!D228</f>
        <v>2.4936092122892642E-3</v>
      </c>
      <c r="E228">
        <f>Return!E228-'Return Estimasi'!E228</f>
        <v>6.2080901093505836E-3</v>
      </c>
      <c r="F228">
        <f>Return!F228-'Return Estimasi'!F228</f>
        <v>-1.1023688765797682E-3</v>
      </c>
      <c r="G228">
        <f>Return!G228-'Return Estimasi'!G228</f>
        <v>-2.6731371709592489E-2</v>
      </c>
      <c r="H228">
        <f>Return!H228-'Return Estimasi'!H228</f>
        <v>-1.4582222121304386E-2</v>
      </c>
      <c r="I228">
        <f>Return!I228-'Return Estimasi'!I228</f>
        <v>4.5869570925716353E-3</v>
      </c>
      <c r="J228">
        <f>Return!J228-'Return Estimasi'!J228</f>
        <v>-1.2855521522483756E-2</v>
      </c>
      <c r="K228">
        <f>Return!K228-'Return Estimasi'!K228</f>
        <v>4.7244950118343855E-3</v>
      </c>
      <c r="L228">
        <f>Return!L228-'Return Estimasi'!L228</f>
        <v>1.076299190504371E-2</v>
      </c>
      <c r="M228">
        <f>Return!M228-'Return Estimasi'!M228</f>
        <v>-1.5874575081167502E-2</v>
      </c>
      <c r="N228">
        <f>Return!N228-'Return Estimasi'!N228</f>
        <v>2.0654659652280614E-2</v>
      </c>
      <c r="O228">
        <f>Return!O228-'Return Estimasi'!O228</f>
        <v>-3.6918066977602859E-2</v>
      </c>
      <c r="P228">
        <f>Return!P228-'Return Estimasi'!P228</f>
        <v>7.52876096140949E-3</v>
      </c>
      <c r="Q228">
        <f>Return!Q228-'Return Estimasi'!Q228</f>
        <v>-4.8332669044948082E-2</v>
      </c>
      <c r="R228">
        <f>Return!R228-'Return Estimasi'!R228</f>
        <v>-1.3581028756424623E-2</v>
      </c>
      <c r="S228">
        <f>Return!S228-'Return Estimasi'!S228</f>
        <v>-2.1354802767666454E-2</v>
      </c>
      <c r="T228">
        <f>Return!T228-'Return Estimasi'!T228</f>
        <v>6.4742851369532055E-3</v>
      </c>
      <c r="U228">
        <f>Return!U228-'Return Estimasi'!U228</f>
        <v>-5.2581345882264145E-2</v>
      </c>
      <c r="V228">
        <f>Return!V228-'Return Estimasi'!V228</f>
        <v>2.8534393438837485E-2</v>
      </c>
      <c r="W228">
        <f>Return!W228-'Return Estimasi'!W228</f>
        <v>-1.2781286627029261E-2</v>
      </c>
      <c r="X228">
        <f>Return!X228-'Return Estimasi'!X228</f>
        <v>7.4298258640954282E-3</v>
      </c>
      <c r="Y228">
        <f>Return!Y228-'Return Estimasi'!Y228</f>
        <v>-1.4509522310940945E-2</v>
      </c>
      <c r="Z228">
        <f>Return!Z228-'Return Estimasi'!Z228</f>
        <v>-3.9271978804284111E-3</v>
      </c>
      <c r="AA228">
        <f>Return!AA228-'Return Estimasi'!AA228</f>
        <v>2.824668939490222E-2</v>
      </c>
      <c r="AB228">
        <f>Return!AB228-'Return Estimasi'!AB228</f>
        <v>-9.0288111513012193E-3</v>
      </c>
      <c r="AC228">
        <f>Return!AC228-'Return Estimasi'!AC228</f>
        <v>1.1158613206684018E-2</v>
      </c>
      <c r="AD228">
        <f>Return!AD228-'Return Estimasi'!AD228</f>
        <v>1.1629003012472085E-2</v>
      </c>
      <c r="AE228">
        <f>Return!AE228-'Return Estimasi'!AE228</f>
        <v>-5.8190950120514491E-3</v>
      </c>
      <c r="AF228">
        <f>Return!AF228-'Return Estimasi'!AF228</f>
        <v>-16.87238660261373</v>
      </c>
    </row>
    <row r="229" spans="1:32" x14ac:dyDescent="0.3">
      <c r="A229" s="4" t="s">
        <v>135</v>
      </c>
      <c r="B229">
        <f>('Data Saham'!B229-'Data Saham'!B228)/'Data Saham'!B228</f>
        <v>1.1928492365691717E-2</v>
      </c>
      <c r="C229">
        <f>Return!C229-'Return Estimasi'!C229</f>
        <v>1.809388561781828E-3</v>
      </c>
      <c r="D229">
        <f>Return!D229-'Return Estimasi'!D229</f>
        <v>3.1408256802608302E-4</v>
      </c>
      <c r="E229">
        <f>Return!E229-'Return Estimasi'!E229</f>
        <v>2.7658125106021135E-2</v>
      </c>
      <c r="F229">
        <f>Return!F229-'Return Estimasi'!F229</f>
        <v>-7.761524666977093E-3</v>
      </c>
      <c r="G229">
        <f>Return!G229-'Return Estimasi'!G229</f>
        <v>-7.6942380635289763E-4</v>
      </c>
      <c r="H229">
        <f>Return!H229-'Return Estimasi'!H229</f>
        <v>-9.5910956071876968E-4</v>
      </c>
      <c r="I229">
        <f>Return!I229-'Return Estimasi'!I229</f>
        <v>-3.1902869887647212E-3</v>
      </c>
      <c r="J229">
        <f>Return!J229-'Return Estimasi'!J229</f>
        <v>7.8691642142074553E-3</v>
      </c>
      <c r="K229">
        <f>Return!K229-'Return Estimasi'!K229</f>
        <v>9.6357428197267614E-4</v>
      </c>
      <c r="L229">
        <f>Return!L229-'Return Estimasi'!L229</f>
        <v>2.9079494772264501E-3</v>
      </c>
      <c r="M229">
        <f>Return!M229-'Return Estimasi'!M229</f>
        <v>-1.6688920735547938E-2</v>
      </c>
      <c r="N229">
        <f>Return!N229-'Return Estimasi'!N229</f>
        <v>7.171016911583266E-3</v>
      </c>
      <c r="O229">
        <f>Return!O229-'Return Estimasi'!O229</f>
        <v>8.2895957771694281E-3</v>
      </c>
      <c r="P229">
        <f>Return!P229-'Return Estimasi'!P229</f>
        <v>-8.6109533128184666E-3</v>
      </c>
      <c r="Q229">
        <f>Return!Q229-'Return Estimasi'!Q229</f>
        <v>-6.5643886373081481E-4</v>
      </c>
      <c r="R229">
        <f>Return!R229-'Return Estimasi'!R229</f>
        <v>-6.1436749102972109E-3</v>
      </c>
      <c r="S229">
        <f>Return!S229-'Return Estimasi'!S229</f>
        <v>-1.3371249700630245E-2</v>
      </c>
      <c r="T229">
        <f>Return!T229-'Return Estimasi'!T229</f>
        <v>-7.9348808680841619E-3</v>
      </c>
      <c r="U229">
        <f>Return!U229-'Return Estimasi'!U229</f>
        <v>-3.3246521720182783E-2</v>
      </c>
      <c r="V229">
        <f>Return!V229-'Return Estimasi'!V229</f>
        <v>8.6388844424841928E-3</v>
      </c>
      <c r="W229">
        <f>Return!W229-'Return Estimasi'!W229</f>
        <v>-2.4877601533619793E-2</v>
      </c>
      <c r="X229">
        <f>Return!X229-'Return Estimasi'!X229</f>
        <v>7.4609586408941816E-3</v>
      </c>
      <c r="Y229">
        <f>Return!Y229-'Return Estimasi'!Y229</f>
        <v>2.7331898782629059E-2</v>
      </c>
      <c r="Z229">
        <f>Return!Z229-'Return Estimasi'!Z229</f>
        <v>-3.1990381860126692E-3</v>
      </c>
      <c r="AA229">
        <f>Return!AA229-'Return Estimasi'!AA229</f>
        <v>-2.0027539573345274E-2</v>
      </c>
      <c r="AB229">
        <f>Return!AB229-'Return Estimasi'!AB229</f>
        <v>5.2642507781715548E-3</v>
      </c>
      <c r="AC229">
        <f>Return!AC229-'Return Estimasi'!AC229</f>
        <v>-4.7122594305882047E-3</v>
      </c>
      <c r="AD229">
        <f>Return!AD229-'Return Estimasi'!AD229</f>
        <v>-1.1029600940730556E-2</v>
      </c>
      <c r="AE229">
        <f>Return!AE229-'Return Estimasi'!AE229</f>
        <v>-1.4501976140754382E-2</v>
      </c>
      <c r="AF229">
        <f>Return!AF229-'Return Estimasi'!AF229</f>
        <v>-16.356586264690183</v>
      </c>
    </row>
    <row r="230" spans="1:32" x14ac:dyDescent="0.3">
      <c r="A230" s="3" t="s">
        <v>136</v>
      </c>
      <c r="B230">
        <f>('Data Saham'!B230-'Data Saham'!B229)/'Data Saham'!B229</f>
        <v>-4.3500601066396045E-3</v>
      </c>
      <c r="C230">
        <f>Return!C230-'Return Estimasi'!C230</f>
        <v>-8.3699283553165318E-3</v>
      </c>
      <c r="D230">
        <f>Return!D230-'Return Estimasi'!D230</f>
        <v>-1.2571166979731131E-2</v>
      </c>
      <c r="E230">
        <f>Return!E230-'Return Estimasi'!E230</f>
        <v>-3.3734311496852167E-2</v>
      </c>
      <c r="F230">
        <f>Return!F230-'Return Estimasi'!F230</f>
        <v>-5.1141318857260889E-3</v>
      </c>
      <c r="G230">
        <f>Return!G230-'Return Estimasi'!G230</f>
        <v>-5.6433456004685405E-4</v>
      </c>
      <c r="H230">
        <f>Return!H230-'Return Estimasi'!H230</f>
        <v>-1.2451367651331301E-2</v>
      </c>
      <c r="I230">
        <f>Return!I230-'Return Estimasi'!I230</f>
        <v>-5.4375034476971604E-3</v>
      </c>
      <c r="J230">
        <f>Return!J230-'Return Estimasi'!J230</f>
        <v>-2.3942668346604076E-3</v>
      </c>
      <c r="K230">
        <f>Return!K230-'Return Estimasi'!K230</f>
        <v>2.499628208089319E-2</v>
      </c>
      <c r="L230">
        <f>Return!L230-'Return Estimasi'!L230</f>
        <v>1.3250475978338293E-2</v>
      </c>
      <c r="M230">
        <f>Return!M230-'Return Estimasi'!M230</f>
        <v>4.3549860939644434E-2</v>
      </c>
      <c r="N230">
        <f>Return!N230-'Return Estimasi'!N230</f>
        <v>8.1283477126890796E-2</v>
      </c>
      <c r="O230">
        <f>Return!O230-'Return Estimasi'!O230</f>
        <v>1.1818427468130969E-2</v>
      </c>
      <c r="P230">
        <f>Return!P230-'Return Estimasi'!P230</f>
        <v>-1.3341173401371909E-2</v>
      </c>
      <c r="Q230">
        <f>Return!Q230-'Return Estimasi'!Q230</f>
        <v>-7.7605608034305917E-3</v>
      </c>
      <c r="R230">
        <f>Return!R230-'Return Estimasi'!R230</f>
        <v>3.387645154096874E-3</v>
      </c>
      <c r="S230">
        <f>Return!S230-'Return Estimasi'!S230</f>
        <v>2.4613381080233259E-3</v>
      </c>
      <c r="T230">
        <f>Return!T230-'Return Estimasi'!T230</f>
        <v>-2.9881425229050726E-2</v>
      </c>
      <c r="U230">
        <f>Return!U230-'Return Estimasi'!U230</f>
        <v>-2.598503434209775E-2</v>
      </c>
      <c r="V230">
        <f>Return!V230-'Return Estimasi'!V230</f>
        <v>1.4032130855376765E-2</v>
      </c>
      <c r="W230">
        <f>Return!W230-'Return Estimasi'!W230</f>
        <v>-1.7241716361049535E-2</v>
      </c>
      <c r="X230">
        <f>Return!X230-'Return Estimasi'!X230</f>
        <v>2.0659319848915964E-2</v>
      </c>
      <c r="Y230">
        <f>Return!Y230-'Return Estimasi'!Y230</f>
        <v>-1.7445970310730682E-4</v>
      </c>
      <c r="Z230">
        <f>Return!Z230-'Return Estimasi'!Z230</f>
        <v>4.4144153642344712E-3</v>
      </c>
      <c r="AA230">
        <f>Return!AA230-'Return Estimasi'!AA230</f>
        <v>1.0247557963369999E-2</v>
      </c>
      <c r="AB230">
        <f>Return!AB230-'Return Estimasi'!AB230</f>
        <v>2.2122813390697039E-2</v>
      </c>
      <c r="AC230">
        <f>Return!AC230-'Return Estimasi'!AC230</f>
        <v>2.6150158285982547E-3</v>
      </c>
      <c r="AD230">
        <f>Return!AD230-'Return Estimasi'!AD230</f>
        <v>4.5903891419418353E-3</v>
      </c>
      <c r="AE230">
        <f>Return!AE230-'Return Estimasi'!AE230</f>
        <v>8.8172624053204224E-3</v>
      </c>
      <c r="AF230">
        <f>Return!AF230-'Return Estimasi'!AF230</f>
        <v>-16.814422385432032</v>
      </c>
    </row>
    <row r="231" spans="1:32" x14ac:dyDescent="0.3">
      <c r="A231" s="4" t="s">
        <v>137</v>
      </c>
      <c r="B231">
        <f>('Data Saham'!B231-'Data Saham'!B230)/'Data Saham'!B230</f>
        <v>-2.7918511786198476E-4</v>
      </c>
      <c r="C231">
        <f>Return!C231-'Return Estimasi'!C231</f>
        <v>8.8475912177576384E-3</v>
      </c>
      <c r="D231">
        <f>Return!D231-'Return Estimasi'!D231</f>
        <v>1.7659037297867986E-2</v>
      </c>
      <c r="E231">
        <f>Return!E231-'Return Estimasi'!E231</f>
        <v>1.0048606138819999E-2</v>
      </c>
      <c r="F231">
        <f>Return!F231-'Return Estimasi'!F231</f>
        <v>4.8408330524264583E-3</v>
      </c>
      <c r="G231">
        <f>Return!G231-'Return Estimasi'!G231</f>
        <v>-1.3662747032167403E-3</v>
      </c>
      <c r="H231">
        <f>Return!H231-'Return Estimasi'!H231</f>
        <v>-7.8405622457656046E-3</v>
      </c>
      <c r="I231">
        <f>Return!I231-'Return Estimasi'!I231</f>
        <v>-1.0324159749750258E-2</v>
      </c>
      <c r="J231">
        <f>Return!J231-'Return Estimasi'!J231</f>
        <v>-1.1012391722918097E-2</v>
      </c>
      <c r="K231">
        <f>Return!K231-'Return Estimasi'!K231</f>
        <v>-1.0581042560698954E-3</v>
      </c>
      <c r="L231">
        <f>Return!L231-'Return Estimasi'!L231</f>
        <v>-4.9450293573676252E-3</v>
      </c>
      <c r="M231">
        <f>Return!M231-'Return Estimasi'!M231</f>
        <v>-7.2084340855795006E-3</v>
      </c>
      <c r="N231">
        <f>Return!N231-'Return Estimasi'!N231</f>
        <v>1.9604760175722737E-2</v>
      </c>
      <c r="O231">
        <f>Return!O231-'Return Estimasi'!O231</f>
        <v>5.0571695472413601E-3</v>
      </c>
      <c r="P231">
        <f>Return!P231-'Return Estimasi'!P231</f>
        <v>2.1260080473957132E-3</v>
      </c>
      <c r="Q231">
        <f>Return!Q231-'Return Estimasi'!Q231</f>
        <v>8.9199940426339733E-2</v>
      </c>
      <c r="R231">
        <f>Return!R231-'Return Estimasi'!R231</f>
        <v>-2.2144057215234388E-2</v>
      </c>
      <c r="S231">
        <f>Return!S231-'Return Estimasi'!S231</f>
        <v>1.4298226569320973E-2</v>
      </c>
      <c r="T231">
        <f>Return!T231-'Return Estimasi'!T231</f>
        <v>-4.1280576675548096E-2</v>
      </c>
      <c r="U231">
        <f>Return!U231-'Return Estimasi'!U231</f>
        <v>7.3489556637469727E-2</v>
      </c>
      <c r="V231">
        <f>Return!V231-'Return Estimasi'!V231</f>
        <v>1.5150721852268043E-2</v>
      </c>
      <c r="W231">
        <f>Return!W231-'Return Estimasi'!W231</f>
        <v>-3.9806412485480988E-2</v>
      </c>
      <c r="X231">
        <f>Return!X231-'Return Estimasi'!X231</f>
        <v>4.7983200584850155E-3</v>
      </c>
      <c r="Y231">
        <f>Return!Y231-'Return Estimasi'!Y231</f>
        <v>-4.2916583383154155E-2</v>
      </c>
      <c r="Z231">
        <f>Return!Z231-'Return Estimasi'!Z231</f>
        <v>-3.7461897300105143E-3</v>
      </c>
      <c r="AA231">
        <f>Return!AA231-'Return Estimasi'!AA231</f>
        <v>-1.3339271874354047E-2</v>
      </c>
      <c r="AB231">
        <f>Return!AB231-'Return Estimasi'!AB231</f>
        <v>1.1695821974380708E-3</v>
      </c>
      <c r="AC231">
        <f>Return!AC231-'Return Estimasi'!AC231</f>
        <v>-1.4229055350447278E-2</v>
      </c>
      <c r="AD231">
        <f>Return!AD231-'Return Estimasi'!AD231</f>
        <v>-1.9416297723350403E-2</v>
      </c>
      <c r="AE231">
        <f>Return!AE231-'Return Estimasi'!AE231</f>
        <v>1.6551191901570429E-2</v>
      </c>
      <c r="AF231">
        <f>Return!AF231-'Return Estimasi'!AF231</f>
        <v>-16.687770189626775</v>
      </c>
    </row>
    <row r="232" spans="1:32" x14ac:dyDescent="0.3">
      <c r="A232" s="3" t="s">
        <v>138</v>
      </c>
      <c r="B232">
        <f>('Data Saham'!B232-'Data Saham'!B231)/'Data Saham'!B231</f>
        <v>1.5028222496515194E-2</v>
      </c>
      <c r="C232">
        <f>Return!C232-'Return Estimasi'!C232</f>
        <v>-8.8928110914293299E-4</v>
      </c>
      <c r="D232">
        <f>Return!D232-'Return Estimasi'!D232</f>
        <v>-3.3665414729509152E-4</v>
      </c>
      <c r="E232">
        <f>Return!E232-'Return Estimasi'!E232</f>
        <v>1.4483977630376416E-2</v>
      </c>
      <c r="F232">
        <f>Return!F232-'Return Estimasi'!F232</f>
        <v>-5.9077843252085876E-3</v>
      </c>
      <c r="G232">
        <f>Return!G232-'Return Estimasi'!G232</f>
        <v>4.9589072428529099E-3</v>
      </c>
      <c r="H232">
        <f>Return!H232-'Return Estimasi'!H232</f>
        <v>8.8703345154230763E-4</v>
      </c>
      <c r="I232">
        <f>Return!I232-'Return Estimasi'!I232</f>
        <v>1.1072319105917348E-2</v>
      </c>
      <c r="J232">
        <f>Return!J232-'Return Estimasi'!J232</f>
        <v>-4.2572289788437665E-3</v>
      </c>
      <c r="K232">
        <f>Return!K232-'Return Estimasi'!K232</f>
        <v>-6.7722529999545058E-3</v>
      </c>
      <c r="L232">
        <f>Return!L232-'Return Estimasi'!L232</f>
        <v>1.6992187082339114E-3</v>
      </c>
      <c r="M232">
        <f>Return!M232-'Return Estimasi'!M232</f>
        <v>2.058791264267355E-2</v>
      </c>
      <c r="N232">
        <f>Return!N232-'Return Estimasi'!N232</f>
        <v>2.285342184378272E-2</v>
      </c>
      <c r="O232">
        <f>Return!O232-'Return Estimasi'!O232</f>
        <v>2.914400162228559E-2</v>
      </c>
      <c r="P232">
        <f>Return!P232-'Return Estimasi'!P232</f>
        <v>-1.6285065623928997E-3</v>
      </c>
      <c r="Q232">
        <f>Return!Q232-'Return Estimasi'!Q232</f>
        <v>3.329408584552792E-2</v>
      </c>
      <c r="R232">
        <f>Return!R232-'Return Estimasi'!R232</f>
        <v>1.5738072224966697E-2</v>
      </c>
      <c r="S232">
        <f>Return!S232-'Return Estimasi'!S232</f>
        <v>1.501387028115779E-2</v>
      </c>
      <c r="T232">
        <f>Return!T232-'Return Estimasi'!T232</f>
        <v>7.100295990113208E-3</v>
      </c>
      <c r="U232">
        <f>Return!U232-'Return Estimasi'!U232</f>
        <v>2.5635936200189297E-2</v>
      </c>
      <c r="V232">
        <f>Return!V232-'Return Estimasi'!V232</f>
        <v>-1.3764303973286002E-2</v>
      </c>
      <c r="W232">
        <f>Return!W232-'Return Estimasi'!W232</f>
        <v>2.8646002118249341E-2</v>
      </c>
      <c r="X232">
        <f>Return!X232-'Return Estimasi'!X232</f>
        <v>-3.85083541777938E-3</v>
      </c>
      <c r="Y232">
        <f>Return!Y232-'Return Estimasi'!Y232</f>
        <v>-1.86306572432842E-2</v>
      </c>
      <c r="Z232">
        <f>Return!Z232-'Return Estimasi'!Z232</f>
        <v>-5.6056517197795594E-3</v>
      </c>
      <c r="AA232">
        <f>Return!AA232-'Return Estimasi'!AA232</f>
        <v>1.4362772381354701E-2</v>
      </c>
      <c r="AB232">
        <f>Return!AB232-'Return Estimasi'!AB232</f>
        <v>1.4445759230964257E-3</v>
      </c>
      <c r="AC232">
        <f>Return!AC232-'Return Estimasi'!AC232</f>
        <v>-5.8337419394600097E-4</v>
      </c>
      <c r="AD232">
        <f>Return!AD232-'Return Estimasi'!AD232</f>
        <v>-1.4003928909063075E-2</v>
      </c>
      <c r="AE232">
        <f>Return!AE232-'Return Estimasi'!AE232</f>
        <v>-1.143218089764214E-2</v>
      </c>
      <c r="AF232">
        <f>Return!AF232-'Return Estimasi'!AF232</f>
        <v>-16.245040112011541</v>
      </c>
    </row>
    <row r="233" spans="1:32" x14ac:dyDescent="0.3">
      <c r="A233" s="4" t="s">
        <v>139</v>
      </c>
      <c r="B233">
        <f>('Data Saham'!B233-'Data Saham'!B232)/'Data Saham'!B232</f>
        <v>-1.372664386237387E-2</v>
      </c>
      <c r="C233">
        <f>Return!C233-'Return Estimasi'!C233</f>
        <v>3.1561608760720568E-3</v>
      </c>
      <c r="D233">
        <f>Return!D233-'Return Estimasi'!D233</f>
        <v>4.6230994930425429E-3</v>
      </c>
      <c r="E233">
        <f>Return!E233-'Return Estimasi'!E233</f>
        <v>3.2314187479347403E-2</v>
      </c>
      <c r="F233">
        <f>Return!F233-'Return Estimasi'!F233</f>
        <v>6.2557510949341234E-4</v>
      </c>
      <c r="G233">
        <f>Return!G233-'Return Estimasi'!G233</f>
        <v>1.9198645149210512E-2</v>
      </c>
      <c r="H233">
        <f>Return!H233-'Return Estimasi'!H233</f>
        <v>-2.5383553723443142E-3</v>
      </c>
      <c r="I233">
        <f>Return!I233-'Return Estimasi'!I233</f>
        <v>-1.6857084994073061E-2</v>
      </c>
      <c r="J233">
        <f>Return!J233-'Return Estimasi'!J233</f>
        <v>-3.5158134541163977E-3</v>
      </c>
      <c r="K233">
        <f>Return!K233-'Return Estimasi'!K233</f>
        <v>-1.3302216811345701E-3</v>
      </c>
      <c r="L233">
        <f>Return!L233-'Return Estimasi'!L233</f>
        <v>6.5760501257056412E-3</v>
      </c>
      <c r="M233">
        <f>Return!M233-'Return Estimasi'!M233</f>
        <v>5.9251838528024941E-3</v>
      </c>
      <c r="N233">
        <f>Return!N233-'Return Estimasi'!N233</f>
        <v>3.4896605450495506E-2</v>
      </c>
      <c r="O233">
        <f>Return!O233-'Return Estimasi'!O233</f>
        <v>-1.4393841207229249E-3</v>
      </c>
      <c r="P233">
        <f>Return!P233-'Return Estimasi'!P233</f>
        <v>-5.2773808215139401E-3</v>
      </c>
      <c r="Q233">
        <f>Return!Q233-'Return Estimasi'!Q233</f>
        <v>-2.0944902029115461E-2</v>
      </c>
      <c r="R233">
        <f>Return!R233-'Return Estimasi'!R233</f>
        <v>-9.640752480614188E-3</v>
      </c>
      <c r="S233">
        <f>Return!S233-'Return Estimasi'!S233</f>
        <v>-8.2389755473034378E-3</v>
      </c>
      <c r="T233">
        <f>Return!T233-'Return Estimasi'!T233</f>
        <v>6.72744382060391E-3</v>
      </c>
      <c r="U233">
        <f>Return!U233-'Return Estimasi'!U233</f>
        <v>-1.3327638561439542E-2</v>
      </c>
      <c r="V233">
        <f>Return!V233-'Return Estimasi'!V233</f>
        <v>1.5071937820890814E-2</v>
      </c>
      <c r="W233">
        <f>Return!W233-'Return Estimasi'!W233</f>
        <v>-2.7593891876905544E-2</v>
      </c>
      <c r="X233">
        <f>Return!X233-'Return Estimasi'!X233</f>
        <v>2.0918202575843578E-4</v>
      </c>
      <c r="Y233">
        <f>Return!Y233-'Return Estimasi'!Y233</f>
        <v>4.1926457941217753E-3</v>
      </c>
      <c r="Z233">
        <f>Return!Z233-'Return Estimasi'!Z233</f>
        <v>6.6943437498239626E-3</v>
      </c>
      <c r="AA233">
        <f>Return!AA233-'Return Estimasi'!AA233</f>
        <v>-3.0544451862419986E-2</v>
      </c>
      <c r="AB233">
        <f>Return!AB233-'Return Estimasi'!AB233</f>
        <v>-7.9949678622070336E-4</v>
      </c>
      <c r="AC233">
        <f>Return!AC233-'Return Estimasi'!AC233</f>
        <v>-2.6319165355343128E-3</v>
      </c>
      <c r="AD233">
        <f>Return!AD233-'Return Estimasi'!AD233</f>
        <v>-1.7969799873410689E-3</v>
      </c>
      <c r="AE233">
        <f>Return!AE233-'Return Estimasi'!AE233</f>
        <v>-1.0883582232293425E-2</v>
      </c>
      <c r="AF233">
        <f>Return!AF233-'Return Estimasi'!AF233</f>
        <v>-17.096347909550797</v>
      </c>
    </row>
    <row r="234" spans="1:32" x14ac:dyDescent="0.3">
      <c r="A234" s="3" t="s">
        <v>140</v>
      </c>
      <c r="B234">
        <f>('Data Saham'!B234-'Data Saham'!B233)/'Data Saham'!B233</f>
        <v>4.9994988425072894E-3</v>
      </c>
      <c r="C234">
        <f>Return!C234-'Return Estimasi'!C234</f>
        <v>1.1185463134803383E-2</v>
      </c>
      <c r="D234">
        <f>Return!D234-'Return Estimasi'!D234</f>
        <v>1.9740220575222935E-2</v>
      </c>
      <c r="E234">
        <f>Return!E234-'Return Estimasi'!E234</f>
        <v>-1.892312096619006E-2</v>
      </c>
      <c r="F234">
        <f>Return!F234-'Return Estimasi'!F234</f>
        <v>7.1112674905051817E-3</v>
      </c>
      <c r="G234">
        <f>Return!G234-'Return Estimasi'!G234</f>
        <v>-5.3501339684531701E-4</v>
      </c>
      <c r="H234">
        <f>Return!H234-'Return Estimasi'!H234</f>
        <v>1.1450968988912714E-2</v>
      </c>
      <c r="I234">
        <f>Return!I234-'Return Estimasi'!I234</f>
        <v>9.1802995577325401E-3</v>
      </c>
      <c r="J234">
        <f>Return!J234-'Return Estimasi'!J234</f>
        <v>-5.1642253580010331E-3</v>
      </c>
      <c r="K234">
        <f>Return!K234-'Return Estimasi'!K234</f>
        <v>2.8907244838995819E-2</v>
      </c>
      <c r="L234">
        <f>Return!L234-'Return Estimasi'!L234</f>
        <v>-4.6429312718756291E-3</v>
      </c>
      <c r="M234">
        <f>Return!M234-'Return Estimasi'!M234</f>
        <v>8.2988059298424906E-3</v>
      </c>
      <c r="N234">
        <f>Return!N234-'Return Estimasi'!N234</f>
        <v>3.0962663134731609E-3</v>
      </c>
      <c r="O234">
        <f>Return!O234-'Return Estimasi'!O234</f>
        <v>1.5538794637482149E-2</v>
      </c>
      <c r="P234">
        <f>Return!P234-'Return Estimasi'!P234</f>
        <v>7.2871934533400426E-3</v>
      </c>
      <c r="Q234">
        <f>Return!Q234-'Return Estimasi'!Q234</f>
        <v>5.2614089047984418E-2</v>
      </c>
      <c r="R234">
        <f>Return!R234-'Return Estimasi'!R234</f>
        <v>4.9800140125212666E-2</v>
      </c>
      <c r="S234">
        <f>Return!S234-'Return Estimasi'!S234</f>
        <v>-7.212156590540043E-3</v>
      </c>
      <c r="T234">
        <f>Return!T234-'Return Estimasi'!T234</f>
        <v>-8.107080570244625E-3</v>
      </c>
      <c r="U234">
        <f>Return!U234-'Return Estimasi'!U234</f>
        <v>-3.1444342563105881E-2</v>
      </c>
      <c r="V234">
        <f>Return!V234-'Return Estimasi'!V234</f>
        <v>1.8168732142691879E-2</v>
      </c>
      <c r="W234">
        <f>Return!W234-'Return Estimasi'!W234</f>
        <v>-1.6654605678470071E-2</v>
      </c>
      <c r="X234">
        <f>Return!X234-'Return Estimasi'!X234</f>
        <v>3.0394594048924516E-3</v>
      </c>
      <c r="Y234">
        <f>Return!Y234-'Return Estimasi'!Y234</f>
        <v>-3.0393383979541576E-2</v>
      </c>
      <c r="Z234">
        <f>Return!Z234-'Return Estimasi'!Z234</f>
        <v>-2.8445311092092289E-3</v>
      </c>
      <c r="AA234">
        <f>Return!AA234-'Return Estimasi'!AA234</f>
        <v>7.186440518139648E-3</v>
      </c>
      <c r="AB234">
        <f>Return!AB234-'Return Estimasi'!AB234</f>
        <v>-2.0782227969097067E-2</v>
      </c>
      <c r="AC234">
        <f>Return!AC234-'Return Estimasi'!AC234</f>
        <v>8.065434667385997E-3</v>
      </c>
      <c r="AD234">
        <f>Return!AD234-'Return Estimasi'!AD234</f>
        <v>6.0357410488189062E-3</v>
      </c>
      <c r="AE234">
        <f>Return!AE234-'Return Estimasi'!AE234</f>
        <v>7.1483517083409534E-3</v>
      </c>
      <c r="AF234">
        <f>Return!AF234-'Return Estimasi'!AF234</f>
        <v>-16.53935425409211</v>
      </c>
    </row>
    <row r="235" spans="1:32" x14ac:dyDescent="0.3">
      <c r="A235" s="4" t="s">
        <v>141</v>
      </c>
      <c r="B235">
        <f>('Data Saham'!B235-'Data Saham'!B234)/'Data Saham'!B234</f>
        <v>-1.0450324011713129E-2</v>
      </c>
      <c r="C235">
        <f>Return!C235-'Return Estimasi'!C235</f>
        <v>7.2028501966932262E-3</v>
      </c>
      <c r="D235">
        <f>Return!D235-'Return Estimasi'!D235</f>
        <v>4.0557449041764473E-3</v>
      </c>
      <c r="E235">
        <f>Return!E235-'Return Estimasi'!E235</f>
        <v>1.4867428678279181E-2</v>
      </c>
      <c r="F235">
        <f>Return!F235-'Return Estimasi'!F235</f>
        <v>7.2696521382149826E-5</v>
      </c>
      <c r="G235">
        <f>Return!G235-'Return Estimasi'!G235</f>
        <v>2.1685339431684103E-2</v>
      </c>
      <c r="H235">
        <f>Return!H235-'Return Estimasi'!H235</f>
        <v>1.7856346828637609E-2</v>
      </c>
      <c r="I235">
        <f>Return!I235-'Return Estimasi'!I235</f>
        <v>-9.2820912745369636E-3</v>
      </c>
      <c r="J235">
        <f>Return!J235-'Return Estimasi'!J235</f>
        <v>2.5875505901205395E-2</v>
      </c>
      <c r="K235">
        <f>Return!K235-'Return Estimasi'!K235</f>
        <v>-1.2580434279972094E-2</v>
      </c>
      <c r="L235">
        <f>Return!L235-'Return Estimasi'!L235</f>
        <v>-1.2562278728444863E-3</v>
      </c>
      <c r="M235">
        <f>Return!M235-'Return Estimasi'!M235</f>
        <v>-2.4123757646725148E-2</v>
      </c>
      <c r="N235">
        <f>Return!N235-'Return Estimasi'!N235</f>
        <v>-3.0202446358793142E-2</v>
      </c>
      <c r="O235">
        <f>Return!O235-'Return Estimasi'!O235</f>
        <v>1.0056608270436054E-2</v>
      </c>
      <c r="P235">
        <f>Return!P235-'Return Estimasi'!P235</f>
        <v>1.3630443029060014E-3</v>
      </c>
      <c r="Q235">
        <f>Return!Q235-'Return Estimasi'!Q235</f>
        <v>-4.446398018301586E-2</v>
      </c>
      <c r="R235">
        <f>Return!R235-'Return Estimasi'!R235</f>
        <v>-2.8915004503050946E-2</v>
      </c>
      <c r="S235">
        <f>Return!S235-'Return Estimasi'!S235</f>
        <v>2.190903050443788E-2</v>
      </c>
      <c r="T235">
        <f>Return!T235-'Return Estimasi'!T235</f>
        <v>-2.0041291447278127E-2</v>
      </c>
      <c r="U235">
        <f>Return!U235-'Return Estimasi'!U235</f>
        <v>-3.4997122118930531E-2</v>
      </c>
      <c r="V235">
        <f>Return!V235-'Return Estimasi'!V235</f>
        <v>-2.5297170047669605E-2</v>
      </c>
      <c r="W235">
        <f>Return!W235-'Return Estimasi'!W235</f>
        <v>-1.7062938125884632E-2</v>
      </c>
      <c r="X235">
        <f>Return!X235-'Return Estimasi'!X235</f>
        <v>-2.6547350685145826E-2</v>
      </c>
      <c r="Y235">
        <f>Return!Y235-'Return Estimasi'!Y235</f>
        <v>1.2721193911567202E-3</v>
      </c>
      <c r="Z235">
        <f>Return!Z235-'Return Estimasi'!Z235</f>
        <v>4.1255012944849635E-3</v>
      </c>
      <c r="AA235">
        <f>Return!AA235-'Return Estimasi'!AA235</f>
        <v>-5.3874317960941887E-3</v>
      </c>
      <c r="AB235">
        <f>Return!AB235-'Return Estimasi'!AB235</f>
        <v>1.1879624460493983E-2</v>
      </c>
      <c r="AC235">
        <f>Return!AC235-'Return Estimasi'!AC235</f>
        <v>-1.8790760385914165E-2</v>
      </c>
      <c r="AD235">
        <f>Return!AD235-'Return Estimasi'!AD235</f>
        <v>-2.0483973258342066E-2</v>
      </c>
      <c r="AE235">
        <f>Return!AE235-'Return Estimasi'!AE235</f>
        <v>1.3412478262857587E-2</v>
      </c>
      <c r="AF235">
        <f>Return!AF235-'Return Estimasi'!AF235</f>
        <v>-17.005189352796705</v>
      </c>
    </row>
    <row r="236" spans="1:32" x14ac:dyDescent="0.3">
      <c r="A236" s="3" t="s">
        <v>142</v>
      </c>
      <c r="B236">
        <f>('Data Saham'!B236-'Data Saham'!B235)/'Data Saham'!B235</f>
        <v>2.7928687133079396E-5</v>
      </c>
      <c r="C236">
        <f>Return!C236-'Return Estimasi'!C236</f>
        <v>-1.5508144131929013E-2</v>
      </c>
      <c r="D236">
        <f>Return!D236-'Return Estimasi'!D236</f>
        <v>-1.1337194888611209E-2</v>
      </c>
      <c r="E236">
        <f>Return!E236-'Return Estimasi'!E236</f>
        <v>-9.4938411032631058E-3</v>
      </c>
      <c r="F236">
        <f>Return!F236-'Return Estimasi'!F236</f>
        <v>-1.3366594588182063E-2</v>
      </c>
      <c r="G236">
        <f>Return!G236-'Return Estimasi'!G236</f>
        <v>-3.1779926129681717E-2</v>
      </c>
      <c r="H236">
        <f>Return!H236-'Return Estimasi'!H236</f>
        <v>-7.9063694525431331E-3</v>
      </c>
      <c r="I236">
        <f>Return!I236-'Return Estimasi'!I236</f>
        <v>-4.4757413747988197E-3</v>
      </c>
      <c r="J236">
        <f>Return!J236-'Return Estimasi'!J236</f>
        <v>-4.0840391143252983E-2</v>
      </c>
      <c r="K236">
        <f>Return!K236-'Return Estimasi'!K236</f>
        <v>7.273480352671946E-3</v>
      </c>
      <c r="L236">
        <f>Return!L236-'Return Estimasi'!L236</f>
        <v>1.4950991841235911E-2</v>
      </c>
      <c r="M236">
        <f>Return!M236-'Return Estimasi'!M236</f>
        <v>-5.2340876928017553E-4</v>
      </c>
      <c r="N236">
        <f>Return!N236-'Return Estimasi'!N236</f>
        <v>3.2395276602578078E-2</v>
      </c>
      <c r="O236">
        <f>Return!O236-'Return Estimasi'!O236</f>
        <v>3.9442838951408057E-2</v>
      </c>
      <c r="P236">
        <f>Return!P236-'Return Estimasi'!P236</f>
        <v>-7.9480278867089336E-3</v>
      </c>
      <c r="Q236">
        <f>Return!Q236-'Return Estimasi'!Q236</f>
        <v>-5.1804078028581061E-3</v>
      </c>
      <c r="R236">
        <f>Return!R236-'Return Estimasi'!R236</f>
        <v>2.4080085459792962E-2</v>
      </c>
      <c r="S236">
        <f>Return!S236-'Return Estimasi'!S236</f>
        <v>-3.6201550596003343E-2</v>
      </c>
      <c r="T236">
        <f>Return!T236-'Return Estimasi'!T236</f>
        <v>1.1632440916932404E-2</v>
      </c>
      <c r="U236">
        <f>Return!U236-'Return Estimasi'!U236</f>
        <v>1.0107101505088001E-2</v>
      </c>
      <c r="V236">
        <f>Return!V236-'Return Estimasi'!V236</f>
        <v>-5.9205465379409815E-2</v>
      </c>
      <c r="W236">
        <f>Return!W236-'Return Estimasi'!W236</f>
        <v>1.8218838328242587E-2</v>
      </c>
      <c r="X236">
        <f>Return!X236-'Return Estimasi'!X236</f>
        <v>4.047222034442878E-2</v>
      </c>
      <c r="Y236">
        <f>Return!Y236-'Return Estimasi'!Y236</f>
        <v>-2.74940065532355E-2</v>
      </c>
      <c r="Z236">
        <f>Return!Z236-'Return Estimasi'!Z236</f>
        <v>1.1116378891156497E-2</v>
      </c>
      <c r="AA236">
        <f>Return!AA236-'Return Estimasi'!AA236</f>
        <v>2.835109802632621E-2</v>
      </c>
      <c r="AB236">
        <f>Return!AB236-'Return Estimasi'!AB236</f>
        <v>1.7512863069712184E-2</v>
      </c>
      <c r="AC236">
        <f>Return!AC236-'Return Estimasi'!AC236</f>
        <v>-1.160578113434553E-3</v>
      </c>
      <c r="AD236">
        <f>Return!AD236-'Return Estimasi'!AD236</f>
        <v>3.8951552882342033E-4</v>
      </c>
      <c r="AE236">
        <f>Return!AE236-'Return Estimasi'!AE236</f>
        <v>-1.6116505441811806E-2</v>
      </c>
      <c r="AF236">
        <f>Return!AF236-'Return Estimasi'!AF236</f>
        <v>-16.679135351279538</v>
      </c>
    </row>
    <row r="237" spans="1:32" x14ac:dyDescent="0.3">
      <c r="A237" s="12" t="s">
        <v>198</v>
      </c>
      <c r="C237">
        <f>_xlfn.VAR.S(C3:C236)</f>
        <v>2.0465724606022348E-4</v>
      </c>
      <c r="D237">
        <f t="shared" ref="D237:AF237" si="0">_xlfn.VAR.S(D3:D236)</f>
        <v>2.7104768315945762E-4</v>
      </c>
      <c r="E237">
        <f t="shared" si="0"/>
        <v>3.1695056416523274E-4</v>
      </c>
      <c r="F237">
        <f t="shared" si="0"/>
        <v>3.2684289459084328E-4</v>
      </c>
      <c r="G237">
        <f t="shared" si="0"/>
        <v>4.2469171383319865E-4</v>
      </c>
      <c r="H237">
        <f t="shared" si="0"/>
        <v>4.0570466265668951E-4</v>
      </c>
      <c r="I237">
        <f t="shared" si="0"/>
        <v>2.771212741568749E-4</v>
      </c>
      <c r="J237">
        <f t="shared" si="0"/>
        <v>3.4090892981237408E-4</v>
      </c>
      <c r="K237">
        <f t="shared" si="0"/>
        <v>6.5830961569040343E-4</v>
      </c>
      <c r="L237">
        <f t="shared" si="0"/>
        <v>1.6117920343695154E-4</v>
      </c>
      <c r="M237">
        <f t="shared" si="0"/>
        <v>1.1672786309579893E-3</v>
      </c>
      <c r="N237">
        <f t="shared" si="0"/>
        <v>1.5715617925685648E-3</v>
      </c>
      <c r="O237">
        <f t="shared" si="0"/>
        <v>3.5356954961746198E-4</v>
      </c>
      <c r="P237">
        <f t="shared" si="0"/>
        <v>6.9118804258125961E-4</v>
      </c>
      <c r="Q237">
        <f t="shared" si="0"/>
        <v>7.5964921666167497E-4</v>
      </c>
      <c r="R237">
        <f t="shared" si="0"/>
        <v>6.9337092959924059E-4</v>
      </c>
      <c r="S237">
        <f t="shared" si="0"/>
        <v>4.6143576036867466E-4</v>
      </c>
      <c r="T237">
        <f t="shared" si="0"/>
        <v>8.8229660503151791E-4</v>
      </c>
      <c r="U237">
        <f t="shared" si="0"/>
        <v>9.7586417839671039E-4</v>
      </c>
      <c r="V237">
        <f t="shared" si="0"/>
        <v>4.9547744103767288E-4</v>
      </c>
      <c r="W237">
        <f t="shared" si="0"/>
        <v>1.4958832458614232E-3</v>
      </c>
      <c r="X237">
        <f t="shared" si="0"/>
        <v>6.9030359780582933E-4</v>
      </c>
      <c r="Y237">
        <f t="shared" si="0"/>
        <v>6.5993453906578489E-4</v>
      </c>
      <c r="Z237">
        <f t="shared" si="0"/>
        <v>5.2189603219520851E-4</v>
      </c>
      <c r="AA237">
        <f t="shared" si="0"/>
        <v>6.5765704471692067E-4</v>
      </c>
      <c r="AB237">
        <f t="shared" si="0"/>
        <v>7.9167948572915947E-4</v>
      </c>
      <c r="AC237">
        <f t="shared" si="0"/>
        <v>5.6759505191845722E-4</v>
      </c>
      <c r="AD237">
        <f t="shared" si="0"/>
        <v>3.0107253483460997E-4</v>
      </c>
      <c r="AE237">
        <f t="shared" si="0"/>
        <v>3.3577370486424964E-4</v>
      </c>
      <c r="AF237">
        <f t="shared" si="0"/>
        <v>16098.292124417412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BCB8-2FD5-4B6D-9EDE-4D0EA8891F15}">
  <dimension ref="A1:AF10"/>
  <sheetViews>
    <sheetView workbookViewId="0">
      <selection activeCell="A10" sqref="A10"/>
    </sheetView>
  </sheetViews>
  <sheetFormatPr defaultRowHeight="14.4" x14ac:dyDescent="0.3"/>
  <cols>
    <col min="1" max="1" width="41" customWidth="1"/>
    <col min="3" max="3" width="12.6640625" bestFit="1" customWidth="1"/>
  </cols>
  <sheetData>
    <row r="1" spans="1:32" x14ac:dyDescent="0.3">
      <c r="B1" t="s">
        <v>143</v>
      </c>
      <c r="C1" t="s">
        <v>144</v>
      </c>
      <c r="D1" t="s">
        <v>145</v>
      </c>
      <c r="E1" t="s">
        <v>146</v>
      </c>
      <c r="F1" t="s">
        <v>147</v>
      </c>
      <c r="G1" t="s">
        <v>148</v>
      </c>
      <c r="H1" t="s">
        <v>149</v>
      </c>
      <c r="I1" t="s">
        <v>150</v>
      </c>
      <c r="J1" t="s">
        <v>151</v>
      </c>
      <c r="K1" t="s">
        <v>152</v>
      </c>
      <c r="L1" t="s">
        <v>153</v>
      </c>
      <c r="M1" t="s">
        <v>154</v>
      </c>
      <c r="N1" t="s">
        <v>155</v>
      </c>
      <c r="O1" t="s">
        <v>156</v>
      </c>
      <c r="P1" t="s">
        <v>157</v>
      </c>
      <c r="Q1" t="s">
        <v>158</v>
      </c>
      <c r="R1" t="s">
        <v>159</v>
      </c>
      <c r="S1" t="s">
        <v>160</v>
      </c>
      <c r="T1" t="s">
        <v>161</v>
      </c>
      <c r="U1" t="s">
        <v>162</v>
      </c>
      <c r="V1" t="s">
        <v>163</v>
      </c>
      <c r="W1" t="s">
        <v>164</v>
      </c>
      <c r="X1" t="s">
        <v>165</v>
      </c>
      <c r="Y1" t="s">
        <v>166</v>
      </c>
      <c r="Z1" t="s">
        <v>167</v>
      </c>
      <c r="AA1" t="s">
        <v>168</v>
      </c>
      <c r="AB1" t="s">
        <v>169</v>
      </c>
      <c r="AC1" t="s">
        <v>170</v>
      </c>
      <c r="AD1" t="s">
        <v>171</v>
      </c>
      <c r="AE1" t="s">
        <v>172</v>
      </c>
      <c r="AF1" t="s">
        <v>173</v>
      </c>
    </row>
    <row r="2" spans="1:32" x14ac:dyDescent="0.3">
      <c r="A2" t="s">
        <v>177</v>
      </c>
      <c r="C2">
        <f>KURT(Residual!C3:C236)</f>
        <v>3.9691850339969639</v>
      </c>
      <c r="D2">
        <f>KURT(Residual!D3:D236)</f>
        <v>1.5539032386741054</v>
      </c>
      <c r="E2">
        <f>KURT(Residual!E3:E236)</f>
        <v>2.4157795139070339</v>
      </c>
      <c r="F2">
        <f>KURT(Residual!F3:F236)</f>
        <v>2.5562365226677919</v>
      </c>
      <c r="G2">
        <f>KURT(Residual!G3:G236)</f>
        <v>1.7065811023848969</v>
      </c>
      <c r="H2">
        <f>KURT(Residual!H3:H236)</f>
        <v>4.7540466638388468</v>
      </c>
      <c r="I2">
        <f>KURT(Residual!I3:I236)</f>
        <v>2.1445132771685049</v>
      </c>
      <c r="J2">
        <f>KURT(Residual!J3:J236)</f>
        <v>1.3686331911726208</v>
      </c>
      <c r="K2">
        <f>KURT(Residual!K3:K236)</f>
        <v>4.5990285237713113</v>
      </c>
      <c r="L2">
        <f>KURT(Residual!L3:L236)</f>
        <v>23.281530264482289</v>
      </c>
      <c r="M2">
        <f>KURT(Residual!M3:M236)</f>
        <v>0.53874756054977091</v>
      </c>
      <c r="N2">
        <f>KURT(Residual!N3:N236)</f>
        <v>1.349410030364627</v>
      </c>
      <c r="O2">
        <f>KURT(Residual!O3:O236)</f>
        <v>4.3127697210681637</v>
      </c>
      <c r="P2">
        <f>KURT(Residual!P3:P236)</f>
        <v>6.7194795954989255</v>
      </c>
      <c r="Q2">
        <f>KURT(Residual!Q3:Q236)</f>
        <v>3.9538440906232992</v>
      </c>
      <c r="R2">
        <f>KURT(Residual!R3:R236)</f>
        <v>0.54213969780281834</v>
      </c>
      <c r="S2">
        <f>KURT(Residual!S3:S236)</f>
        <v>4.2814803807915158</v>
      </c>
      <c r="T2">
        <f>KURT(Residual!T3:T236)</f>
        <v>1.1947420358389333</v>
      </c>
      <c r="U2">
        <f>KURT(Residual!U3:U236)</f>
        <v>5.1054807291278559</v>
      </c>
      <c r="V2">
        <f>KURT(Residual!V3:V236)</f>
        <v>7.0864338821773609</v>
      </c>
      <c r="W2">
        <f>KURT(Residual!W3:W236)</f>
        <v>3.027105419272945</v>
      </c>
      <c r="X2">
        <f>KURT(Residual!X3:X236)</f>
        <v>8.4175003641628088</v>
      </c>
      <c r="Y2">
        <f>KURT(Residual!Y3:Y236)</f>
        <v>0.35833298066457431</v>
      </c>
      <c r="Z2">
        <f>KURT(Residual!Z3:Z236)</f>
        <v>14.235227443012832</v>
      </c>
      <c r="AA2">
        <f>KURT(Residual!AA3:AA236)</f>
        <v>1.7261148675077855</v>
      </c>
      <c r="AB2">
        <f>KURT(Residual!AB3:AB236)</f>
        <v>2.142290320609475</v>
      </c>
      <c r="AC2">
        <f>KURT(Residual!AC3:AC236)</f>
        <v>2.0281505440833296</v>
      </c>
      <c r="AD2">
        <f>KURT(Residual!AD3:AD236)</f>
        <v>1.1129445627021513</v>
      </c>
      <c r="AE2">
        <f>KURT(Residual!AE3:AE236)</f>
        <v>5.158330256991051</v>
      </c>
      <c r="AF2">
        <f>KURT(Residual!AF3:AF236)</f>
        <v>54.721523884757829</v>
      </c>
    </row>
    <row r="3" spans="1:32" x14ac:dyDescent="0.3">
      <c r="A3" t="s">
        <v>178</v>
      </c>
      <c r="C3">
        <f>CORREL(Residual!C4:C236,Residual!C3:C235)</f>
        <v>-5.194375952863392E-2</v>
      </c>
      <c r="D3">
        <f>CORREL(Residual!D4:D236,Residual!D3:D235)</f>
        <v>6.4182366273856056E-4</v>
      </c>
      <c r="E3">
        <f>CORREL(Residual!E4:E236,Residual!E3:E235)</f>
        <v>7.4156478158934988E-2</v>
      </c>
      <c r="F3">
        <f>CORREL(Residual!F4:F236,Residual!F3:F235)</f>
        <v>8.2453567866218519E-2</v>
      </c>
      <c r="G3">
        <f>CORREL(Residual!G4:G236,Residual!G3:G235)</f>
        <v>-8.5640761102877286E-2</v>
      </c>
      <c r="H3">
        <f>CORREL(Residual!H4:H236,Residual!H3:H235)</f>
        <v>-0.20280271488723936</v>
      </c>
      <c r="I3">
        <f>CORREL(Residual!I4:I236,Residual!I3:I235)</f>
        <v>3.827643209585905E-3</v>
      </c>
      <c r="J3">
        <f>CORREL(Residual!J4:J236,Residual!J3:J235)</f>
        <v>-0.26503212361171308</v>
      </c>
      <c r="K3">
        <f>CORREL(Residual!K4:K236,Residual!K3:K235)</f>
        <v>-7.5962788299525838E-2</v>
      </c>
      <c r="L3">
        <f>CORREL(Residual!L4:L236,Residual!L3:L235)</f>
        <v>-8.9190669834417591E-2</v>
      </c>
      <c r="M3">
        <f>CORREL(Residual!M4:M236,Residual!M3:M235)</f>
        <v>-1.376919798789655E-2</v>
      </c>
      <c r="N3">
        <f>CORREL(Residual!N4:N236,Residual!N3:N235)</f>
        <v>9.7482269520596278E-3</v>
      </c>
      <c r="O3">
        <f>CORREL(Residual!O4:O236,Residual!O3:O235)</f>
        <v>-6.645868706384947E-2</v>
      </c>
      <c r="P3">
        <f>CORREL(Residual!P4:P236,Residual!P3:P235)</f>
        <v>-9.4918845393469661E-2</v>
      </c>
      <c r="Q3">
        <f>CORREL(Residual!Q4:Q236,Residual!Q3:Q235)</f>
        <v>3.6996991575675452E-2</v>
      </c>
      <c r="R3">
        <f>CORREL(Residual!R4:R236,Residual!R3:R235)</f>
        <v>-0.17703788390697436</v>
      </c>
      <c r="S3">
        <f>CORREL(Residual!S4:S236,Residual!S3:S235)</f>
        <v>-0.23292666902197079</v>
      </c>
      <c r="T3">
        <f>CORREL(Residual!T4:T236,Residual!T3:T235)</f>
        <v>-5.7254786873025182E-2</v>
      </c>
      <c r="U3">
        <f>CORREL(Residual!U4:U236,Residual!U3:U235)</f>
        <v>-0.10106898770115648</v>
      </c>
      <c r="V3">
        <f>CORREL(Residual!V4:V236,Residual!V3:V235)</f>
        <v>-4.0490807079070823E-2</v>
      </c>
      <c r="W3">
        <f>CORREL(Residual!W4:W236,Residual!W3:W235)</f>
        <v>4.1142941409707638E-2</v>
      </c>
      <c r="X3">
        <f>CORREL(Residual!X4:X236,Residual!X3:X235)</f>
        <v>-0.16705837272319829</v>
      </c>
      <c r="Y3">
        <f>CORREL(Residual!Y4:Y236,Residual!Y3:Y235)</f>
        <v>6.4361270061264811E-2</v>
      </c>
      <c r="Z3">
        <f>CORREL(Residual!Z4:Z236,Residual!Z3:Z235)</f>
        <v>-0.19901975602975944</v>
      </c>
      <c r="AA3">
        <f>CORREL(Residual!AA4:AA236,Residual!AA3:AA235)</f>
        <v>-3.6453944570340395E-2</v>
      </c>
      <c r="AB3">
        <f>CORREL(Residual!AB4:AB236,Residual!AB3:AB235)</f>
        <v>-3.9168430486211908E-2</v>
      </c>
      <c r="AC3">
        <f>CORREL(Residual!AC4:AC236,Residual!AC3:AC235)</f>
        <v>-1.4426941249348077E-2</v>
      </c>
      <c r="AD3">
        <f>CORREL(Residual!AD4:AD236,Residual!AD3:AD235)</f>
        <v>-0.21157981447838625</v>
      </c>
      <c r="AE3">
        <f>CORREL(Residual!AE4:AE236,Residual!AE3:AE235)</f>
        <v>-8.5522913445830684E-2</v>
      </c>
      <c r="AF3">
        <f>CORREL(Residual!AF4:AF236,Residual!AF3:AF235)</f>
        <v>-1.8365339465957305E-2</v>
      </c>
    </row>
    <row r="4" spans="1:32" x14ac:dyDescent="0.3">
      <c r="A4" t="s">
        <v>179</v>
      </c>
      <c r="C4">
        <f>CORREL(Residual!C3:C236,Residual!B3:B236)</f>
        <v>-3.7409151395591775E-16</v>
      </c>
      <c r="D4">
        <f>CORREL(Residual!D3:D236,Residual!C3:C236)</f>
        <v>0.38018175809183763</v>
      </c>
      <c r="E4">
        <f>CORREL(Residual!E3:E236,Residual!D3:D236)</f>
        <v>0.48319456922164045</v>
      </c>
      <c r="F4">
        <f>CORREL(Residual!F3:F236,Residual!E3:E236)</f>
        <v>0.50792715432923785</v>
      </c>
      <c r="G4">
        <f>CORREL(Residual!G3:G236,Residual!F3:F236)</f>
        <v>-2.9641867425686101E-3</v>
      </c>
      <c r="H4">
        <f>CORREL(Residual!H3:H236,Residual!G3:G236)</f>
        <v>-8.3847082321160851E-2</v>
      </c>
      <c r="I4">
        <f>CORREL(Residual!I3:I236,Residual!H3:H236)</f>
        <v>-4.3616937304458286E-2</v>
      </c>
      <c r="J4">
        <f>CORREL(Residual!J3:J236,Residual!I3:I236)</f>
        <v>0.24037533248538132</v>
      </c>
      <c r="K4">
        <f>CORREL(Residual!K3:K236,Residual!J3:J236)</f>
        <v>-2.4290944101268273E-2</v>
      </c>
      <c r="L4">
        <f>CORREL(Residual!L3:L236,Residual!K3:K236)</f>
        <v>0.12888206577538863</v>
      </c>
      <c r="M4">
        <f>CORREL(Residual!M3:M236,Residual!L3:L236)</f>
        <v>1.6100216301057752E-2</v>
      </c>
      <c r="N4">
        <f>CORREL(Residual!N3:N236,Residual!M3:M236)</f>
        <v>0.50414897868235975</v>
      </c>
      <c r="O4">
        <f>CORREL(Residual!O3:O236,Residual!N3:N236)</f>
        <v>9.4746150633367512E-2</v>
      </c>
      <c r="P4">
        <f>CORREL(Residual!P3:P236,Residual!O3:O236)</f>
        <v>5.7802267634886995E-2</v>
      </c>
      <c r="Q4">
        <f>CORREL(Residual!Q3:Q236,Residual!P3:P236)</f>
        <v>-7.9512815702266499E-3</v>
      </c>
      <c r="R4">
        <f>CORREL(Residual!R3:R236,Residual!Q3:Q236)</f>
        <v>-9.6101977890159701E-2</v>
      </c>
      <c r="S4">
        <f>CORREL(Residual!S3:S236,Residual!R3:R236)</f>
        <v>0.13669863670405208</v>
      </c>
      <c r="T4">
        <f>CORREL(Residual!T3:T236,Residual!S3:S236)</f>
        <v>0.28769059192289037</v>
      </c>
      <c r="U4">
        <f>CORREL(Residual!U3:U236,Residual!T3:T236)</f>
        <v>4.0086158014214286E-2</v>
      </c>
      <c r="V4">
        <f>CORREL(Residual!V3:V236,Residual!U3:U236)</f>
        <v>4.7441698029695632E-2</v>
      </c>
      <c r="W4">
        <f>CORREL(Residual!W3:W236,Residual!V3:V236)</f>
        <v>-7.1716084917060705E-2</v>
      </c>
      <c r="X4">
        <f>CORREL(Residual!X3:X236,Residual!W3:W236)</f>
        <v>-8.3940794276237643E-2</v>
      </c>
      <c r="Y4">
        <f>CORREL(Residual!Y3:Y236,Residual!X3:X236)</f>
        <v>0.125779864757816</v>
      </c>
      <c r="Z4">
        <f>CORREL(Residual!Z3:Z236,Residual!Y3:Y236)</f>
        <v>0.15376485342064777</v>
      </c>
      <c r="AA4">
        <f>CORREL(Residual!AA3:AA236,Residual!Z3:Z236)</f>
        <v>0.20391828004720983</v>
      </c>
      <c r="AB4">
        <f>CORREL(Residual!AB3:AB236,Residual!AA3:AA236)</f>
        <v>0.15037981129020769</v>
      </c>
      <c r="AC4">
        <f>CORREL(Residual!AC3:AC236,Residual!AB3:AB236)</f>
        <v>6.3013341967585443E-2</v>
      </c>
      <c r="AD4">
        <f>CORREL(Residual!AD3:AD236,Residual!AC3:AC236)</f>
        <v>0.10114361379621971</v>
      </c>
      <c r="AE4">
        <f>CORREL(Residual!AE3:AE236,Residual!AD3:AD236)</f>
        <v>0.3827295628399433</v>
      </c>
      <c r="AF4">
        <f>CORREL(Residual!AF3:AF236,Residual!AE3:AE236)</f>
        <v>7.5795863310001623E-3</v>
      </c>
    </row>
    <row r="5" spans="1:32" ht="13.8" customHeight="1" x14ac:dyDescent="0.3"/>
    <row r="6" spans="1:32" ht="101.4" customHeight="1" x14ac:dyDescent="0.3">
      <c r="A6" s="18" t="s">
        <v>214</v>
      </c>
    </row>
    <row r="8" spans="1:32" ht="86.4" x14ac:dyDescent="0.3">
      <c r="A8" s="18" t="s">
        <v>215</v>
      </c>
    </row>
    <row r="10" spans="1:32" ht="115.2" x14ac:dyDescent="0.3">
      <c r="A10" s="18" t="s">
        <v>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B84E-8EC7-4F07-BEFB-DCD443AFB050}">
  <dimension ref="A1:G13"/>
  <sheetViews>
    <sheetView workbookViewId="0">
      <selection activeCell="I16" sqref="I16"/>
    </sheetView>
  </sheetViews>
  <sheetFormatPr defaultRowHeight="14.4" x14ac:dyDescent="0.3"/>
  <cols>
    <col min="1" max="1" width="3.44140625" bestFit="1" customWidth="1"/>
    <col min="2" max="2" width="20.6640625" bestFit="1" customWidth="1"/>
    <col min="3" max="3" width="7.5546875" bestFit="1" customWidth="1"/>
  </cols>
  <sheetData>
    <row r="1" spans="1:7" ht="15.6" x14ac:dyDescent="0.3">
      <c r="A1" s="9">
        <v>1</v>
      </c>
      <c r="B1" s="9" t="s">
        <v>181</v>
      </c>
      <c r="C1" s="10">
        <v>4.7500000000000001E-2</v>
      </c>
      <c r="E1" t="s">
        <v>194</v>
      </c>
      <c r="F1" s="11">
        <f>AVERAGE(C1:C13)</f>
        <v>5.1538461538461533E-2</v>
      </c>
      <c r="G1">
        <f>F1/365</f>
        <v>1.412012644889357E-4</v>
      </c>
    </row>
    <row r="2" spans="1:7" ht="15.6" x14ac:dyDescent="0.3">
      <c r="A2" s="9">
        <v>2</v>
      </c>
      <c r="B2" s="9" t="s">
        <v>182</v>
      </c>
      <c r="C2" s="10">
        <v>4.7500000000000001E-2</v>
      </c>
      <c r="F2" t="s">
        <v>216</v>
      </c>
      <c r="G2" t="s">
        <v>217</v>
      </c>
    </row>
    <row r="3" spans="1:7" ht="15.6" x14ac:dyDescent="0.3">
      <c r="A3" s="9">
        <v>3</v>
      </c>
      <c r="B3" s="9" t="s">
        <v>183</v>
      </c>
      <c r="C3" s="10">
        <v>4.7500000000000001E-2</v>
      </c>
    </row>
    <row r="4" spans="1:7" ht="15.6" x14ac:dyDescent="0.3">
      <c r="A4" s="9">
        <v>4</v>
      </c>
      <c r="B4" s="9" t="s">
        <v>184</v>
      </c>
      <c r="C4" s="10">
        <v>4.7500000000000001E-2</v>
      </c>
    </row>
    <row r="5" spans="1:7" ht="15.6" x14ac:dyDescent="0.3">
      <c r="A5" s="9">
        <v>5</v>
      </c>
      <c r="B5" s="9" t="s">
        <v>185</v>
      </c>
      <c r="C5" s="10">
        <v>4.7500000000000001E-2</v>
      </c>
    </row>
    <row r="6" spans="1:7" ht="15.6" x14ac:dyDescent="0.3">
      <c r="A6" s="9">
        <v>6</v>
      </c>
      <c r="B6" s="9" t="s">
        <v>186</v>
      </c>
      <c r="C6" s="10">
        <v>4.7500000000000001E-2</v>
      </c>
    </row>
    <row r="7" spans="1:7" ht="15.6" x14ac:dyDescent="0.3">
      <c r="A7" s="9">
        <v>7</v>
      </c>
      <c r="B7" s="9" t="s">
        <v>187</v>
      </c>
      <c r="C7" s="10">
        <v>0.05</v>
      </c>
    </row>
    <row r="8" spans="1:7" ht="15.6" x14ac:dyDescent="0.3">
      <c r="A8" s="9">
        <v>8</v>
      </c>
      <c r="B8" s="9" t="s">
        <v>188</v>
      </c>
      <c r="C8" s="10">
        <v>5.2499999999999998E-2</v>
      </c>
    </row>
    <row r="9" spans="1:7" ht="15.6" x14ac:dyDescent="0.3">
      <c r="A9" s="9">
        <v>9</v>
      </c>
      <c r="B9" s="9" t="s">
        <v>189</v>
      </c>
      <c r="C9" s="10">
        <v>5.5E-2</v>
      </c>
    </row>
    <row r="10" spans="1:7" ht="15.6" x14ac:dyDescent="0.3">
      <c r="A10" s="9">
        <v>10</v>
      </c>
      <c r="B10" s="9" t="s">
        <v>190</v>
      </c>
      <c r="C10" s="10">
        <v>5.5E-2</v>
      </c>
    </row>
    <row r="11" spans="1:7" ht="15.6" x14ac:dyDescent="0.3">
      <c r="A11" s="9">
        <v>11</v>
      </c>
      <c r="B11" s="9" t="s">
        <v>191</v>
      </c>
      <c r="C11" s="10">
        <v>5.7500000000000002E-2</v>
      </c>
    </row>
    <row r="12" spans="1:7" ht="15.6" x14ac:dyDescent="0.3">
      <c r="A12" s="9">
        <v>12</v>
      </c>
      <c r="B12" s="9" t="s">
        <v>192</v>
      </c>
      <c r="C12" s="10">
        <v>5.7500000000000002E-2</v>
      </c>
    </row>
    <row r="13" spans="1:7" ht="15.6" x14ac:dyDescent="0.3">
      <c r="A13" s="9">
        <v>13</v>
      </c>
      <c r="B13" s="9" t="s">
        <v>193</v>
      </c>
      <c r="C13" s="10">
        <v>5.7500000000000002E-2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BEE6-05FD-46FA-8EF3-FE9A9F766050}">
  <dimension ref="A1:AE36"/>
  <sheetViews>
    <sheetView zoomScale="77" workbookViewId="0">
      <selection activeCell="M22" sqref="M22"/>
    </sheetView>
  </sheetViews>
  <sheetFormatPr defaultRowHeight="14.4" x14ac:dyDescent="0.3"/>
  <cols>
    <col min="1" max="1" width="14.6640625" bestFit="1" customWidth="1"/>
    <col min="21" max="21" width="12.6640625" bestFit="1" customWidth="1"/>
    <col min="22" max="31" width="9" bestFit="1" customWidth="1"/>
  </cols>
  <sheetData>
    <row r="1" spans="1:31" x14ac:dyDescent="0.3">
      <c r="B1" t="s">
        <v>144</v>
      </c>
      <c r="C1" t="s">
        <v>145</v>
      </c>
      <c r="D1" t="s">
        <v>146</v>
      </c>
      <c r="E1" t="s">
        <v>147</v>
      </c>
      <c r="F1" t="s">
        <v>148</v>
      </c>
      <c r="G1" t="s">
        <v>149</v>
      </c>
      <c r="H1" t="s">
        <v>150</v>
      </c>
      <c r="I1" t="s">
        <v>151</v>
      </c>
      <c r="J1" t="s">
        <v>152</v>
      </c>
      <c r="K1" t="s">
        <v>153</v>
      </c>
      <c r="L1" t="s">
        <v>154</v>
      </c>
      <c r="M1" t="s">
        <v>155</v>
      </c>
      <c r="N1" t="s">
        <v>156</v>
      </c>
      <c r="O1" t="s">
        <v>157</v>
      </c>
      <c r="P1" t="s">
        <v>158</v>
      </c>
      <c r="Q1" t="s">
        <v>159</v>
      </c>
      <c r="R1" t="s">
        <v>160</v>
      </c>
      <c r="S1" t="s">
        <v>161</v>
      </c>
      <c r="T1" t="s">
        <v>162</v>
      </c>
      <c r="U1" t="s">
        <v>163</v>
      </c>
      <c r="V1" t="s">
        <v>164</v>
      </c>
      <c r="W1" t="s">
        <v>165</v>
      </c>
      <c r="X1" t="s">
        <v>166</v>
      </c>
      <c r="Y1" t="s">
        <v>167</v>
      </c>
      <c r="Z1" t="s">
        <v>168</v>
      </c>
      <c r="AA1" t="s">
        <v>169</v>
      </c>
      <c r="AB1" t="s">
        <v>170</v>
      </c>
      <c r="AC1" t="s">
        <v>171</v>
      </c>
      <c r="AD1" t="s">
        <v>172</v>
      </c>
      <c r="AE1" t="s">
        <v>173</v>
      </c>
    </row>
    <row r="2" spans="1:31" x14ac:dyDescent="0.3">
      <c r="A2" t="s">
        <v>174</v>
      </c>
      <c r="B2">
        <f>AVERAGE(Return!C3:C236)</f>
        <v>-7.0805068606590818E-4</v>
      </c>
      <c r="C2">
        <f>AVERAGE(Return!D3:D236)</f>
        <v>4.8686263279544898E-4</v>
      </c>
      <c r="D2">
        <f>AVERAGE(Return!E3:E236)</f>
        <v>5.5330874503573164E-4</v>
      </c>
      <c r="E2">
        <f>AVERAGE(Return!F3:F236)</f>
        <v>3.5868598316680315E-4</v>
      </c>
      <c r="F2">
        <f>AVERAGE(Return!G3:G236)</f>
        <v>1.9409043196337602E-3</v>
      </c>
      <c r="G2">
        <f>AVERAGE(Return!H3:H236)</f>
        <v>1.7584401927776649E-3</v>
      </c>
      <c r="H2">
        <f>AVERAGE(Return!I3:I236)</f>
        <v>-1.1199525956392634E-3</v>
      </c>
      <c r="I2">
        <f>AVERAGE(Return!J3:J236)</f>
        <v>-3.8154611965553707E-4</v>
      </c>
      <c r="J2">
        <f>AVERAGE(Return!K3:K236)</f>
        <v>9.6174557178124742E-4</v>
      </c>
      <c r="K2">
        <f>AVERAGE(Return!L3:L236)</f>
        <v>-1.3514425199843993E-4</v>
      </c>
      <c r="L2">
        <f>AVERAGE(Return!M3:M236)</f>
        <v>4.9841241762190961E-3</v>
      </c>
      <c r="M2">
        <f>AVERAGE(Return!N3:N236)</f>
        <v>4.7976694376273901E-3</v>
      </c>
      <c r="N2">
        <f>AVERAGE(Return!O3:O236)</f>
        <v>2.1354052029198245E-3</v>
      </c>
      <c r="O2">
        <f>AVERAGE(Return!P3:P236)</f>
        <v>-2.3147396466887704E-6</v>
      </c>
      <c r="P2">
        <f>AVERAGE(Return!Q3:Q236)</f>
        <v>2.0035910416420629E-3</v>
      </c>
      <c r="Q2">
        <f>AVERAGE(Return!R3:R236)</f>
        <v>3.3250642416595078E-4</v>
      </c>
      <c r="R2">
        <f>AVERAGE(Return!S3:S236)</f>
        <v>8.6067567005272569E-5</v>
      </c>
      <c r="S2">
        <f>AVERAGE(Return!T3:T236)</f>
        <v>1.1667438386748082E-3</v>
      </c>
      <c r="T2">
        <f>AVERAGE(Return!U3:U236)</f>
        <v>1.5213208974646638E-3</v>
      </c>
      <c r="U2">
        <f>AVERAGE(Return!V3:V236)</f>
        <v>1.3657830323195663E-3</v>
      </c>
      <c r="V2">
        <f>AVERAGE(Return!W3:W236)</f>
        <v>4.8328193432403705E-3</v>
      </c>
      <c r="W2">
        <f>AVERAGE(Return!X3:X236)</f>
        <v>6.2971074282149151E-4</v>
      </c>
      <c r="X2">
        <f>AVERAGE(Return!Y3:Y236)</f>
        <v>-1.0966733111461451E-3</v>
      </c>
      <c r="Y2">
        <f>AVERAGE(Return!Z3:Z236)</f>
        <v>-1.8885036357405387E-3</v>
      </c>
      <c r="Z2">
        <f>AVERAGE(Return!AA3:AA236)</f>
        <v>1.9005203459781226E-4</v>
      </c>
      <c r="AA2">
        <f>AVERAGE(Return!AB3:AB236)</f>
        <v>-6.7548317994470242E-4</v>
      </c>
      <c r="AB2">
        <f>AVERAGE(Return!AC3:AC236)</f>
        <v>5.5395308326761778E-4</v>
      </c>
      <c r="AC2">
        <f>AVERAGE(Return!AD3:AD236)</f>
        <v>1.1522811253110511E-4</v>
      </c>
      <c r="AD2">
        <f>AVERAGE(Return!AE3:AE236)</f>
        <v>5.4079639591939593E-5</v>
      </c>
      <c r="AE2">
        <f>AVERAGE(Return!AF3:AF236)</f>
        <v>16.678400088834685</v>
      </c>
    </row>
    <row r="3" spans="1:31" x14ac:dyDescent="0.3">
      <c r="A3" t="s">
        <v>175</v>
      </c>
      <c r="B3">
        <f>_xlfn.COVARIANCE.S(Return!C3:C236,Return!$B$3:$B$236)/ _xlfn.VAR.S(Return!$B$3:$B$236)</f>
        <v>0.85898634050473932</v>
      </c>
      <c r="C3">
        <f>_xlfn.COVARIANCE.S(Return!D3:D236,Return!$B$3:$B$236)/ _xlfn.VAR.S(Return!$B$3:$B$236)</f>
        <v>0.9833835073242817</v>
      </c>
      <c r="D3">
        <f>_xlfn.COVARIANCE.S(Return!E3:E236,Return!$B$3:$B$236)/ _xlfn.VAR.S(Return!$B$3:$B$236)</f>
        <v>0.97865718480845909</v>
      </c>
      <c r="E3">
        <f>_xlfn.COVARIANCE.S(Return!F3:F236,Return!$B$3:$B$236)/ _xlfn.VAR.S(Return!$B$3:$B$236)</f>
        <v>0.84701767129782091</v>
      </c>
      <c r="F3">
        <f>_xlfn.COVARIANCE.S(Return!G3:G236,Return!$B$3:$B$236)/ _xlfn.VAR.S(Return!$B$3:$B$236)</f>
        <v>0.90085538518711838</v>
      </c>
      <c r="G3">
        <f>_xlfn.COVARIANCE.S(Return!H3:H236,Return!$B$3:$B$236)/ _xlfn.VAR.S(Return!$B$3:$B$236)</f>
        <v>0.67278168957663831</v>
      </c>
      <c r="H3">
        <f>_xlfn.COVARIANCE.S(Return!I3:I236,Return!$B$3:$B$236)/ _xlfn.VAR.S(Return!$B$3:$B$236)</f>
        <v>0.4238168606335635</v>
      </c>
      <c r="I3">
        <f>_xlfn.COVARIANCE.S(Return!J3:J236,Return!$B$3:$B$236)/ _xlfn.VAR.S(Return!$B$3:$B$236)</f>
        <v>0.28726311623615219</v>
      </c>
      <c r="J3">
        <f>_xlfn.COVARIANCE.S(Return!K3:K236,Return!$B$3:$B$236)/ _xlfn.VAR.S(Return!$B$3:$B$236)</f>
        <v>0.94136128603928559</v>
      </c>
      <c r="K3">
        <f>_xlfn.COVARIANCE.S(Return!L3:L236,Return!$B$3:$B$236)/ _xlfn.VAR.S(Return!$B$3:$B$236)</f>
        <v>0.36327560090481209</v>
      </c>
      <c r="L3">
        <f>_xlfn.COVARIANCE.S(Return!M3:M236,Return!$B$3:$B$236)/ _xlfn.VAR.S(Return!$B$3:$B$236)</f>
        <v>0.97025440422872877</v>
      </c>
      <c r="M3">
        <f>_xlfn.COVARIANCE.S(Return!N3:N236,Return!$B$3:$B$236)/ _xlfn.VAR.S(Return!$B$3:$B$236)</f>
        <v>1.4069593977438504</v>
      </c>
      <c r="N3">
        <f>_xlfn.COVARIANCE.S(Return!O3:O236,Return!$B$3:$B$236)/ _xlfn.VAR.S(Return!$B$3:$B$236)</f>
        <v>0.51319547534433696</v>
      </c>
      <c r="O3">
        <f>_xlfn.COVARIANCE.S(Return!P3:P236,Return!$B$3:$B$236)/ _xlfn.VAR.S(Return!$B$3:$B$236)</f>
        <v>0.87952531304002057</v>
      </c>
      <c r="P3">
        <f>_xlfn.COVARIANCE.S(Return!Q3:Q236,Return!$B$3:$B$236)/ _xlfn.VAR.S(Return!$B$3:$B$236)</f>
        <v>1.0634599511469611</v>
      </c>
      <c r="Q3">
        <f>_xlfn.COVARIANCE.S(Return!R3:R236,Return!$B$3:$B$236)/ _xlfn.VAR.S(Return!$B$3:$B$236)</f>
        <v>0.5855139810861244</v>
      </c>
      <c r="R3">
        <f>_xlfn.COVARIANCE.S(Return!S3:S236,Return!$B$3:$B$236)/ _xlfn.VAR.S(Return!$B$3:$B$236)</f>
        <v>0.5440191096634267</v>
      </c>
      <c r="S3">
        <f>_xlfn.COVARIANCE.S(Return!T3:T236,Return!$B$3:$B$236)/ _xlfn.VAR.S(Return!$B$3:$B$236)</f>
        <v>0.57151615015195811</v>
      </c>
      <c r="T3">
        <f>_xlfn.COVARIANCE.S(Return!U3:U236,Return!$B$3:$B$236)/ _xlfn.VAR.S(Return!$B$3:$B$236)</f>
        <v>1.0956998275735537</v>
      </c>
      <c r="U3">
        <f>_xlfn.COVARIANCE.S(Return!V3:V236,Return!$B$3:$B$236)/ _xlfn.VAR.S(Return!$B$3:$B$236)</f>
        <v>0.91793968069168363</v>
      </c>
      <c r="V3">
        <f>_xlfn.COVARIANCE.S(Return!W3:W236,Return!$B$3:$B$236)/ _xlfn.VAR.S(Return!$B$3:$B$236)</f>
        <v>1.8976932487434184</v>
      </c>
      <c r="W3">
        <f>_xlfn.COVARIANCE.S(Return!X3:X236,Return!$B$3:$B$236)/ _xlfn.VAR.S(Return!$B$3:$B$236)</f>
        <v>1.061820435136319</v>
      </c>
      <c r="X3">
        <f>_xlfn.COVARIANCE.S(Return!Y3:Y236,Return!$B$3:$B$236)/ _xlfn.VAR.S(Return!$B$3:$B$236)</f>
        <v>0.79611476106705104</v>
      </c>
      <c r="Y3">
        <f>_xlfn.COVARIANCE.S(Return!Z3:Z236,Return!$B$3:$B$236)/ _xlfn.VAR.S(Return!$B$3:$B$236)</f>
        <v>0.77639453507120215</v>
      </c>
      <c r="Z3">
        <f>_xlfn.COVARIANCE.S(Return!AA3:AA236,Return!$B$3:$B$236)/ _xlfn.VAR.S(Return!$B$3:$B$236)</f>
        <v>1.1626190404500309</v>
      </c>
      <c r="AA3">
        <f>_xlfn.COVARIANCE.S(Return!AB3:AB236,Return!$B$3:$B$236)/ _xlfn.VAR.S(Return!$B$3:$B$236)</f>
        <v>1.0529835817629585</v>
      </c>
      <c r="AB3">
        <f>_xlfn.COVARIANCE.S(Return!AC3:AC236,Return!$B$3:$B$236)/ _xlfn.VAR.S(Return!$B$3:$B$236)</f>
        <v>0.86240374744751935</v>
      </c>
      <c r="AC3">
        <f>_xlfn.COVARIANCE.S(Return!AD3:AD236,Return!$B$3:$B$236)/ _xlfn.VAR.S(Return!$B$3:$B$236)</f>
        <v>0.95954416765383233</v>
      </c>
      <c r="AD3">
        <f>_xlfn.COVARIANCE.S(Return!AE3:AE236,Return!$B$3:$B$236)/ _xlfn.VAR.S(Return!$B$3:$B$236)</f>
        <v>0.76296556983014685</v>
      </c>
      <c r="AE3">
        <f>_xlfn.COVARIANCE.S(Return!AF3:AF236,Return!$B$3:$B$236)/ _xlfn.VAR.S(Return!$B$3:$B$236)</f>
        <v>-28.116086632373932</v>
      </c>
    </row>
    <row r="4" spans="1:31" x14ac:dyDescent="0.3">
      <c r="A4" t="s">
        <v>176</v>
      </c>
      <c r="B4">
        <f>B2-(B3*AVERAGE(Return!B3:B236))</f>
        <v>-1.6391339000594095E-3</v>
      </c>
      <c r="C4">
        <f>C2-(C3*AVERAGE(Return!C3:C236))</f>
        <v>1.1831479998223055E-3</v>
      </c>
      <c r="D4">
        <f>D2-(D3*AVERAGE(Return!D3:D236))</f>
        <v>7.6837131435702989E-5</v>
      </c>
      <c r="E4">
        <f>E2-(E3*AVERAGE(Return!E3:E236))</f>
        <v>-1.0997630156208197E-4</v>
      </c>
      <c r="F4">
        <f>F2-(F3*AVERAGE(Return!F3:F236))</f>
        <v>1.6177801201068096E-3</v>
      </c>
      <c r="G4">
        <f>G2-(G3*AVERAGE(Return!G3:G236))</f>
        <v>4.5263530530786802E-4</v>
      </c>
      <c r="H4">
        <f>H2-(H3*AVERAGE(Return!H3:H236))</f>
        <v>-1.8652091977541716E-3</v>
      </c>
      <c r="I4">
        <f>I2-(I3*AVERAGE(Return!I3:I236))</f>
        <v>-5.9825046995435E-5</v>
      </c>
      <c r="J4">
        <f>J2-(J3*AVERAGE(Return!J3:J236))</f>
        <v>1.3209183176634829E-3</v>
      </c>
      <c r="K4">
        <f>K2-(K3*AVERAGE(Return!K3:K236))</f>
        <v>-4.8452295250481469E-4</v>
      </c>
      <c r="L4">
        <f>L2-(L3*AVERAGE(Return!L3:L236))</f>
        <v>5.1152484819267799E-3</v>
      </c>
      <c r="M4">
        <f>M2-(M3*AVERAGE(Return!M3:M236))</f>
        <v>-2.2147909116263936E-3</v>
      </c>
      <c r="N4">
        <f>N2-(N3*AVERAGE(Return!N3:N236))</f>
        <v>-3.2673704466836158E-4</v>
      </c>
      <c r="O4">
        <f>O2-(O3*AVERAGE(Return!O3:O236))</f>
        <v>-1.8804576692120361E-3</v>
      </c>
      <c r="P4">
        <f>P2-(P3*AVERAGE(Return!P3:P236))</f>
        <v>2.0060526745536485E-3</v>
      </c>
      <c r="Q4">
        <f>Q2-(Q3*AVERAGE(Return!Q3:Q236))</f>
        <v>-8.4062414309438822E-4</v>
      </c>
      <c r="R4">
        <f>R2-(R3*AVERAGE(Return!R3:R236))</f>
        <v>-9.482228182685769E-5</v>
      </c>
      <c r="S4">
        <f>S2-(S3*AVERAGE(Return!S3:S236))</f>
        <v>1.1175548341270092E-3</v>
      </c>
      <c r="T4">
        <f>T2-(T3*AVERAGE(Return!T3:T236))</f>
        <v>2.4291987460617033E-4</v>
      </c>
      <c r="U4">
        <f>U2-(U3*AVERAGE(Return!U3:U236))</f>
        <v>-3.0697786528732871E-5</v>
      </c>
      <c r="V4">
        <f>V2-(V3*AVERAGE(Return!V3:V236))</f>
        <v>2.2409821035592158E-3</v>
      </c>
      <c r="W4">
        <f>W2-(W3*AVERAGE(Return!W3:W236))</f>
        <v>-4.5018755951532182E-3</v>
      </c>
      <c r="X4">
        <f>X2-(X3*AVERAGE(Return!X3:X236))</f>
        <v>-1.5979953287088319E-3</v>
      </c>
      <c r="Y4">
        <f>Y2-(Y3*AVERAGE(Return!Y3:Y236))</f>
        <v>-1.0370524702082314E-3</v>
      </c>
      <c r="Z4">
        <f>Z2-(Z3*AVERAGE(Return!Z3:Z236))</f>
        <v>2.3856623194688726E-3</v>
      </c>
      <c r="AA4">
        <f>AA2-(AA3*AVERAGE(Return!AA3:AA236))</f>
        <v>-8.7560485205684445E-4</v>
      </c>
      <c r="AB4">
        <f>AB2-(AB3*AVERAGE(Return!AB3:AB236))</f>
        <v>1.136492308989696E-3</v>
      </c>
      <c r="AC4">
        <f>AC2-(AC3*AVERAGE(Return!AC3:AC236))</f>
        <v>-4.1631433767219531E-4</v>
      </c>
      <c r="AD4">
        <f>AD2-(AD3*AVERAGE(Return!AD3:AD236))</f>
        <v>-3.3835442945807295E-5</v>
      </c>
      <c r="AE4">
        <f>AE2-(AE3*AVERAGE(Return!AE3:AE236))</f>
        <v>16.679920596666499</v>
      </c>
    </row>
    <row r="5" spans="1:31" x14ac:dyDescent="0.3">
      <c r="A5" t="s">
        <v>199</v>
      </c>
      <c r="B5">
        <f>Residual!C237</f>
        <v>2.0465724606022348E-4</v>
      </c>
      <c r="C5">
        <f>Residual!D237</f>
        <v>2.7104768315945762E-4</v>
      </c>
      <c r="D5">
        <f>Residual!E237</f>
        <v>3.1695056416523274E-4</v>
      </c>
      <c r="E5">
        <f>Residual!F237</f>
        <v>3.2684289459084328E-4</v>
      </c>
      <c r="F5">
        <f>Residual!G237</f>
        <v>4.2469171383319865E-4</v>
      </c>
      <c r="G5">
        <f>Residual!H237</f>
        <v>4.0570466265668951E-4</v>
      </c>
      <c r="H5">
        <f>Residual!I237</f>
        <v>2.771212741568749E-4</v>
      </c>
      <c r="I5">
        <f>Residual!J237</f>
        <v>3.4090892981237408E-4</v>
      </c>
      <c r="J5">
        <f>Residual!K237</f>
        <v>6.5830961569040343E-4</v>
      </c>
      <c r="K5">
        <f>Residual!L237</f>
        <v>1.6117920343695154E-4</v>
      </c>
      <c r="L5">
        <f>Residual!M237</f>
        <v>1.1672786309579893E-3</v>
      </c>
      <c r="M5">
        <f>Residual!N237</f>
        <v>1.5715617925685648E-3</v>
      </c>
      <c r="N5">
        <f>Residual!O237</f>
        <v>3.5356954961746198E-4</v>
      </c>
      <c r="O5">
        <f>Residual!P237</f>
        <v>6.9118804258125961E-4</v>
      </c>
      <c r="P5">
        <f>Residual!Q237</f>
        <v>7.5964921666167497E-4</v>
      </c>
      <c r="Q5">
        <f>Residual!R237</f>
        <v>6.9337092959924059E-4</v>
      </c>
      <c r="R5">
        <f>Residual!S237</f>
        <v>4.6143576036867466E-4</v>
      </c>
      <c r="S5">
        <f>Residual!T237</f>
        <v>8.8229660503151791E-4</v>
      </c>
      <c r="T5">
        <f>Residual!U237</f>
        <v>9.7586417839671039E-4</v>
      </c>
      <c r="U5">
        <f>Residual!V237</f>
        <v>4.9547744103767288E-4</v>
      </c>
      <c r="V5">
        <f>Residual!W237</f>
        <v>1.4958832458614232E-3</v>
      </c>
      <c r="W5">
        <f>Residual!X237</f>
        <v>6.9030359780582933E-4</v>
      </c>
      <c r="X5">
        <f>Residual!Y237</f>
        <v>6.5993453906578489E-4</v>
      </c>
      <c r="Y5">
        <f>Residual!Z237</f>
        <v>5.2189603219520851E-4</v>
      </c>
      <c r="Z5">
        <f>Residual!AA237</f>
        <v>6.5765704471692067E-4</v>
      </c>
      <c r="AA5">
        <f>Residual!AB237</f>
        <v>7.9167948572915947E-4</v>
      </c>
      <c r="AB5">
        <f>Residual!AC237</f>
        <v>5.6759505191845722E-4</v>
      </c>
      <c r="AC5">
        <f>Residual!AD237</f>
        <v>3.0107253483460997E-4</v>
      </c>
      <c r="AD5">
        <f>Residual!AE237</f>
        <v>3.3577370486424964E-4</v>
      </c>
      <c r="AE5">
        <f>Residual!AF237</f>
        <v>16098.292124417412</v>
      </c>
    </row>
    <row r="6" spans="1:31" x14ac:dyDescent="0.3">
      <c r="A6" t="s">
        <v>195</v>
      </c>
      <c r="B6">
        <f>(B2-'Bi rate'!$G$1)/Perhitungan!B3</f>
        <v>-9.8866758469735904E-4</v>
      </c>
      <c r="C6">
        <f>(C2-'Bi rate'!$G$1)/Perhitungan!C3</f>
        <v>3.5150210038302742E-4</v>
      </c>
      <c r="D6">
        <f>(D2-'Bi rate'!$G$1)/Perhitungan!D3</f>
        <v>4.2109482967465548E-4</v>
      </c>
      <c r="E6">
        <f>(E2-'Bi rate'!$G$1)/Perhitungan!E3</f>
        <v>2.5676526718106378E-4</v>
      </c>
      <c r="F6">
        <f>(F2-'Bi rate'!$G$1)/Perhitungan!F3</f>
        <v>1.9977713234971724E-3</v>
      </c>
      <c r="G6">
        <f>(G2-'Bi rate'!$G$1)/Perhitungan!G3</f>
        <v>2.403809368394687E-3</v>
      </c>
      <c r="H6">
        <f>(H2-'Bi rate'!$G$1)/Perhitungan!H3</f>
        <v>-2.9757047849462647E-3</v>
      </c>
      <c r="I6">
        <f>(I2-'Bi rate'!$G$1)/Perhitungan!I3</f>
        <v>-1.8197511431113718E-3</v>
      </c>
      <c r="J6">
        <f>(J2-'Bi rate'!$G$1)/Perhitungan!J3</f>
        <v>8.7165716230449284E-4</v>
      </c>
      <c r="K6">
        <f>(K2-'Bi rate'!$G$1)/Perhitungan!K3</f>
        <v>-7.6070486374279112E-4</v>
      </c>
      <c r="L6">
        <f>(L2-'Bi rate'!$G$1)/Perhitungan!L3</f>
        <v>4.9913949275807515E-3</v>
      </c>
      <c r="M6">
        <f>(M2-'Bi rate'!$G$1)/Perhitungan!M3</f>
        <v>3.3095966952602896E-3</v>
      </c>
      <c r="N6">
        <f>(N2-'Bi rate'!$G$1)/Perhitungan!N3</f>
        <v>3.8858564313975002E-3</v>
      </c>
      <c r="O6">
        <f>(O2-'Bi rate'!$G$1)/Perhitungan!O3</f>
        <v>-1.6317438737444744E-4</v>
      </c>
      <c r="P6">
        <f>(P2-'Bi rate'!$G$1)/Perhitungan!P3</f>
        <v>1.7512552072548719E-3</v>
      </c>
      <c r="Q6">
        <f>(Q2-'Bi rate'!$G$1)/Perhitungan!Q3</f>
        <v>3.2673030167810053E-4</v>
      </c>
      <c r="R6">
        <f>(R2-'Bi rate'!$G$1)/Perhitungan!R3</f>
        <v>-1.0134514855144187E-4</v>
      </c>
      <c r="S6">
        <f>(S2-'Bi rate'!$G$1)/Perhitungan!S3</f>
        <v>1.7944244863652501E-3</v>
      </c>
      <c r="T6">
        <f>(T2-'Bi rate'!$G$1)/Perhitungan!T3</f>
        <v>1.2595782149861492E-3</v>
      </c>
      <c r="U6">
        <f>(U2-'Bi rate'!$G$1)/Perhitungan!U3</f>
        <v>1.3340547244976781E-3</v>
      </c>
      <c r="V6">
        <f>(V2-'Bi rate'!$G$1)/Perhitungan!V3</f>
        <v>2.4722742107335044E-3</v>
      </c>
      <c r="W6">
        <f>(W2-'Bi rate'!$G$1)/Perhitungan!W3</f>
        <v>4.6006788169398885E-4</v>
      </c>
      <c r="X6">
        <f>(X2-'Bi rate'!$G$1)/Perhitungan!X3</f>
        <v>-1.5548946410388483E-3</v>
      </c>
      <c r="Y6">
        <f>(Y2-'Bi rate'!$G$1)/Perhitungan!Y3</f>
        <v>-2.6142699472289986E-3</v>
      </c>
      <c r="Z6">
        <f>(Z2-'Bi rate'!$G$1)/Perhitungan!Z3</f>
        <v>4.2017865189931194E-5</v>
      </c>
      <c r="AA6">
        <f>(AA2-'Bi rate'!$G$1)/Perhitungan!AA3</f>
        <v>-7.7559086255295988E-4</v>
      </c>
      <c r="AB6">
        <f>(AB2-'Bi rate'!$G$1)/Perhitungan!AB3</f>
        <v>4.7860624446532756E-4</v>
      </c>
      <c r="AC6">
        <f>(AC2-'Bi rate'!$G$1)/Perhitungan!AC3</f>
        <v>-2.7068219299729752E-5</v>
      </c>
      <c r="AD6">
        <f>(AD2-'Bi rate'!$G$1)/Perhitungan!AD3</f>
        <v>-1.1418814733198423E-4</v>
      </c>
      <c r="AE6">
        <f>(AE2-'Bi rate'!$G$1)/Perhitungan!AE3</f>
        <v>-0.59319275493930979</v>
      </c>
    </row>
    <row r="7" spans="1:31" x14ac:dyDescent="0.3">
      <c r="A7" t="s">
        <v>197</v>
      </c>
      <c r="E7" s="13" t="s">
        <v>194</v>
      </c>
      <c r="F7" s="13">
        <v>5.1538461538461533E-2</v>
      </c>
      <c r="G7" s="13">
        <v>1.412012644889357E-4</v>
      </c>
      <c r="I7" s="14" t="s">
        <v>200</v>
      </c>
      <c r="J7" s="14">
        <f>_xlfn.VAR.S(Return!B3:B236)</f>
        <v>1.6798196868512735E-4</v>
      </c>
    </row>
    <row r="8" spans="1:31" x14ac:dyDescent="0.3">
      <c r="B8" t="s">
        <v>154</v>
      </c>
      <c r="C8" t="s">
        <v>156</v>
      </c>
      <c r="D8" t="s">
        <v>155</v>
      </c>
      <c r="E8" t="s">
        <v>164</v>
      </c>
      <c r="F8" t="s">
        <v>149</v>
      </c>
      <c r="G8" t="s">
        <v>148</v>
      </c>
      <c r="H8" t="s">
        <v>161</v>
      </c>
      <c r="I8" t="s">
        <v>158</v>
      </c>
      <c r="J8" t="s">
        <v>163</v>
      </c>
      <c r="K8" t="s">
        <v>162</v>
      </c>
      <c r="L8" t="s">
        <v>152</v>
      </c>
      <c r="M8" t="s">
        <v>170</v>
      </c>
      <c r="N8" t="s">
        <v>165</v>
      </c>
      <c r="O8" t="s">
        <v>146</v>
      </c>
      <c r="P8" t="s">
        <v>145</v>
      </c>
      <c r="Q8" t="s">
        <v>159</v>
      </c>
      <c r="R8" t="s">
        <v>147</v>
      </c>
      <c r="S8" t="s">
        <v>168</v>
      </c>
      <c r="T8" t="s">
        <v>171</v>
      </c>
      <c r="U8" t="s">
        <v>160</v>
      </c>
      <c r="V8" t="s">
        <v>172</v>
      </c>
      <c r="W8" t="s">
        <v>157</v>
      </c>
      <c r="X8" t="s">
        <v>153</v>
      </c>
      <c r="Y8" t="s">
        <v>169</v>
      </c>
      <c r="Z8" t="s">
        <v>144</v>
      </c>
      <c r="AA8" t="s">
        <v>166</v>
      </c>
      <c r="AB8" t="s">
        <v>151</v>
      </c>
      <c r="AC8" t="s">
        <v>167</v>
      </c>
      <c r="AD8" t="s">
        <v>150</v>
      </c>
      <c r="AE8" t="s">
        <v>173</v>
      </c>
    </row>
    <row r="9" spans="1:31" x14ac:dyDescent="0.3">
      <c r="A9" t="s">
        <v>174</v>
      </c>
      <c r="B9">
        <v>4.9841241762190961E-3</v>
      </c>
      <c r="C9">
        <v>2.1354052029198245E-3</v>
      </c>
      <c r="D9">
        <v>4.7976694376273901E-3</v>
      </c>
      <c r="E9">
        <v>4.8328193432403705E-3</v>
      </c>
      <c r="F9">
        <v>1.7584401927776649E-3</v>
      </c>
      <c r="G9">
        <v>1.9409043196337602E-3</v>
      </c>
      <c r="H9">
        <v>1.1667438386748082E-3</v>
      </c>
      <c r="I9">
        <v>2.0035910416420629E-3</v>
      </c>
      <c r="J9">
        <v>1.3657830323195663E-3</v>
      </c>
      <c r="K9">
        <v>1.5213208974646638E-3</v>
      </c>
      <c r="L9">
        <v>9.6174557178124742E-4</v>
      </c>
      <c r="M9">
        <v>5.5395308326761778E-4</v>
      </c>
      <c r="N9">
        <v>6.2971074282149151E-4</v>
      </c>
      <c r="O9">
        <v>5.5330874503573164E-4</v>
      </c>
      <c r="P9">
        <v>4.8686263279544898E-4</v>
      </c>
      <c r="Q9">
        <v>3.3250642416595078E-4</v>
      </c>
      <c r="R9">
        <v>3.5868598316680315E-4</v>
      </c>
      <c r="S9">
        <v>1.9005203459781226E-4</v>
      </c>
      <c r="T9">
        <v>1.1522811253110511E-4</v>
      </c>
      <c r="U9">
        <v>8.6067567005272569E-5</v>
      </c>
      <c r="V9">
        <v>5.4079639591939593E-5</v>
      </c>
      <c r="W9">
        <v>-2.3147396466887704E-6</v>
      </c>
      <c r="X9">
        <v>-1.3514425199843993E-4</v>
      </c>
      <c r="Y9">
        <v>-6.7548317994470242E-4</v>
      </c>
      <c r="Z9">
        <v>-7.0805068606590818E-4</v>
      </c>
      <c r="AA9">
        <v>-1.0966733111461451E-3</v>
      </c>
      <c r="AB9">
        <v>-3.8154611965553707E-4</v>
      </c>
      <c r="AC9">
        <v>-1.8885036357405387E-3</v>
      </c>
      <c r="AD9">
        <v>-1.1199525956392634E-3</v>
      </c>
      <c r="AE9">
        <v>16.678400088834685</v>
      </c>
    </row>
    <row r="10" spans="1:31" x14ac:dyDescent="0.3">
      <c r="A10" t="s">
        <v>175</v>
      </c>
      <c r="B10">
        <v>0.97025440422872877</v>
      </c>
      <c r="C10">
        <v>0.51319547534433696</v>
      </c>
      <c r="D10">
        <v>1.4069593977438504</v>
      </c>
      <c r="E10">
        <v>1.8976932487434184</v>
      </c>
      <c r="F10">
        <v>0.67278168957663831</v>
      </c>
      <c r="G10">
        <v>0.90085538518711838</v>
      </c>
      <c r="H10">
        <v>0.57151615015195811</v>
      </c>
      <c r="I10">
        <v>1.0634599511469611</v>
      </c>
      <c r="J10">
        <v>0.91793968069168363</v>
      </c>
      <c r="K10">
        <v>1.0956998275735537</v>
      </c>
      <c r="L10">
        <v>0.94136128603928559</v>
      </c>
      <c r="M10">
        <v>0.86240374744751935</v>
      </c>
      <c r="N10">
        <v>1.061820435136319</v>
      </c>
      <c r="O10">
        <v>0.97865718480845909</v>
      </c>
      <c r="P10">
        <v>0.9833835073242817</v>
      </c>
      <c r="Q10">
        <v>0.5855139810861244</v>
      </c>
      <c r="R10">
        <v>0.84701767129782091</v>
      </c>
      <c r="S10">
        <v>1.1626190404500309</v>
      </c>
      <c r="T10">
        <v>0.95954416765383233</v>
      </c>
      <c r="U10">
        <v>0.5440191096634267</v>
      </c>
      <c r="V10">
        <v>0.76296556983014685</v>
      </c>
      <c r="W10">
        <v>0.87952531304002057</v>
      </c>
      <c r="X10">
        <v>0.36327560090481209</v>
      </c>
      <c r="Y10">
        <v>1.0529835817629585</v>
      </c>
      <c r="Z10">
        <v>0.85898634050473932</v>
      </c>
      <c r="AA10">
        <v>0.79611476106705104</v>
      </c>
      <c r="AB10">
        <v>0.28726311623615219</v>
      </c>
      <c r="AC10">
        <v>0.77639453507120215</v>
      </c>
      <c r="AD10">
        <v>0.4238168606335635</v>
      </c>
      <c r="AE10">
        <v>-28.116086632373932</v>
      </c>
    </row>
    <row r="11" spans="1:31" x14ac:dyDescent="0.3">
      <c r="A11" t="s">
        <v>176</v>
      </c>
      <c r="B11">
        <v>5.1152484819267799E-3</v>
      </c>
      <c r="C11">
        <v>-3.2673704466836158E-4</v>
      </c>
      <c r="D11">
        <v>-2.2147909116263936E-3</v>
      </c>
      <c r="E11">
        <v>2.2409821035592158E-3</v>
      </c>
      <c r="F11">
        <v>4.5263530530786802E-4</v>
      </c>
      <c r="G11">
        <v>1.6177801201068096E-3</v>
      </c>
      <c r="H11">
        <v>1.1175548341270092E-3</v>
      </c>
      <c r="I11">
        <v>2.0060526745536485E-3</v>
      </c>
      <c r="J11">
        <v>-3.0697786528732871E-5</v>
      </c>
      <c r="K11">
        <v>2.4291987460617033E-4</v>
      </c>
      <c r="L11">
        <v>1.3209183176634829E-3</v>
      </c>
      <c r="M11">
        <v>1.136492308989696E-3</v>
      </c>
      <c r="N11">
        <v>-4.5018755951532182E-3</v>
      </c>
      <c r="O11">
        <v>7.6837131435702989E-5</v>
      </c>
      <c r="P11">
        <v>1.1831479998223055E-3</v>
      </c>
      <c r="Q11">
        <v>-8.4062414309438822E-4</v>
      </c>
      <c r="R11">
        <v>-1.0997630156208197E-4</v>
      </c>
      <c r="S11">
        <v>2.3856623194688726E-3</v>
      </c>
      <c r="T11">
        <v>-4.1631433767219531E-4</v>
      </c>
      <c r="U11">
        <v>-9.482228182685769E-5</v>
      </c>
      <c r="V11">
        <v>-3.3835442945807295E-5</v>
      </c>
      <c r="W11">
        <v>-1.8804576692120361E-3</v>
      </c>
      <c r="X11">
        <v>-4.8452295250481469E-4</v>
      </c>
      <c r="Y11">
        <v>-8.7560485205684445E-4</v>
      </c>
      <c r="Z11">
        <v>-1.6391339000594095E-3</v>
      </c>
      <c r="AA11">
        <v>-1.5979953287088319E-3</v>
      </c>
      <c r="AB11">
        <v>-5.9825046995435E-5</v>
      </c>
      <c r="AC11">
        <v>-1.0370524702082314E-3</v>
      </c>
      <c r="AD11">
        <v>-1.8652091977541716E-3</v>
      </c>
      <c r="AE11">
        <v>16.679920596666499</v>
      </c>
    </row>
    <row r="12" spans="1:31" x14ac:dyDescent="0.3">
      <c r="A12" t="s">
        <v>199</v>
      </c>
      <c r="B12">
        <v>1.1672786309579893E-3</v>
      </c>
      <c r="C12">
        <v>3.5356954961746198E-4</v>
      </c>
      <c r="D12">
        <v>1.5715617925685648E-3</v>
      </c>
      <c r="E12">
        <v>1.4958832458614232E-3</v>
      </c>
      <c r="F12">
        <v>4.0570466265668951E-4</v>
      </c>
      <c r="G12">
        <v>4.2469171383319865E-4</v>
      </c>
      <c r="H12">
        <v>8.8229660503151791E-4</v>
      </c>
      <c r="I12">
        <v>7.5964921666167497E-4</v>
      </c>
      <c r="J12">
        <v>4.9547744103767288E-4</v>
      </c>
      <c r="K12">
        <v>9.7586417839671039E-4</v>
      </c>
      <c r="L12">
        <v>6.5830961569040343E-4</v>
      </c>
      <c r="M12">
        <v>5.6759505191845722E-4</v>
      </c>
      <c r="N12">
        <v>6.9030359780582933E-4</v>
      </c>
      <c r="O12">
        <v>3.1695056416523274E-4</v>
      </c>
      <c r="P12">
        <v>2.7104768315945762E-4</v>
      </c>
      <c r="Q12">
        <v>6.9337092959924059E-4</v>
      </c>
      <c r="R12">
        <v>3.2684289459084328E-4</v>
      </c>
      <c r="S12">
        <v>6.5765704471692067E-4</v>
      </c>
      <c r="T12">
        <v>3.0107253483460997E-4</v>
      </c>
      <c r="U12">
        <v>4.6143576036867466E-4</v>
      </c>
      <c r="V12">
        <v>3.3577370486424964E-4</v>
      </c>
      <c r="W12">
        <v>6.9118804258125961E-4</v>
      </c>
      <c r="X12">
        <v>1.6117920343695154E-4</v>
      </c>
      <c r="Y12">
        <v>7.9167948572915947E-4</v>
      </c>
      <c r="Z12">
        <v>2.0465724606022348E-4</v>
      </c>
      <c r="AA12">
        <v>6.5993453906578489E-4</v>
      </c>
      <c r="AB12">
        <v>3.4090892981237408E-4</v>
      </c>
      <c r="AC12">
        <v>5.2189603219520851E-4</v>
      </c>
      <c r="AD12">
        <v>2.771212741568749E-4</v>
      </c>
      <c r="AE12">
        <v>16098.292124417412</v>
      </c>
    </row>
    <row r="13" spans="1:31" x14ac:dyDescent="0.3">
      <c r="A13" t="s">
        <v>195</v>
      </c>
      <c r="B13">
        <v>4.9913949275807515E-3</v>
      </c>
      <c r="C13">
        <v>3.8858564313975002E-3</v>
      </c>
      <c r="D13">
        <v>3.3095966952602896E-3</v>
      </c>
      <c r="E13">
        <v>2.4722742107335044E-3</v>
      </c>
      <c r="F13">
        <v>2.403809368394687E-3</v>
      </c>
      <c r="G13">
        <v>1.9977713234971724E-3</v>
      </c>
      <c r="H13">
        <v>1.7944244863652501E-3</v>
      </c>
      <c r="I13">
        <v>1.7512552072548719E-3</v>
      </c>
      <c r="J13">
        <v>1.3340547244976781E-3</v>
      </c>
      <c r="K13">
        <v>1.2595782149861492E-3</v>
      </c>
      <c r="L13">
        <v>8.7165716230449284E-4</v>
      </c>
      <c r="M13">
        <v>4.7860624446532756E-4</v>
      </c>
      <c r="N13">
        <v>4.6006788169398885E-4</v>
      </c>
      <c r="O13">
        <v>4.2109482967465548E-4</v>
      </c>
      <c r="P13">
        <v>3.5150210038302742E-4</v>
      </c>
      <c r="Q13">
        <v>3.2673030167810053E-4</v>
      </c>
      <c r="R13">
        <v>2.5676526718106378E-4</v>
      </c>
      <c r="S13">
        <v>4.2017865189931194E-5</v>
      </c>
      <c r="T13">
        <v>-2.7068219299729752E-5</v>
      </c>
      <c r="U13">
        <v>-1.0134514855144187E-4</v>
      </c>
      <c r="V13">
        <v>-1.1418814733198423E-4</v>
      </c>
      <c r="W13">
        <v>-1.6317438737444744E-4</v>
      </c>
      <c r="X13">
        <v>-7.6070486374279112E-4</v>
      </c>
      <c r="Y13">
        <v>-7.7559086255295988E-4</v>
      </c>
      <c r="Z13">
        <v>-9.8866758469735904E-4</v>
      </c>
      <c r="AA13">
        <v>-1.5548946410388483E-3</v>
      </c>
      <c r="AB13">
        <v>-1.8197511431113718E-3</v>
      </c>
      <c r="AC13">
        <v>-2.6142699472289986E-3</v>
      </c>
      <c r="AD13">
        <v>-2.9757047849462647E-3</v>
      </c>
      <c r="AE13">
        <v>-0.59319275493930979</v>
      </c>
    </row>
    <row r="14" spans="1:31" x14ac:dyDescent="0.3">
      <c r="A14" t="s">
        <v>196</v>
      </c>
      <c r="B14">
        <f>B13*(B10^2)/B12</f>
        <v>4.0254889962219487</v>
      </c>
      <c r="C14">
        <f t="shared" ref="C14:AE14" si="0">C13*(C10^2)/C12</f>
        <v>2.8945265202386783</v>
      </c>
      <c r="D14">
        <f t="shared" si="0"/>
        <v>4.1687585480075597</v>
      </c>
      <c r="E14">
        <f t="shared" si="0"/>
        <v>5.9518361331750302</v>
      </c>
      <c r="F14">
        <f t="shared" si="0"/>
        <v>2.6818738820951595</v>
      </c>
      <c r="G14">
        <f t="shared" si="0"/>
        <v>3.8175272466033876</v>
      </c>
      <c r="H14">
        <f t="shared" si="0"/>
        <v>0.6643051106319301</v>
      </c>
      <c r="I14">
        <f t="shared" si="0"/>
        <v>2.6072256746760449</v>
      </c>
      <c r="J14">
        <f t="shared" si="0"/>
        <v>2.2687050990437281</v>
      </c>
      <c r="K14">
        <f t="shared" si="0"/>
        <v>1.549597656475961</v>
      </c>
      <c r="L14">
        <f t="shared" si="0"/>
        <v>1.1733516053154098</v>
      </c>
      <c r="M14">
        <f t="shared" si="0"/>
        <v>0.62713498660247846</v>
      </c>
      <c r="N14">
        <f t="shared" si="0"/>
        <v>0.75142205328211931</v>
      </c>
      <c r="O14">
        <f t="shared" si="0"/>
        <v>1.2724758758914194</v>
      </c>
      <c r="P14">
        <f t="shared" si="0"/>
        <v>1.2540881543407085</v>
      </c>
      <c r="Q14">
        <f t="shared" si="0"/>
        <v>0.16154678666662187</v>
      </c>
      <c r="R14">
        <f t="shared" si="0"/>
        <v>0.56361451635041859</v>
      </c>
      <c r="S14">
        <f t="shared" si="0"/>
        <v>8.6359350858430578E-2</v>
      </c>
      <c r="T14">
        <f t="shared" si="0"/>
        <v>-8.2778678202625897E-2</v>
      </c>
      <c r="U14">
        <f t="shared" si="0"/>
        <v>-6.5000998174807478E-2</v>
      </c>
      <c r="V14">
        <f t="shared" si="0"/>
        <v>-0.19796309008455115</v>
      </c>
      <c r="W14">
        <f t="shared" si="0"/>
        <v>-0.18262173343196722</v>
      </c>
      <c r="X14">
        <f t="shared" si="0"/>
        <v>-0.62284451975574784</v>
      </c>
      <c r="Y14">
        <f t="shared" si="0"/>
        <v>-1.0862417518344316</v>
      </c>
      <c r="Z14">
        <f t="shared" si="0"/>
        <v>-3.5644759187219393</v>
      </c>
      <c r="AA14">
        <f t="shared" si="0"/>
        <v>-1.49331511487151</v>
      </c>
      <c r="AB14">
        <f t="shared" si="0"/>
        <v>-0.44048726636842589</v>
      </c>
      <c r="AC14">
        <f t="shared" si="0"/>
        <v>-3.0194745603200461</v>
      </c>
      <c r="AD14">
        <f t="shared" si="0"/>
        <v>-1.9287522093047997</v>
      </c>
      <c r="AE14">
        <f t="shared" si="0"/>
        <v>-2.9129013695112969E-2</v>
      </c>
    </row>
    <row r="15" spans="1:31" x14ac:dyDescent="0.3">
      <c r="A15" t="s">
        <v>201</v>
      </c>
      <c r="B15">
        <f>(B10^2)/B12</f>
        <v>806.48577294063944</v>
      </c>
      <c r="C15">
        <f t="shared" ref="C15:AE15" si="1">(C10^2)/C12</f>
        <v>744.88766410695666</v>
      </c>
      <c r="D15">
        <f t="shared" si="1"/>
        <v>1259.5971448659243</v>
      </c>
      <c r="E15">
        <f t="shared" si="1"/>
        <v>2407.4336525191379</v>
      </c>
      <c r="F15">
        <f t="shared" si="1"/>
        <v>1115.6766078693545</v>
      </c>
      <c r="G15">
        <f t="shared" si="1"/>
        <v>1910.8930044709348</v>
      </c>
      <c r="H15">
        <f t="shared" si="1"/>
        <v>370.20510792155596</v>
      </c>
      <c r="I15">
        <f t="shared" si="1"/>
        <v>1488.7754017091113</v>
      </c>
      <c r="J15">
        <f t="shared" si="1"/>
        <v>1700.608721203683</v>
      </c>
      <c r="K15">
        <f t="shared" si="1"/>
        <v>1230.2512365165042</v>
      </c>
      <c r="L15">
        <f t="shared" si="1"/>
        <v>1346.1159456469045</v>
      </c>
      <c r="M15">
        <f t="shared" si="1"/>
        <v>1310.3359888316525</v>
      </c>
      <c r="N15">
        <f t="shared" si="1"/>
        <v>1633.2851806897547</v>
      </c>
      <c r="O15">
        <f t="shared" si="1"/>
        <v>3021.827356262138</v>
      </c>
      <c r="P15">
        <f t="shared" si="1"/>
        <v>3567.7970429597558</v>
      </c>
      <c r="Q15">
        <f t="shared" si="1"/>
        <v>494.43466319747756</v>
      </c>
      <c r="R15">
        <f t="shared" si="1"/>
        <v>2195.0574645011202</v>
      </c>
      <c r="S15">
        <f t="shared" si="1"/>
        <v>2055.3007742793416</v>
      </c>
      <c r="T15">
        <f t="shared" si="1"/>
        <v>3058.1501238041305</v>
      </c>
      <c r="U15">
        <f t="shared" si="1"/>
        <v>641.38243521162303</v>
      </c>
      <c r="V15">
        <f t="shared" si="1"/>
        <v>1733.6570800908464</v>
      </c>
      <c r="W15">
        <f t="shared" si="1"/>
        <v>1119.1813640022599</v>
      </c>
      <c r="X15">
        <f t="shared" si="1"/>
        <v>818.77289004207478</v>
      </c>
      <c r="Y15">
        <f t="shared" si="1"/>
        <v>1400.5344883240673</v>
      </c>
      <c r="Z15">
        <f t="shared" si="1"/>
        <v>3605.3330501505829</v>
      </c>
      <c r="AA15">
        <f t="shared" si="1"/>
        <v>960.39633519722213</v>
      </c>
      <c r="AB15">
        <f t="shared" si="1"/>
        <v>242.05906837090379</v>
      </c>
      <c r="AC15">
        <f t="shared" si="1"/>
        <v>1154.9972348955564</v>
      </c>
      <c r="AD15">
        <f t="shared" si="1"/>
        <v>648.16651808409449</v>
      </c>
      <c r="AE15">
        <f t="shared" si="1"/>
        <v>4.9105477861227743E-2</v>
      </c>
    </row>
    <row r="16" spans="1:31" x14ac:dyDescent="0.3">
      <c r="A16" t="s">
        <v>202</v>
      </c>
      <c r="B16">
        <f>B14</f>
        <v>4.0254889962219487</v>
      </c>
      <c r="C16">
        <f>B16+C14</f>
        <v>6.9200155164606265</v>
      </c>
      <c r="D16">
        <f>C16+D14</f>
        <v>11.088774064468186</v>
      </c>
      <c r="E16">
        <f t="shared" ref="E16:AE16" si="2">D16+E14</f>
        <v>17.040610197643218</v>
      </c>
      <c r="F16">
        <f t="shared" si="2"/>
        <v>19.722484079738379</v>
      </c>
      <c r="G16">
        <f t="shared" si="2"/>
        <v>23.540011326341766</v>
      </c>
      <c r="H16">
        <f t="shared" si="2"/>
        <v>24.204316436973695</v>
      </c>
      <c r="I16">
        <f t="shared" si="2"/>
        <v>26.811542111649739</v>
      </c>
      <c r="J16">
        <f t="shared" si="2"/>
        <v>29.080247210693468</v>
      </c>
      <c r="K16">
        <f t="shared" si="2"/>
        <v>30.629844867169428</v>
      </c>
      <c r="L16">
        <f t="shared" si="2"/>
        <v>31.803196472484839</v>
      </c>
      <c r="M16">
        <f t="shared" si="2"/>
        <v>32.43033145908732</v>
      </c>
      <c r="N16">
        <f t="shared" si="2"/>
        <v>33.18175351236944</v>
      </c>
      <c r="O16">
        <f t="shared" si="2"/>
        <v>34.454229388260856</v>
      </c>
      <c r="P16">
        <f t="shared" si="2"/>
        <v>35.708317542601563</v>
      </c>
      <c r="Q16">
        <f t="shared" si="2"/>
        <v>35.869864329268182</v>
      </c>
      <c r="R16">
        <f t="shared" si="2"/>
        <v>36.433478845618602</v>
      </c>
      <c r="S16">
        <f t="shared" si="2"/>
        <v>36.519838196477032</v>
      </c>
      <c r="T16">
        <f t="shared" si="2"/>
        <v>36.437059518274403</v>
      </c>
      <c r="U16">
        <f t="shared" si="2"/>
        <v>36.372058520099593</v>
      </c>
      <c r="V16">
        <f t="shared" si="2"/>
        <v>36.174095430015043</v>
      </c>
      <c r="W16">
        <f t="shared" si="2"/>
        <v>35.991473696583078</v>
      </c>
      <c r="X16">
        <f t="shared" si="2"/>
        <v>35.368629176827334</v>
      </c>
      <c r="Y16">
        <f t="shared" si="2"/>
        <v>34.282387424992905</v>
      </c>
      <c r="Z16">
        <f t="shared" si="2"/>
        <v>30.717911506270966</v>
      </c>
      <c r="AA16">
        <f t="shared" si="2"/>
        <v>29.224596391399455</v>
      </c>
      <c r="AB16">
        <f t="shared" si="2"/>
        <v>28.78410912503103</v>
      </c>
      <c r="AC16">
        <f t="shared" si="2"/>
        <v>25.764634564710985</v>
      </c>
      <c r="AD16">
        <f t="shared" si="2"/>
        <v>23.835882355406184</v>
      </c>
      <c r="AE16">
        <f t="shared" si="2"/>
        <v>23.806753341711072</v>
      </c>
    </row>
    <row r="17" spans="1:31" x14ac:dyDescent="0.3">
      <c r="A17" t="s">
        <v>203</v>
      </c>
      <c r="B17">
        <f>B15</f>
        <v>806.48577294063944</v>
      </c>
      <c r="C17">
        <f>B17+C15</f>
        <v>1551.3734370475961</v>
      </c>
      <c r="D17">
        <f t="shared" ref="D17:AE17" si="3">C17+D15</f>
        <v>2810.9705819135206</v>
      </c>
      <c r="E17">
        <f t="shared" si="3"/>
        <v>5218.404234432659</v>
      </c>
      <c r="F17">
        <f t="shared" si="3"/>
        <v>6334.0808423020135</v>
      </c>
      <c r="G17">
        <f t="shared" si="3"/>
        <v>8244.9738467729476</v>
      </c>
      <c r="H17">
        <f t="shared" si="3"/>
        <v>8615.1789546945038</v>
      </c>
      <c r="I17">
        <f t="shared" si="3"/>
        <v>10103.954356403616</v>
      </c>
      <c r="J17">
        <f t="shared" si="3"/>
        <v>11804.563077607299</v>
      </c>
      <c r="K17">
        <f t="shared" si="3"/>
        <v>13034.814314123803</v>
      </c>
      <c r="L17">
        <f t="shared" si="3"/>
        <v>14380.930259770708</v>
      </c>
      <c r="M17">
        <f t="shared" si="3"/>
        <v>15691.26624860236</v>
      </c>
      <c r="N17">
        <f t="shared" si="3"/>
        <v>17324.551429292114</v>
      </c>
      <c r="O17">
        <f t="shared" si="3"/>
        <v>20346.378785554254</v>
      </c>
      <c r="P17">
        <f t="shared" si="3"/>
        <v>23914.175828514009</v>
      </c>
      <c r="Q17">
        <f t="shared" si="3"/>
        <v>24408.610491711486</v>
      </c>
      <c r="R17">
        <f t="shared" si="3"/>
        <v>26603.667956212608</v>
      </c>
      <c r="S17">
        <f t="shared" si="3"/>
        <v>28658.96873049195</v>
      </c>
      <c r="T17">
        <f t="shared" si="3"/>
        <v>31717.118854296081</v>
      </c>
      <c r="U17">
        <f t="shared" si="3"/>
        <v>32358.501289507705</v>
      </c>
      <c r="V17">
        <f t="shared" si="3"/>
        <v>34092.158369598554</v>
      </c>
      <c r="W17">
        <f t="shared" si="3"/>
        <v>35211.339733600813</v>
      </c>
      <c r="X17">
        <f t="shared" si="3"/>
        <v>36030.11262364289</v>
      </c>
      <c r="Y17">
        <f t="shared" si="3"/>
        <v>37430.647111966959</v>
      </c>
      <c r="Z17">
        <f t="shared" si="3"/>
        <v>41035.980162117543</v>
      </c>
      <c r="AA17">
        <f t="shared" si="3"/>
        <v>41996.376497314763</v>
      </c>
      <c r="AB17">
        <f t="shared" si="3"/>
        <v>42238.435565685664</v>
      </c>
      <c r="AC17">
        <f t="shared" si="3"/>
        <v>43393.43280058122</v>
      </c>
      <c r="AD17">
        <f t="shared" si="3"/>
        <v>44041.599318665314</v>
      </c>
      <c r="AE17">
        <f t="shared" si="3"/>
        <v>44041.648424143175</v>
      </c>
    </row>
    <row r="18" spans="1:31" x14ac:dyDescent="0.3">
      <c r="A18" t="s">
        <v>204</v>
      </c>
      <c r="B18">
        <f>($J$7*B16)/(1+$J$7*B17)</f>
        <v>5.9553008749282672E-4</v>
      </c>
      <c r="C18">
        <f t="shared" ref="C18:AE18" si="4">($J$7*C16)/(1+$J$7*C17)</f>
        <v>9.2212857441826483E-4</v>
      </c>
      <c r="D18">
        <f t="shared" si="4"/>
        <v>1.2652654182599076E-3</v>
      </c>
      <c r="E18">
        <f t="shared" si="4"/>
        <v>1.5253749221757222E-3</v>
      </c>
      <c r="F18">
        <f t="shared" si="4"/>
        <v>1.6051373319498942E-3</v>
      </c>
      <c r="G18">
        <f t="shared" si="4"/>
        <v>1.6579815268346957E-3</v>
      </c>
      <c r="H18">
        <f t="shared" si="4"/>
        <v>1.6614487969558674E-3</v>
      </c>
      <c r="I18">
        <f t="shared" si="4"/>
        <v>1.6697754949099215E-3</v>
      </c>
      <c r="J18">
        <f t="shared" si="4"/>
        <v>1.6376241784139696E-3</v>
      </c>
      <c r="K18">
        <f t="shared" si="4"/>
        <v>1.6131299939232174E-3</v>
      </c>
      <c r="L18">
        <f t="shared" si="4"/>
        <v>1.5640441844876828E-3</v>
      </c>
      <c r="M18">
        <f t="shared" si="4"/>
        <v>1.4983322276396834E-3</v>
      </c>
      <c r="N18">
        <f t="shared" si="4"/>
        <v>1.4254817679876135E-3</v>
      </c>
      <c r="O18">
        <f t="shared" si="4"/>
        <v>1.3100766986770854E-3</v>
      </c>
      <c r="P18">
        <f t="shared" si="4"/>
        <v>1.1955698112548758E-3</v>
      </c>
      <c r="Q18">
        <f t="shared" si="4"/>
        <v>1.1814208882572599E-3</v>
      </c>
      <c r="R18">
        <f t="shared" si="4"/>
        <v>1.1190781759703148E-3</v>
      </c>
      <c r="S18">
        <f t="shared" si="4"/>
        <v>1.0551210622878867E-3</v>
      </c>
      <c r="T18">
        <f t="shared" si="4"/>
        <v>9.6726640084582164E-4</v>
      </c>
      <c r="U18">
        <f t="shared" si="4"/>
        <v>9.4937651663277946E-4</v>
      </c>
      <c r="V18">
        <f t="shared" si="4"/>
        <v>9.033321115344225E-4</v>
      </c>
      <c r="W18">
        <f t="shared" si="4"/>
        <v>8.74335809655596E-4</v>
      </c>
      <c r="X18">
        <f t="shared" si="4"/>
        <v>8.4244855166690441E-4</v>
      </c>
      <c r="Y18">
        <f t="shared" si="4"/>
        <v>7.9021414734116663E-4</v>
      </c>
      <c r="Z18">
        <f t="shared" si="4"/>
        <v>6.5372558418130768E-4</v>
      </c>
      <c r="AA18">
        <f t="shared" si="4"/>
        <v>6.0948830633934987E-4</v>
      </c>
      <c r="AB18">
        <f t="shared" si="4"/>
        <v>5.972865699012663E-4</v>
      </c>
      <c r="AC18">
        <f t="shared" si="4"/>
        <v>5.2211725792279543E-4</v>
      </c>
      <c r="AD18">
        <f t="shared" si="4"/>
        <v>4.7676895503558992E-4</v>
      </c>
      <c r="AE18">
        <f t="shared" si="4"/>
        <v>4.7618584434302796E-4</v>
      </c>
    </row>
    <row r="19" spans="1:31" x14ac:dyDescent="0.3">
      <c r="A19" t="s">
        <v>206</v>
      </c>
      <c r="B19" s="15" t="b">
        <f>B13&gt;=B18</f>
        <v>1</v>
      </c>
      <c r="C19" s="15" t="b">
        <f t="shared" ref="C19:AE19" si="5">C13&gt;=C18</f>
        <v>1</v>
      </c>
      <c r="D19" s="15" t="b">
        <f t="shared" si="5"/>
        <v>1</v>
      </c>
      <c r="E19" s="15" t="b">
        <f t="shared" si="5"/>
        <v>1</v>
      </c>
      <c r="F19" s="15" t="b">
        <f t="shared" si="5"/>
        <v>1</v>
      </c>
      <c r="G19" s="15" t="b">
        <f t="shared" si="5"/>
        <v>1</v>
      </c>
      <c r="H19" s="15" t="b">
        <f t="shared" si="5"/>
        <v>1</v>
      </c>
      <c r="I19" s="15" t="b">
        <f t="shared" si="5"/>
        <v>1</v>
      </c>
      <c r="J19" t="b">
        <f t="shared" si="5"/>
        <v>0</v>
      </c>
      <c r="K19" t="b">
        <f t="shared" si="5"/>
        <v>0</v>
      </c>
      <c r="L19" t="b">
        <f t="shared" si="5"/>
        <v>0</v>
      </c>
      <c r="M19" t="b">
        <f t="shared" si="5"/>
        <v>0</v>
      </c>
      <c r="N19" t="b">
        <f t="shared" si="5"/>
        <v>0</v>
      </c>
      <c r="O19" t="b">
        <f t="shared" si="5"/>
        <v>0</v>
      </c>
      <c r="P19" t="b">
        <f t="shared" si="5"/>
        <v>0</v>
      </c>
      <c r="Q19" t="b">
        <f t="shared" si="5"/>
        <v>0</v>
      </c>
      <c r="R19" t="b">
        <f t="shared" si="5"/>
        <v>0</v>
      </c>
      <c r="S19" t="b">
        <f t="shared" si="5"/>
        <v>0</v>
      </c>
      <c r="T19" t="b">
        <f t="shared" si="5"/>
        <v>0</v>
      </c>
      <c r="U19" t="b">
        <f t="shared" si="5"/>
        <v>0</v>
      </c>
      <c r="V19" t="b">
        <f t="shared" si="5"/>
        <v>0</v>
      </c>
      <c r="W19" t="b">
        <f t="shared" si="5"/>
        <v>0</v>
      </c>
      <c r="X19" t="b">
        <f t="shared" si="5"/>
        <v>0</v>
      </c>
      <c r="Y19" t="b">
        <f t="shared" si="5"/>
        <v>0</v>
      </c>
      <c r="Z19" t="b">
        <f t="shared" si="5"/>
        <v>0</v>
      </c>
      <c r="AA19" t="b">
        <f t="shared" si="5"/>
        <v>0</v>
      </c>
      <c r="AB19" t="b">
        <f t="shared" si="5"/>
        <v>0</v>
      </c>
      <c r="AC19" t="b">
        <f t="shared" si="5"/>
        <v>0</v>
      </c>
      <c r="AD19" t="b">
        <f t="shared" si="5"/>
        <v>0</v>
      </c>
      <c r="AE19" t="b">
        <f t="shared" si="5"/>
        <v>0</v>
      </c>
    </row>
    <row r="20" spans="1:31" x14ac:dyDescent="0.3">
      <c r="A20" t="s">
        <v>205</v>
      </c>
      <c r="I20">
        <f>I18</f>
        <v>1.6697754949099215E-3</v>
      </c>
    </row>
    <row r="21" spans="1:31" x14ac:dyDescent="0.3">
      <c r="A21" t="s">
        <v>207</v>
      </c>
      <c r="B21">
        <f>(B10/B12)*(B13 - $I$20)</f>
        <v>2.7609653755724364</v>
      </c>
      <c r="C21">
        <f t="shared" ref="C21:I21" si="6">(C10/C12)*(C13 - $I$20)</f>
        <v>3.2165742520325309</v>
      </c>
      <c r="D21">
        <f t="shared" si="6"/>
        <v>1.4680694449065985</v>
      </c>
      <c r="E21">
        <f t="shared" si="6"/>
        <v>1.0180583273173152</v>
      </c>
      <c r="F21">
        <f t="shared" si="6"/>
        <v>1.2172513531782108</v>
      </c>
      <c r="G21">
        <f t="shared" si="6"/>
        <v>0.69574422781836287</v>
      </c>
      <c r="H21">
        <f t="shared" si="6"/>
        <v>8.0742588502115922E-2</v>
      </c>
      <c r="I21">
        <f t="shared" si="6"/>
        <v>0.11406634668909406</v>
      </c>
    </row>
    <row r="22" spans="1:31" x14ac:dyDescent="0.3">
      <c r="A22" t="s">
        <v>208</v>
      </c>
      <c r="B22">
        <f>B21 / SUM($B$21:$I$21)</f>
        <v>0.2611713295467723</v>
      </c>
      <c r="C22">
        <f t="shared" ref="C22:I22" si="7">C21 / SUM($B$21:$I$21)</f>
        <v>0.30426928980051982</v>
      </c>
      <c r="D22">
        <f t="shared" si="7"/>
        <v>0.1388708645843679</v>
      </c>
      <c r="E22">
        <f t="shared" si="7"/>
        <v>9.6302419890542557E-2</v>
      </c>
      <c r="F22">
        <f t="shared" si="7"/>
        <v>0.11514492616056361</v>
      </c>
      <c r="G22">
        <f t="shared" si="7"/>
        <v>6.5813373326400471E-2</v>
      </c>
      <c r="H22">
        <f t="shared" si="7"/>
        <v>7.6377811097226821E-3</v>
      </c>
      <c r="I22">
        <f t="shared" si="7"/>
        <v>1.0790015581110706E-2</v>
      </c>
    </row>
    <row r="23" spans="1:31" x14ac:dyDescent="0.3">
      <c r="A23" t="s">
        <v>209</v>
      </c>
      <c r="B23">
        <f>SUM(B22:I22)</f>
        <v>1</v>
      </c>
    </row>
    <row r="27" spans="1:31" x14ac:dyDescent="0.3">
      <c r="A27" t="s">
        <v>218</v>
      </c>
      <c r="B27" t="s">
        <v>219</v>
      </c>
    </row>
    <row r="28" spans="1:31" x14ac:dyDescent="0.3">
      <c r="A28" t="s">
        <v>220</v>
      </c>
      <c r="B28" t="s">
        <v>221</v>
      </c>
    </row>
    <row r="29" spans="1:31" x14ac:dyDescent="0.3">
      <c r="A29" t="s">
        <v>222</v>
      </c>
      <c r="B29" t="s">
        <v>223</v>
      </c>
    </row>
    <row r="30" spans="1:31" x14ac:dyDescent="0.3">
      <c r="A30" t="s">
        <v>224</v>
      </c>
      <c r="B30" t="s">
        <v>225</v>
      </c>
    </row>
    <row r="31" spans="1:31" x14ac:dyDescent="0.3">
      <c r="A31" t="s">
        <v>226</v>
      </c>
      <c r="B31" t="s">
        <v>227</v>
      </c>
    </row>
    <row r="32" spans="1:31" x14ac:dyDescent="0.3">
      <c r="A32" t="s">
        <v>228</v>
      </c>
      <c r="B32" t="s">
        <v>229</v>
      </c>
    </row>
    <row r="33" spans="1:2" x14ac:dyDescent="0.3">
      <c r="A33" t="s">
        <v>230</v>
      </c>
      <c r="B33" t="s">
        <v>231</v>
      </c>
    </row>
    <row r="34" spans="1:2" x14ac:dyDescent="0.3">
      <c r="A34" t="s">
        <v>232</v>
      </c>
      <c r="B34" t="s">
        <v>233</v>
      </c>
    </row>
    <row r="36" spans="1:2" x14ac:dyDescent="0.3">
      <c r="B36" t="s">
        <v>234</v>
      </c>
    </row>
  </sheetData>
  <sortState xmlns:xlrd2="http://schemas.microsoft.com/office/spreadsheetml/2017/richdata2" columnSort="1" ref="B8:AE13">
    <sortCondition descending="1" ref="B13:AE1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B210-8C14-4DD1-8C7E-634FDD7493DA}">
  <dimension ref="A1:U236"/>
  <sheetViews>
    <sheetView topLeftCell="J1" workbookViewId="0">
      <selection activeCell="AB11" sqref="AB11"/>
    </sheetView>
  </sheetViews>
  <sheetFormatPr defaultRowHeight="14.4" x14ac:dyDescent="0.3"/>
  <cols>
    <col min="1" max="1" width="10.5546875" bestFit="1" customWidth="1"/>
  </cols>
  <sheetData>
    <row r="1" spans="1:21" x14ac:dyDescent="0.3">
      <c r="A1" t="s">
        <v>0</v>
      </c>
      <c r="B1" t="s">
        <v>154</v>
      </c>
      <c r="C1" t="s">
        <v>156</v>
      </c>
      <c r="D1" t="s">
        <v>155</v>
      </c>
      <c r="E1" t="s">
        <v>164</v>
      </c>
      <c r="F1" t="s">
        <v>149</v>
      </c>
      <c r="G1" t="s">
        <v>148</v>
      </c>
      <c r="H1" t="s">
        <v>161</v>
      </c>
      <c r="I1" t="s">
        <v>158</v>
      </c>
      <c r="J1" t="s">
        <v>210</v>
      </c>
      <c r="K1" t="s">
        <v>212</v>
      </c>
      <c r="N1" t="s">
        <v>154</v>
      </c>
      <c r="O1" t="s">
        <v>156</v>
      </c>
      <c r="P1" t="s">
        <v>155</v>
      </c>
      <c r="Q1" t="s">
        <v>164</v>
      </c>
      <c r="R1" t="s">
        <v>149</v>
      </c>
      <c r="S1" t="s">
        <v>148</v>
      </c>
      <c r="T1" t="s">
        <v>161</v>
      </c>
      <c r="U1" t="s">
        <v>158</v>
      </c>
    </row>
    <row r="2" spans="1:21" x14ac:dyDescent="0.3">
      <c r="A2" s="1">
        <v>45719</v>
      </c>
      <c r="M2" t="s">
        <v>208</v>
      </c>
      <c r="N2">
        <v>0.2611713295467723</v>
      </c>
      <c r="O2">
        <v>0.30426928980051982</v>
      </c>
      <c r="P2">
        <v>0.1388708645843679</v>
      </c>
      <c r="Q2">
        <v>9.6302419890542557E-2</v>
      </c>
      <c r="R2">
        <v>0.11514492616056361</v>
      </c>
      <c r="S2">
        <v>6.5813373326400471E-2</v>
      </c>
      <c r="T2">
        <v>7.6377811097226821E-3</v>
      </c>
      <c r="U2">
        <v>1.0790015581110706E-2</v>
      </c>
    </row>
    <row r="3" spans="1:21" x14ac:dyDescent="0.3">
      <c r="A3" s="2">
        <v>45750</v>
      </c>
      <c r="B3">
        <v>-2.8391167192429023E-2</v>
      </c>
      <c r="C3">
        <v>0</v>
      </c>
      <c r="D3">
        <v>-3.6065573770491806E-2</v>
      </c>
      <c r="E3">
        <v>-2.4390243902439025E-2</v>
      </c>
      <c r="F3">
        <v>2.136752136752137E-3</v>
      </c>
      <c r="G3">
        <v>-8.3333333333333332E-3</v>
      </c>
      <c r="H3">
        <v>0</v>
      </c>
      <c r="I3">
        <v>0</v>
      </c>
      <c r="J3">
        <f>B3*$N$2+C3*$O$2+D3*$P$2+E3*$Q$2+F3*$R$2+G3*$S$2+H3*$T$2+I3*$U$2</f>
        <v>-1.5074664414506569E-2</v>
      </c>
      <c r="K3">
        <f>(J3-$O$4)/$N$5</f>
        <v>-0.79156688058534419</v>
      </c>
    </row>
    <row r="4" spans="1:21" x14ac:dyDescent="0.3">
      <c r="A4" s="1">
        <v>45780</v>
      </c>
      <c r="B4">
        <v>5.1948051948051951E-2</v>
      </c>
      <c r="C4">
        <v>0</v>
      </c>
      <c r="D4">
        <v>6.8027210884353739E-3</v>
      </c>
      <c r="E4">
        <v>-6.2500000000000003E-3</v>
      </c>
      <c r="F4">
        <v>4.4776119402985072E-2</v>
      </c>
      <c r="G4">
        <v>2.9411764705882353E-2</v>
      </c>
      <c r="H4">
        <v>4.4554455445544552E-2</v>
      </c>
      <c r="I4">
        <v>2.2522522522522521E-2</v>
      </c>
      <c r="J4">
        <f t="shared" ref="J4:J67" si="0">B4*$N$2+C4*$O$2+D4*$P$2+E4*$Q$2+F4*$R$2+G4*$S$2+H4*$T$2+I4*$U$2</f>
        <v>2.1584897389688641E-2</v>
      </c>
      <c r="K4">
        <f t="shared" ref="K4:K67" si="1">(J4-$O$4)/$N$5</f>
        <v>1.1155539887208661</v>
      </c>
      <c r="M4" s="16" t="s">
        <v>194</v>
      </c>
      <c r="N4" s="16">
        <v>5.1538461538461533E-2</v>
      </c>
      <c r="O4" s="16">
        <v>1.412012644889357E-4</v>
      </c>
    </row>
    <row r="5" spans="1:21" x14ac:dyDescent="0.3">
      <c r="A5" s="2">
        <v>45811</v>
      </c>
      <c r="B5">
        <v>3.0864197530864196E-3</v>
      </c>
      <c r="C5">
        <v>-9.8684210526315784E-3</v>
      </c>
      <c r="D5">
        <v>-3.3783783783783786E-3</v>
      </c>
      <c r="E5">
        <v>2.5157232704402517E-2</v>
      </c>
      <c r="F5">
        <v>0</v>
      </c>
      <c r="G5">
        <v>-2.0408163265306121E-2</v>
      </c>
      <c r="H5">
        <v>9.4786729857819912E-3</v>
      </c>
      <c r="I5">
        <v>-8.8105726872246704E-3</v>
      </c>
      <c r="J5">
        <f t="shared" si="0"/>
        <v>-1.6088293087821288E-3</v>
      </c>
      <c r="K5">
        <f t="shared" si="1"/>
        <v>-9.1040908945813473E-2</v>
      </c>
      <c r="M5" t="s">
        <v>211</v>
      </c>
      <c r="N5">
        <f>_xlfn.STDEV.S(J3:J236)</f>
        <v>1.9222463764203661E-2</v>
      </c>
    </row>
    <row r="6" spans="1:21" x14ac:dyDescent="0.3">
      <c r="A6" s="1">
        <v>45841</v>
      </c>
      <c r="B6">
        <v>3.0769230769230769E-3</v>
      </c>
      <c r="C6">
        <v>3.3222591362126247E-3</v>
      </c>
      <c r="D6">
        <v>3.7288135593220341E-2</v>
      </c>
      <c r="E6">
        <v>6.1349693251533744E-3</v>
      </c>
      <c r="F6">
        <v>6.1224489795918364E-3</v>
      </c>
      <c r="G6">
        <v>4.1666666666666666E-3</v>
      </c>
      <c r="H6">
        <v>-4.6948356807511738E-3</v>
      </c>
      <c r="I6">
        <v>0</v>
      </c>
      <c r="J6">
        <f t="shared" si="0"/>
        <v>8.5268467366192494E-3</v>
      </c>
      <c r="K6">
        <f t="shared" si="1"/>
        <v>0.43624197059204128</v>
      </c>
      <c r="M6" t="s">
        <v>213</v>
      </c>
      <c r="N6" s="17">
        <f>AVERAGE(K3:K236)</f>
        <v>0.17181247305577177</v>
      </c>
    </row>
    <row r="7" spans="1:21" x14ac:dyDescent="0.3">
      <c r="A7" s="2">
        <v>45933</v>
      </c>
      <c r="B7">
        <v>-8.5889570552147243E-2</v>
      </c>
      <c r="C7">
        <v>-1.6556291390728478E-2</v>
      </c>
      <c r="D7">
        <v>-8.4967320261437912E-2</v>
      </c>
      <c r="E7">
        <v>-1.2195121951219513E-2</v>
      </c>
      <c r="F7">
        <v>-3.2454361054766734E-2</v>
      </c>
      <c r="G7">
        <v>-8.2987551867219917E-3</v>
      </c>
      <c r="H7">
        <v>2.8301886792452831E-2</v>
      </c>
      <c r="I7">
        <v>8.8888888888888889E-3</v>
      </c>
      <c r="J7">
        <f t="shared" si="0"/>
        <v>-4.4414418553943236E-2</v>
      </c>
      <c r="K7">
        <f t="shared" si="1"/>
        <v>-2.3178932921909974</v>
      </c>
      <c r="M7" t="s">
        <v>237</v>
      </c>
      <c r="N7" s="17">
        <f>AVERAGE(J3:J236)</f>
        <v>3.4438603020417245E-3</v>
      </c>
    </row>
    <row r="8" spans="1:21" x14ac:dyDescent="0.3">
      <c r="A8" s="1">
        <v>45964</v>
      </c>
      <c r="B8">
        <v>2.0134228187919462E-2</v>
      </c>
      <c r="C8">
        <v>-2.3569023569023569E-2</v>
      </c>
      <c r="D8">
        <v>-6.4285714285714279E-2</v>
      </c>
      <c r="E8">
        <v>-1.2345679012345678E-2</v>
      </c>
      <c r="F8">
        <v>6.2893081761006293E-3</v>
      </c>
      <c r="G8">
        <v>-8.368200836820083E-3</v>
      </c>
      <c r="H8">
        <v>-2.7522935779816515E-2</v>
      </c>
      <c r="I8">
        <v>-4.4052863436123352E-3</v>
      </c>
      <c r="J8">
        <f t="shared" si="0"/>
        <v>-1.2113483272238877E-2</v>
      </c>
      <c r="K8">
        <f t="shared" si="1"/>
        <v>-0.63751893030219453</v>
      </c>
      <c r="M8" t="s">
        <v>235</v>
      </c>
    </row>
    <row r="9" spans="1:21" x14ac:dyDescent="0.3">
      <c r="A9" s="2">
        <v>45994</v>
      </c>
      <c r="B9">
        <v>1.6447368421052631E-2</v>
      </c>
      <c r="C9">
        <v>4.1379310344827586E-2</v>
      </c>
      <c r="D9">
        <v>1.5267175572519083E-2</v>
      </c>
      <c r="E9">
        <v>-6.2500000000000003E-3</v>
      </c>
      <c r="F9">
        <v>2.0833333333333333E-3</v>
      </c>
      <c r="G9">
        <v>3.3755274261603373E-2</v>
      </c>
      <c r="H9">
        <v>0</v>
      </c>
      <c r="I9">
        <v>4.4247787610619468E-3</v>
      </c>
      <c r="J9">
        <f t="shared" si="0"/>
        <v>2.0913487357652354E-2</v>
      </c>
      <c r="K9">
        <f t="shared" si="1"/>
        <v>1.0806255820258515</v>
      </c>
      <c r="M9" t="s">
        <v>236</v>
      </c>
    </row>
    <row r="10" spans="1:21" x14ac:dyDescent="0.3">
      <c r="A10" s="3" t="s">
        <v>1</v>
      </c>
      <c r="B10">
        <v>-6.4724919093851136E-3</v>
      </c>
      <c r="C10">
        <v>2.9801324503311258E-2</v>
      </c>
      <c r="D10">
        <v>7.5187969924812026E-3</v>
      </c>
      <c r="E10">
        <v>6.2893081761006293E-3</v>
      </c>
      <c r="F10">
        <v>-1.6632016632016633E-2</v>
      </c>
      <c r="G10">
        <v>-8.1632653061224497E-3</v>
      </c>
      <c r="H10">
        <v>0</v>
      </c>
      <c r="I10">
        <v>-8.8105726872246704E-3</v>
      </c>
      <c r="J10">
        <f t="shared" si="0"/>
        <v>6.4796053893358095E-3</v>
      </c>
      <c r="K10">
        <f t="shared" si="1"/>
        <v>0.32973942375952547</v>
      </c>
    </row>
    <row r="11" spans="1:21" x14ac:dyDescent="0.3">
      <c r="A11" s="4" t="s">
        <v>2</v>
      </c>
      <c r="B11">
        <v>3.5830618892508145E-2</v>
      </c>
      <c r="C11">
        <v>-1.2861736334405145E-2</v>
      </c>
      <c r="D11">
        <v>0</v>
      </c>
      <c r="E11">
        <v>-2.5000000000000001E-2</v>
      </c>
      <c r="F11">
        <v>-2.3255813953488372E-2</v>
      </c>
      <c r="G11">
        <v>-4.11522633744856E-3</v>
      </c>
      <c r="H11">
        <v>-1.4150943396226415E-2</v>
      </c>
      <c r="I11">
        <v>4.4444444444444444E-3</v>
      </c>
      <c r="J11">
        <f t="shared" si="0"/>
        <v>2.818640620661458E-5</v>
      </c>
      <c r="K11">
        <f t="shared" si="1"/>
        <v>-5.8793118129206188E-3</v>
      </c>
      <c r="M11" t="s">
        <v>238</v>
      </c>
    </row>
    <row r="12" spans="1:21" x14ac:dyDescent="0.3">
      <c r="A12" s="3" t="s">
        <v>3</v>
      </c>
      <c r="B12">
        <v>4.0880503144654086E-2</v>
      </c>
      <c r="C12">
        <v>-6.5146579804560263E-3</v>
      </c>
      <c r="D12">
        <v>7.4626865671641784E-2</v>
      </c>
      <c r="E12">
        <v>-6.41025641025641E-3</v>
      </c>
      <c r="F12">
        <v>0</v>
      </c>
      <c r="G12">
        <v>0</v>
      </c>
      <c r="H12">
        <v>-1.9138755980861243E-2</v>
      </c>
      <c r="I12">
        <v>4.4247787610619468E-3</v>
      </c>
      <c r="J12">
        <f t="shared" si="0"/>
        <v>1.8342344957320105E-2</v>
      </c>
      <c r="K12">
        <f t="shared" si="1"/>
        <v>0.9468684095909492</v>
      </c>
    </row>
    <row r="13" spans="1:21" x14ac:dyDescent="0.3">
      <c r="A13" s="4" t="s">
        <v>4</v>
      </c>
      <c r="B13">
        <v>-1.2084592145015106E-2</v>
      </c>
      <c r="C13">
        <v>-9.8360655737704927E-3</v>
      </c>
      <c r="D13">
        <v>-1.3888888888888888E-2</v>
      </c>
      <c r="E13">
        <v>-0.15483870967741936</v>
      </c>
      <c r="F13">
        <v>6.4935064935064939E-3</v>
      </c>
      <c r="G13">
        <v>0</v>
      </c>
      <c r="H13">
        <v>-2.9268292682926831E-2</v>
      </c>
      <c r="I13">
        <v>-8.8105726872246704E-3</v>
      </c>
      <c r="J13">
        <f t="shared" si="0"/>
        <v>-2.2559982830710652E-2</v>
      </c>
      <c r="K13">
        <f t="shared" si="1"/>
        <v>-1.1809716160045023</v>
      </c>
    </row>
    <row r="14" spans="1:21" x14ac:dyDescent="0.3">
      <c r="A14" s="3" t="s">
        <v>5</v>
      </c>
      <c r="B14">
        <v>1.5290519877675841E-2</v>
      </c>
      <c r="C14">
        <v>-6.6225165562913907E-3</v>
      </c>
      <c r="D14">
        <v>-7.0422535211267607E-3</v>
      </c>
      <c r="E14">
        <v>2.2900763358778626E-2</v>
      </c>
      <c r="F14">
        <v>8.6021505376344086E-3</v>
      </c>
      <c r="G14">
        <v>4.1322314049586778E-3</v>
      </c>
      <c r="H14">
        <v>-2.5125628140703518E-3</v>
      </c>
      <c r="I14">
        <v>8.8888888888888889E-3</v>
      </c>
      <c r="J14">
        <f t="shared" si="0"/>
        <v>4.5450230117440159E-3</v>
      </c>
      <c r="K14">
        <f t="shared" si="1"/>
        <v>0.22909767453722235</v>
      </c>
    </row>
    <row r="15" spans="1:21" x14ac:dyDescent="0.3">
      <c r="A15" s="4" t="s">
        <v>6</v>
      </c>
      <c r="B15">
        <v>-9.0361445783132526E-3</v>
      </c>
      <c r="C15">
        <v>2.6666666666666668E-2</v>
      </c>
      <c r="D15">
        <v>1.4184397163120567E-2</v>
      </c>
      <c r="E15">
        <v>7.462686567164179E-3</v>
      </c>
      <c r="F15">
        <v>4.2643923240938165E-3</v>
      </c>
      <c r="G15">
        <v>-1.646090534979424E-2</v>
      </c>
      <c r="H15">
        <v>5.0377833753148613E-3</v>
      </c>
      <c r="I15">
        <v>0</v>
      </c>
      <c r="J15">
        <f t="shared" si="0"/>
        <v>7.8884930243718569E-3</v>
      </c>
      <c r="K15">
        <f t="shared" si="1"/>
        <v>0.40303323522503059</v>
      </c>
    </row>
    <row r="16" spans="1:21" x14ac:dyDescent="0.3">
      <c r="A16" s="3" t="s">
        <v>7</v>
      </c>
      <c r="B16">
        <v>-3.64741641337386E-2</v>
      </c>
      <c r="C16">
        <v>0</v>
      </c>
      <c r="D16">
        <v>-3.8461538461538464E-2</v>
      </c>
      <c r="E16">
        <v>3.7037037037037035E-2</v>
      </c>
      <c r="F16">
        <v>2.7600849256900213E-2</v>
      </c>
      <c r="G16">
        <v>-3.3472803347280332E-2</v>
      </c>
      <c r="H16">
        <v>-7.5187969924812026E-3</v>
      </c>
      <c r="I16">
        <v>-4.4052863436123352E-3</v>
      </c>
      <c r="J16">
        <f t="shared" si="0"/>
        <v>-1.0430257135317126E-2</v>
      </c>
      <c r="K16">
        <f t="shared" si="1"/>
        <v>-0.54995335298758008</v>
      </c>
    </row>
    <row r="17" spans="1:11" x14ac:dyDescent="0.3">
      <c r="A17" s="4" t="s">
        <v>8</v>
      </c>
      <c r="B17">
        <v>3.1545741324921135E-3</v>
      </c>
      <c r="C17">
        <v>-9.74025974025974E-3</v>
      </c>
      <c r="D17">
        <v>-2.181818181818182E-2</v>
      </c>
      <c r="E17">
        <v>-6.4285714285714279E-2</v>
      </c>
      <c r="F17">
        <v>-3.0991735537190084E-2</v>
      </c>
      <c r="G17">
        <v>8.658008658008658E-3</v>
      </c>
      <c r="H17">
        <v>0</v>
      </c>
      <c r="I17">
        <v>0</v>
      </c>
      <c r="J17">
        <f t="shared" si="0"/>
        <v>-1.4359285560105494E-2</v>
      </c>
      <c r="K17">
        <f t="shared" si="1"/>
        <v>-0.75435110724970844</v>
      </c>
    </row>
    <row r="18" spans="1:11" x14ac:dyDescent="0.3">
      <c r="A18" s="3" t="s">
        <v>9</v>
      </c>
      <c r="B18">
        <v>6.2893081761006293E-3</v>
      </c>
      <c r="C18">
        <v>-1.6393442622950821E-2</v>
      </c>
      <c r="D18">
        <v>3.7174721189591076E-3</v>
      </c>
      <c r="E18">
        <v>-1.5267175572519083E-2</v>
      </c>
      <c r="F18">
        <v>-8.5287846481876331E-3</v>
      </c>
      <c r="G18">
        <v>4.2918454935622317E-3</v>
      </c>
      <c r="H18">
        <v>-1.2626262626262626E-2</v>
      </c>
      <c r="I18">
        <v>-1.3274336283185841E-2</v>
      </c>
      <c r="J18">
        <f t="shared" si="0"/>
        <v>-5.2387039256140818E-3</v>
      </c>
      <c r="K18">
        <f t="shared" si="1"/>
        <v>-0.27987594390067477</v>
      </c>
    </row>
    <row r="19" spans="1:11" x14ac:dyDescent="0.3">
      <c r="A19" s="4" t="s">
        <v>10</v>
      </c>
      <c r="B19">
        <v>3.125E-2</v>
      </c>
      <c r="C19">
        <v>3.3333333333333333E-2</v>
      </c>
      <c r="D19">
        <v>7.407407407407407E-2</v>
      </c>
      <c r="E19">
        <v>5.4263565891472867E-2</v>
      </c>
      <c r="F19">
        <v>3.2258064516129031E-2</v>
      </c>
      <c r="G19">
        <v>4.2735042735042736E-2</v>
      </c>
      <c r="H19">
        <v>2.8132992327365727E-2</v>
      </c>
      <c r="I19">
        <v>8.9686098654708519E-3</v>
      </c>
      <c r="J19">
        <f t="shared" si="0"/>
        <v>4.065489198152656E-2</v>
      </c>
      <c r="K19">
        <f t="shared" si="1"/>
        <v>2.1076221661285053</v>
      </c>
    </row>
    <row r="20" spans="1:11" x14ac:dyDescent="0.3">
      <c r="A20" s="3" t="s">
        <v>11</v>
      </c>
      <c r="B20">
        <v>-9.0909090909090905E-3</v>
      </c>
      <c r="C20">
        <v>3.2258064516129032E-3</v>
      </c>
      <c r="D20">
        <v>-1.3793103448275862E-2</v>
      </c>
      <c r="E20">
        <v>4.4117647058823532E-2</v>
      </c>
      <c r="F20">
        <v>2.5000000000000001E-2</v>
      </c>
      <c r="G20">
        <v>-1.2295081967213115E-2</v>
      </c>
      <c r="H20">
        <v>0</v>
      </c>
      <c r="I20">
        <v>1.3333333333333334E-2</v>
      </c>
      <c r="J20">
        <f t="shared" si="0"/>
        <v>3.1537142033245241E-3</v>
      </c>
      <c r="K20">
        <f t="shared" si="1"/>
        <v>0.15671835701131775</v>
      </c>
    </row>
    <row r="21" spans="1:11" x14ac:dyDescent="0.3">
      <c r="A21" s="2">
        <v>45873</v>
      </c>
      <c r="B21">
        <v>-0.14373088685015289</v>
      </c>
      <c r="C21">
        <v>-7.0739549839228297E-2</v>
      </c>
      <c r="D21">
        <v>-0.14685314685314685</v>
      </c>
      <c r="E21">
        <v>-9.154929577464789E-2</v>
      </c>
      <c r="F21">
        <v>-8.943089430894309E-2</v>
      </c>
      <c r="G21">
        <v>-4.9792531120331947E-2</v>
      </c>
      <c r="H21">
        <v>-5.721393034825871E-2</v>
      </c>
      <c r="I21">
        <v>-3.5087719298245612E-2</v>
      </c>
      <c r="J21">
        <f t="shared" si="0"/>
        <v>-0.10266241427431272</v>
      </c>
      <c r="K21">
        <f t="shared" si="1"/>
        <v>-5.3480977672718506</v>
      </c>
    </row>
    <row r="22" spans="1:11" x14ac:dyDescent="0.3">
      <c r="A22" s="1">
        <v>45904</v>
      </c>
      <c r="B22">
        <v>5.3571428571428568E-2</v>
      </c>
      <c r="C22">
        <v>3.1141868512110725E-2</v>
      </c>
      <c r="D22">
        <v>-0.14754098360655737</v>
      </c>
      <c r="E22">
        <v>-6.9767441860465115E-2</v>
      </c>
      <c r="F22">
        <v>3.125E-2</v>
      </c>
      <c r="G22">
        <v>1.3100436681222707E-2</v>
      </c>
      <c r="H22">
        <v>-7.9155672823219003E-3</v>
      </c>
      <c r="I22">
        <v>2.2727272727272728E-2</v>
      </c>
      <c r="J22">
        <f t="shared" si="0"/>
        <v>9.0415113429440552E-4</v>
      </c>
      <c r="K22">
        <f t="shared" si="1"/>
        <v>3.9690534947255079E-2</v>
      </c>
    </row>
    <row r="23" spans="1:11" x14ac:dyDescent="0.3">
      <c r="A23" s="2">
        <v>45934</v>
      </c>
      <c r="B23">
        <v>0.10508474576271186</v>
      </c>
      <c r="C23">
        <v>4.0268456375838924E-2</v>
      </c>
      <c r="D23">
        <v>0.17307692307692307</v>
      </c>
      <c r="E23">
        <v>9.166666666666666E-2</v>
      </c>
      <c r="F23">
        <v>1.948051948051948E-2</v>
      </c>
      <c r="G23">
        <v>1.2931034482758621E-2</v>
      </c>
      <c r="H23">
        <v>4.7872340425531915E-2</v>
      </c>
      <c r="I23">
        <v>1.3333333333333334E-2</v>
      </c>
      <c r="J23">
        <f t="shared" si="0"/>
        <v>7.6164264468225246E-2</v>
      </c>
      <c r="K23">
        <f t="shared" si="1"/>
        <v>3.9549073488335824</v>
      </c>
    </row>
    <row r="24" spans="1:11" x14ac:dyDescent="0.3">
      <c r="A24" s="1">
        <v>45965</v>
      </c>
      <c r="B24">
        <v>3.6809815950920248E-2</v>
      </c>
      <c r="C24">
        <v>1.935483870967742E-2</v>
      </c>
      <c r="D24">
        <v>6.9672131147540978E-2</v>
      </c>
      <c r="E24">
        <v>1.5267175572519083E-2</v>
      </c>
      <c r="F24">
        <v>0</v>
      </c>
      <c r="G24">
        <v>-8.5106382978723406E-3</v>
      </c>
      <c r="H24">
        <v>-1.2690355329949238E-2</v>
      </c>
      <c r="I24">
        <v>-3.5087719298245612E-2</v>
      </c>
      <c r="J24">
        <f t="shared" si="0"/>
        <v>2.5612809633400537E-2</v>
      </c>
      <c r="K24">
        <f t="shared" si="1"/>
        <v>1.3250959232575164</v>
      </c>
    </row>
    <row r="25" spans="1:11" x14ac:dyDescent="0.3">
      <c r="A25" s="4" t="s">
        <v>12</v>
      </c>
      <c r="B25">
        <v>8.2840236686390539E-2</v>
      </c>
      <c r="C25">
        <v>3.7974683544303799E-2</v>
      </c>
      <c r="D25">
        <v>0.10344827586206896</v>
      </c>
      <c r="E25">
        <v>4.5112781954887216E-2</v>
      </c>
      <c r="F25">
        <v>4.6709129511677279E-2</v>
      </c>
      <c r="G25">
        <v>4.2918454935622317E-2</v>
      </c>
      <c r="H25">
        <v>5.3984575835475578E-2</v>
      </c>
      <c r="I25">
        <v>-4.5454545454545452E-3</v>
      </c>
      <c r="J25">
        <f t="shared" si="0"/>
        <v>6.0466650740837076E-2</v>
      </c>
      <c r="K25">
        <f t="shared" si="1"/>
        <v>3.1382787459684032</v>
      </c>
    </row>
    <row r="26" spans="1:11" x14ac:dyDescent="0.3">
      <c r="A26" s="3" t="s">
        <v>13</v>
      </c>
      <c r="B26">
        <v>1.6393442622950821E-2</v>
      </c>
      <c r="C26">
        <v>2.7439024390243903E-2</v>
      </c>
      <c r="D26">
        <v>-6.9444444444444441E-3</v>
      </c>
      <c r="E26">
        <v>1.4388489208633094E-2</v>
      </c>
      <c r="F26">
        <v>-1.2170385395537525E-2</v>
      </c>
      <c r="G26">
        <v>8.23045267489712E-3</v>
      </c>
      <c r="H26">
        <v>-2.4390243902439025E-2</v>
      </c>
      <c r="I26">
        <v>-9.1324200913242004E-3</v>
      </c>
      <c r="J26">
        <f t="shared" si="0"/>
        <v>1.1907104422630953E-2</v>
      </c>
      <c r="K26">
        <f t="shared" si="1"/>
        <v>0.61209131682966911</v>
      </c>
    </row>
    <row r="27" spans="1:11" x14ac:dyDescent="0.3">
      <c r="A27" s="4" t="s">
        <v>14</v>
      </c>
      <c r="B27">
        <v>3.4946236559139782E-2</v>
      </c>
      <c r="C27">
        <v>-8.9020771513353119E-3</v>
      </c>
      <c r="D27">
        <v>-1.048951048951049E-2</v>
      </c>
      <c r="E27">
        <v>3.5460992907801421E-2</v>
      </c>
      <c r="F27">
        <v>-1.8480492813141684E-2</v>
      </c>
      <c r="G27">
        <v>1.2244897959183673E-2</v>
      </c>
      <c r="H27">
        <v>2.5000000000000001E-2</v>
      </c>
      <c r="I27">
        <v>9.2165898617511521E-3</v>
      </c>
      <c r="J27">
        <f t="shared" si="0"/>
        <v>7.3449531465253331E-3</v>
      </c>
      <c r="K27">
        <f t="shared" si="1"/>
        <v>0.3747569494942331</v>
      </c>
    </row>
    <row r="28" spans="1:11" x14ac:dyDescent="0.3">
      <c r="A28" s="3" t="s">
        <v>15</v>
      </c>
      <c r="B28">
        <v>1.038961038961039E-2</v>
      </c>
      <c r="C28">
        <v>2.9940119760479044E-3</v>
      </c>
      <c r="D28">
        <v>0.16254416961130741</v>
      </c>
      <c r="E28">
        <v>4.7945205479452052E-2</v>
      </c>
      <c r="F28">
        <v>-6.2761506276150627E-3</v>
      </c>
      <c r="G28">
        <v>2.8225806451612902E-2</v>
      </c>
      <c r="H28">
        <v>-1.9512195121951219E-2</v>
      </c>
      <c r="I28">
        <v>-4.5662100456621002E-3</v>
      </c>
      <c r="J28">
        <f t="shared" si="0"/>
        <v>3.1751012217423213E-2</v>
      </c>
      <c r="K28">
        <f t="shared" si="1"/>
        <v>1.6444203688290211</v>
      </c>
    </row>
    <row r="29" spans="1:11" x14ac:dyDescent="0.3">
      <c r="A29" s="4" t="s">
        <v>16</v>
      </c>
      <c r="B29">
        <v>7.4550128534704371E-2</v>
      </c>
      <c r="C29">
        <v>2.9850746268656717E-3</v>
      </c>
      <c r="D29">
        <v>3.0395136778115502E-2</v>
      </c>
      <c r="E29">
        <v>0</v>
      </c>
      <c r="F29">
        <v>8.4210526315789472E-3</v>
      </c>
      <c r="G29">
        <v>7.8431372549019607E-3</v>
      </c>
      <c r="H29">
        <v>-5.2238805970149252E-2</v>
      </c>
      <c r="I29">
        <v>-2.7522935779816515E-2</v>
      </c>
      <c r="J29">
        <f t="shared" si="0"/>
        <v>2.5389484979875532E-2</v>
      </c>
      <c r="K29">
        <f t="shared" si="1"/>
        <v>1.3134780236862407</v>
      </c>
    </row>
    <row r="30" spans="1:11" x14ac:dyDescent="0.3">
      <c r="A30" s="3" t="s">
        <v>17</v>
      </c>
      <c r="B30">
        <v>4.784688995215311E-2</v>
      </c>
      <c r="C30">
        <v>-2.976190476190476E-3</v>
      </c>
      <c r="D30">
        <v>-1.7699115044247787E-2</v>
      </c>
      <c r="E30">
        <v>6.5359477124183009E-3</v>
      </c>
      <c r="F30">
        <v>-1.0438413361169102E-2</v>
      </c>
      <c r="G30">
        <v>-7.7821011673151752E-3</v>
      </c>
      <c r="H30">
        <v>-9.9737532808398949E-2</v>
      </c>
      <c r="I30">
        <v>-9.433962264150943E-3</v>
      </c>
      <c r="J30">
        <f t="shared" si="0"/>
        <v>7.1845459644617133E-3</v>
      </c>
      <c r="K30">
        <f t="shared" si="1"/>
        <v>0.36641217204888127</v>
      </c>
    </row>
    <row r="31" spans="1:11" x14ac:dyDescent="0.3">
      <c r="A31" s="4" t="s">
        <v>18</v>
      </c>
      <c r="B31">
        <v>-5.4794520547945202E-2</v>
      </c>
      <c r="C31">
        <v>2.3880597014925373E-2</v>
      </c>
      <c r="D31">
        <v>-5.7057057057057055E-2</v>
      </c>
      <c r="E31">
        <v>6.4935064935064939E-3</v>
      </c>
      <c r="F31">
        <v>1.6877637130801686E-2</v>
      </c>
      <c r="G31">
        <v>3.1372549019607843E-2</v>
      </c>
      <c r="H31">
        <v>2.9154518950437317E-3</v>
      </c>
      <c r="I31">
        <v>4.7619047619047623E-3</v>
      </c>
      <c r="J31">
        <f t="shared" si="0"/>
        <v>-1.0261091772888337E-2</v>
      </c>
      <c r="K31">
        <f t="shared" si="1"/>
        <v>-0.54115295338720149</v>
      </c>
    </row>
    <row r="32" spans="1:11" x14ac:dyDescent="0.3">
      <c r="A32" s="3" t="s">
        <v>19</v>
      </c>
      <c r="B32">
        <v>3.864734299516908E-2</v>
      </c>
      <c r="C32">
        <v>3.2069970845481049E-2</v>
      </c>
      <c r="D32">
        <v>2.5477707006369428E-2</v>
      </c>
      <c r="E32">
        <v>-1.2903225806451613E-2</v>
      </c>
      <c r="F32">
        <v>-1.0373443983402489E-2</v>
      </c>
      <c r="G32">
        <v>0</v>
      </c>
      <c r="H32">
        <v>5.8139534883720929E-3</v>
      </c>
      <c r="I32">
        <v>-9.4786729857819912E-3</v>
      </c>
      <c r="J32">
        <f t="shared" si="0"/>
        <v>2.0894665770044517E-2</v>
      </c>
      <c r="K32">
        <f t="shared" si="1"/>
        <v>1.0796464365927416</v>
      </c>
    </row>
    <row r="33" spans="1:11" x14ac:dyDescent="0.3">
      <c r="A33" s="4" t="s">
        <v>20</v>
      </c>
      <c r="B33">
        <v>-4.6511627906976744E-3</v>
      </c>
      <c r="C33">
        <v>-2.5423728813559324E-2</v>
      </c>
      <c r="D33">
        <v>4.3478260869565216E-2</v>
      </c>
      <c r="E33">
        <v>-1.9607843137254902E-2</v>
      </c>
      <c r="F33">
        <v>1.8867924528301886E-2</v>
      </c>
      <c r="G33">
        <v>-1.1406844106463879E-2</v>
      </c>
      <c r="H33">
        <v>2.8901734104046242E-2</v>
      </c>
      <c r="I33">
        <v>4.7846889952153108E-3</v>
      </c>
      <c r="J33">
        <f t="shared" si="0"/>
        <v>-3.1066344709913935E-3</v>
      </c>
      <c r="K33">
        <f t="shared" si="1"/>
        <v>-0.16896042959532034</v>
      </c>
    </row>
    <row r="34" spans="1:11" x14ac:dyDescent="0.3">
      <c r="A34" s="3" t="s">
        <v>21</v>
      </c>
      <c r="B34">
        <v>-4.6728971962616819E-3</v>
      </c>
      <c r="C34">
        <v>-8.6956521739130436E-3</v>
      </c>
      <c r="D34">
        <v>-1.1904761904761904E-2</v>
      </c>
      <c r="E34">
        <v>6.6666666666666671E-3</v>
      </c>
      <c r="F34">
        <v>6.1728395061728392E-3</v>
      </c>
      <c r="G34">
        <v>-1.5384615384615385E-2</v>
      </c>
      <c r="H34">
        <v>5.8988764044943819E-2</v>
      </c>
      <c r="I34">
        <v>0</v>
      </c>
      <c r="J34">
        <f t="shared" si="0"/>
        <v>-4.7286541496167657E-3</v>
      </c>
      <c r="K34">
        <f t="shared" si="1"/>
        <v>-0.25334189591109613</v>
      </c>
    </row>
    <row r="35" spans="1:11" x14ac:dyDescent="0.3">
      <c r="A35" s="4" t="s">
        <v>22</v>
      </c>
      <c r="B35">
        <v>2.3474178403755867E-2</v>
      </c>
      <c r="C35">
        <v>5.8479532163742687E-3</v>
      </c>
      <c r="D35">
        <v>3.614457831325301E-2</v>
      </c>
      <c r="E35">
        <v>0</v>
      </c>
      <c r="F35">
        <v>-1.8404907975460124E-2</v>
      </c>
      <c r="G35">
        <v>1.171875E-2</v>
      </c>
      <c r="H35">
        <v>-2.1220159151193633E-2</v>
      </c>
      <c r="I35">
        <v>1.4285714285714285E-2</v>
      </c>
      <c r="J35">
        <f t="shared" si="0"/>
        <v>1.1573650643921043E-2</v>
      </c>
      <c r="K35">
        <f t="shared" si="1"/>
        <v>0.59474422840228069</v>
      </c>
    </row>
    <row r="36" spans="1:11" x14ac:dyDescent="0.3">
      <c r="A36" s="3" t="s">
        <v>23</v>
      </c>
      <c r="B36">
        <v>-4.5871559633027525E-3</v>
      </c>
      <c r="C36">
        <v>-2.0348837209302327E-2</v>
      </c>
      <c r="D36">
        <v>-2.9069767441860465E-2</v>
      </c>
      <c r="E36">
        <v>-1.3245033112582781E-2</v>
      </c>
      <c r="F36">
        <v>0</v>
      </c>
      <c r="G36">
        <v>1.9305019305019305E-2</v>
      </c>
      <c r="H36">
        <v>-1.3550135501355014E-2</v>
      </c>
      <c r="I36">
        <v>9.3896713615023476E-3</v>
      </c>
      <c r="J36">
        <f t="shared" si="0"/>
        <v>-1.1433682171984462E-2</v>
      </c>
      <c r="K36">
        <f t="shared" si="1"/>
        <v>-0.60215399953195947</v>
      </c>
    </row>
    <row r="37" spans="1:11" x14ac:dyDescent="0.3">
      <c r="A37" s="2">
        <v>45693</v>
      </c>
      <c r="B37">
        <v>5.5299539170506916E-2</v>
      </c>
      <c r="C37">
        <v>-2.967359050445104E-2</v>
      </c>
      <c r="D37">
        <v>1.1976047904191617E-2</v>
      </c>
      <c r="E37">
        <v>1.3422818791946308E-2</v>
      </c>
      <c r="F37">
        <v>-2.0833333333333333E-3</v>
      </c>
      <c r="G37">
        <v>1.5151515151515152E-2</v>
      </c>
      <c r="H37">
        <v>-3.8461538461538464E-2</v>
      </c>
      <c r="I37">
        <v>3.255813953488372E-2</v>
      </c>
      <c r="J37">
        <f t="shared" si="0"/>
        <v>9.1844949992936457E-3</v>
      </c>
      <c r="K37">
        <f t="shared" si="1"/>
        <v>0.47045445608513808</v>
      </c>
    </row>
    <row r="38" spans="1:11" x14ac:dyDescent="0.3">
      <c r="A38" s="1">
        <v>45782</v>
      </c>
      <c r="B38">
        <v>1.3100436681222707E-2</v>
      </c>
      <c r="C38">
        <v>-3.0581039755351682E-3</v>
      </c>
      <c r="D38">
        <v>-5.9171597633136093E-3</v>
      </c>
      <c r="E38">
        <v>1.9867549668874173E-2</v>
      </c>
      <c r="F38">
        <v>-2.0876826722338203E-3</v>
      </c>
      <c r="G38">
        <v>7.462686567164179E-3</v>
      </c>
      <c r="H38">
        <v>-2.8571428571428571E-3</v>
      </c>
      <c r="I38">
        <v>-9.0090090090090089E-3</v>
      </c>
      <c r="J38">
        <f t="shared" si="0"/>
        <v>3.7142722897009427E-3</v>
      </c>
      <c r="K38">
        <f t="shared" si="1"/>
        <v>0.18587997194541886</v>
      </c>
    </row>
    <row r="39" spans="1:11" x14ac:dyDescent="0.3">
      <c r="A39" s="2">
        <v>45813</v>
      </c>
      <c r="B39">
        <v>9.4827586206896547E-2</v>
      </c>
      <c r="C39">
        <v>-6.1349693251533744E-3</v>
      </c>
      <c r="D39">
        <v>5.9523809523809521E-2</v>
      </c>
      <c r="E39">
        <v>1.2987012987012988E-2</v>
      </c>
      <c r="F39">
        <v>-6.2761506276150627E-3</v>
      </c>
      <c r="G39">
        <v>-7.4074074074074077E-3</v>
      </c>
      <c r="H39">
        <v>1.1461318051575931E-2</v>
      </c>
      <c r="I39">
        <v>-9.0909090909090905E-3</v>
      </c>
      <c r="J39">
        <f t="shared" si="0"/>
        <v>3.1195642295675587E-2</v>
      </c>
      <c r="K39">
        <f t="shared" si="1"/>
        <v>1.6155286550216661</v>
      </c>
    </row>
    <row r="40" spans="1:11" x14ac:dyDescent="0.3">
      <c r="A40" s="1">
        <v>45843</v>
      </c>
      <c r="B40">
        <v>8.2677165354330714E-2</v>
      </c>
      <c r="C40">
        <v>9.2592592592592587E-3</v>
      </c>
      <c r="D40">
        <v>4.2134831460674156E-2</v>
      </c>
      <c r="E40">
        <v>8.3333333333333329E-2</v>
      </c>
      <c r="F40">
        <v>1.6842105263157894E-2</v>
      </c>
      <c r="G40">
        <v>-2.2388059701492536E-2</v>
      </c>
      <c r="H40">
        <v>1.69971671388102E-2</v>
      </c>
      <c r="I40">
        <v>0</v>
      </c>
      <c r="J40">
        <f t="shared" si="0"/>
        <v>3.8882385447066535E-2</v>
      </c>
      <c r="K40">
        <f t="shared" si="1"/>
        <v>2.0154120022180493</v>
      </c>
    </row>
    <row r="41" spans="1:11" x14ac:dyDescent="0.3">
      <c r="A41" s="2">
        <v>45874</v>
      </c>
      <c r="B41">
        <v>-5.0909090909090911E-2</v>
      </c>
      <c r="C41">
        <v>-2.1406727828746176E-2</v>
      </c>
      <c r="D41">
        <v>-2.9649595687331536E-2</v>
      </c>
      <c r="E41">
        <v>-2.9585798816568046E-2</v>
      </c>
      <c r="F41">
        <v>-1.0351966873706004E-2</v>
      </c>
      <c r="G41">
        <v>-1.9083969465648856E-2</v>
      </c>
      <c r="H41">
        <v>-2.2284122562674095E-2</v>
      </c>
      <c r="I41">
        <v>-2.2935779816513763E-2</v>
      </c>
      <c r="J41">
        <f t="shared" si="0"/>
        <v>-2.9641689380480219E-2</v>
      </c>
      <c r="K41">
        <f t="shared" si="1"/>
        <v>-1.5493794661447753</v>
      </c>
    </row>
    <row r="42" spans="1:11" x14ac:dyDescent="0.3">
      <c r="A42" s="1">
        <v>45905</v>
      </c>
      <c r="B42">
        <v>2.681992337164751E-2</v>
      </c>
      <c r="C42">
        <v>3.1250000000000002E-3</v>
      </c>
      <c r="D42">
        <v>2.7777777777777779E-3</v>
      </c>
      <c r="E42">
        <v>0</v>
      </c>
      <c r="F42">
        <v>0</v>
      </c>
      <c r="G42">
        <v>1.1673151750972763E-2</v>
      </c>
      <c r="H42">
        <v>1.4245014245014245E-2</v>
      </c>
      <c r="I42">
        <v>1.4084507042253521E-2</v>
      </c>
      <c r="J42">
        <f t="shared" si="0"/>
        <v>9.3702108227945759E-3</v>
      </c>
      <c r="K42">
        <f t="shared" si="1"/>
        <v>0.48011585151181446</v>
      </c>
    </row>
    <row r="43" spans="1:11" x14ac:dyDescent="0.3">
      <c r="A43" s="4" t="s">
        <v>24</v>
      </c>
      <c r="B43">
        <v>-4.8507462686567165E-2</v>
      </c>
      <c r="C43">
        <v>3.4267912772585667E-2</v>
      </c>
      <c r="D43">
        <v>-1.9390581717451522E-2</v>
      </c>
      <c r="E43">
        <v>4.2682926829268296E-2</v>
      </c>
      <c r="F43">
        <v>6.2761506276150627E-3</v>
      </c>
      <c r="G43">
        <v>-3.8461538461538464E-3</v>
      </c>
      <c r="H43">
        <v>-8.4269662921348312E-3</v>
      </c>
      <c r="I43">
        <v>2.3148148148148147E-2</v>
      </c>
      <c r="J43">
        <f t="shared" si="0"/>
        <v>-1.6945864988156462E-4</v>
      </c>
      <c r="K43">
        <f t="shared" si="1"/>
        <v>-1.6161295356374429E-2</v>
      </c>
    </row>
    <row r="44" spans="1:11" x14ac:dyDescent="0.3">
      <c r="A44" s="3" t="s">
        <v>25</v>
      </c>
      <c r="B44">
        <v>0</v>
      </c>
      <c r="C44">
        <v>3.0120481927710845E-3</v>
      </c>
      <c r="D44">
        <v>3.3898305084745763E-2</v>
      </c>
      <c r="E44">
        <v>5.8479532163742687E-3</v>
      </c>
      <c r="F44">
        <v>2.0790020790020791E-3</v>
      </c>
      <c r="G44">
        <v>2.7027027027027029E-2</v>
      </c>
      <c r="H44">
        <v>3.9660056657223795E-2</v>
      </c>
      <c r="I44">
        <v>-2.2624434389140271E-2</v>
      </c>
      <c r="J44">
        <f t="shared" si="0"/>
        <v>8.2640559381474722E-3</v>
      </c>
      <c r="K44">
        <f t="shared" si="1"/>
        <v>0.42257094477061929</v>
      </c>
    </row>
    <row r="45" spans="1:11" x14ac:dyDescent="0.3">
      <c r="A45" s="4" t="s">
        <v>26</v>
      </c>
      <c r="B45">
        <v>3.5294117647058823E-2</v>
      </c>
      <c r="C45">
        <v>1.5015015015015015E-2</v>
      </c>
      <c r="D45">
        <v>5.737704918032787E-2</v>
      </c>
      <c r="E45">
        <v>1.7441860465116279E-2</v>
      </c>
      <c r="F45">
        <v>1.2448132780082987E-2</v>
      </c>
      <c r="G45">
        <v>3.007518796992481E-2</v>
      </c>
      <c r="H45">
        <v>-2.1798365122615803E-2</v>
      </c>
      <c r="I45">
        <v>9.2592592592592587E-3</v>
      </c>
      <c r="J45">
        <f t="shared" si="0"/>
        <v>2.67802186970276E-2</v>
      </c>
      <c r="K45">
        <f t="shared" si="1"/>
        <v>1.3858274235452697</v>
      </c>
    </row>
    <row r="46" spans="1:11" x14ac:dyDescent="0.3">
      <c r="A46" s="3" t="s">
        <v>27</v>
      </c>
      <c r="B46">
        <v>3.0303030303030304E-2</v>
      </c>
      <c r="C46">
        <v>2.9585798816568046E-2</v>
      </c>
      <c r="D46">
        <v>6.9767441860465115E-2</v>
      </c>
      <c r="E46">
        <v>5.7142857142857143E-3</v>
      </c>
      <c r="F46">
        <v>1.2295081967213115E-2</v>
      </c>
      <c r="G46">
        <v>2.9197080291970802E-2</v>
      </c>
      <c r="H46">
        <v>2.7855153203342618E-3</v>
      </c>
      <c r="I46">
        <v>1.3761467889908258E-2</v>
      </c>
      <c r="J46">
        <f t="shared" si="0"/>
        <v>3.0662333480665611E-2</v>
      </c>
      <c r="K46">
        <f t="shared" si="1"/>
        <v>1.5877846144266665</v>
      </c>
    </row>
    <row r="47" spans="1:11" x14ac:dyDescent="0.3">
      <c r="A47" s="4" t="s">
        <v>28</v>
      </c>
      <c r="B47">
        <v>3.6764705882352941E-3</v>
      </c>
      <c r="C47">
        <v>-8.6206896551724137E-3</v>
      </c>
      <c r="D47">
        <v>-2.4154589371980676E-2</v>
      </c>
      <c r="E47">
        <v>5.6818181818181816E-2</v>
      </c>
      <c r="F47">
        <v>-1.6194331983805668E-2</v>
      </c>
      <c r="G47">
        <v>-2.8368794326241134E-2</v>
      </c>
      <c r="H47">
        <v>0</v>
      </c>
      <c r="I47">
        <v>-1.8099547511312219E-2</v>
      </c>
      <c r="J47">
        <f t="shared" si="0"/>
        <v>-3.4724983262624355E-3</v>
      </c>
      <c r="K47">
        <f t="shared" si="1"/>
        <v>-0.18799357018327967</v>
      </c>
    </row>
    <row r="48" spans="1:11" x14ac:dyDescent="0.3">
      <c r="A48" s="3" t="s">
        <v>29</v>
      </c>
      <c r="B48">
        <v>6.5934065934065936E-2</v>
      </c>
      <c r="C48">
        <v>1.1594202898550725E-2</v>
      </c>
      <c r="D48">
        <v>1.4851485148514851E-2</v>
      </c>
      <c r="E48">
        <v>5.3763440860215055E-2</v>
      </c>
      <c r="F48">
        <v>-3.9094650205761319E-2</v>
      </c>
      <c r="G48">
        <v>3.6496350364963502E-3</v>
      </c>
      <c r="H48">
        <v>-1.9444444444444445E-2</v>
      </c>
      <c r="I48">
        <v>4.608294930875576E-3</v>
      </c>
      <c r="J48">
        <f t="shared" si="0"/>
        <v>2.3627690929172912E-2</v>
      </c>
      <c r="K48">
        <f t="shared" si="1"/>
        <v>1.2218251496158803</v>
      </c>
    </row>
    <row r="49" spans="1:11" x14ac:dyDescent="0.3">
      <c r="A49" s="4" t="s">
        <v>30</v>
      </c>
      <c r="B49">
        <v>1.7182130584192441E-2</v>
      </c>
      <c r="C49">
        <v>3.151862464183381E-2</v>
      </c>
      <c r="D49">
        <v>-9.7560975609756097E-3</v>
      </c>
      <c r="E49">
        <v>0.10204081632653061</v>
      </c>
      <c r="F49">
        <v>-8.5653104925053538E-3</v>
      </c>
      <c r="G49">
        <v>1.8181818181818181E-2</v>
      </c>
      <c r="H49">
        <v>-2.8328611898016998E-2</v>
      </c>
      <c r="I49">
        <v>-4.5871559633027525E-3</v>
      </c>
      <c r="J49">
        <f t="shared" si="0"/>
        <v>2.2494060783383434E-2</v>
      </c>
      <c r="K49">
        <f t="shared" si="1"/>
        <v>1.1628509119897683</v>
      </c>
    </row>
    <row r="50" spans="1:11" x14ac:dyDescent="0.3">
      <c r="A50" s="3" t="s">
        <v>31</v>
      </c>
      <c r="B50">
        <v>5.7432432432432436E-2</v>
      </c>
      <c r="C50">
        <v>-1.6666666666666666E-2</v>
      </c>
      <c r="D50">
        <v>4.9261083743842365E-3</v>
      </c>
      <c r="E50">
        <v>6.9444444444444448E-2</v>
      </c>
      <c r="F50">
        <v>2.3758099352051837E-2</v>
      </c>
      <c r="G50">
        <v>-3.9285714285714285E-2</v>
      </c>
      <c r="H50">
        <v>-3.7900874635568516E-2</v>
      </c>
      <c r="I50">
        <v>0</v>
      </c>
      <c r="J50">
        <f t="shared" si="0"/>
        <v>1.7160931515010077E-2</v>
      </c>
      <c r="K50">
        <f t="shared" si="1"/>
        <v>0.88540836696571235</v>
      </c>
    </row>
    <row r="51" spans="1:11" x14ac:dyDescent="0.3">
      <c r="A51" s="4" t="s">
        <v>32</v>
      </c>
      <c r="B51">
        <v>-6.3897763578274758E-3</v>
      </c>
      <c r="C51">
        <v>2.5423728813559324E-2</v>
      </c>
      <c r="D51">
        <v>9.8039215686274508E-3</v>
      </c>
      <c r="E51">
        <v>5.627705627705628E-2</v>
      </c>
      <c r="F51">
        <v>-2.1097046413502108E-3</v>
      </c>
      <c r="G51">
        <v>4.0892193308550186E-2</v>
      </c>
      <c r="H51">
        <v>-1.8181818181818181E-2</v>
      </c>
      <c r="I51">
        <v>0</v>
      </c>
      <c r="J51">
        <f t="shared" si="0"/>
        <v>1.5157391943404345E-2</v>
      </c>
      <c r="K51">
        <f t="shared" si="1"/>
        <v>0.7811792943461684</v>
      </c>
    </row>
    <row r="52" spans="1:11" x14ac:dyDescent="0.3">
      <c r="A52" s="3" t="s">
        <v>33</v>
      </c>
      <c r="B52">
        <v>-2.5723472668810289E-2</v>
      </c>
      <c r="C52">
        <v>5.5096418732782371E-3</v>
      </c>
      <c r="D52">
        <v>-9.7087378640776691E-3</v>
      </c>
      <c r="E52">
        <v>0.10655737704918032</v>
      </c>
      <c r="F52">
        <v>-6.3424947145877377E-3</v>
      </c>
      <c r="G52">
        <v>1.0714285714285714E-2</v>
      </c>
      <c r="H52">
        <v>3.3950617283950615E-2</v>
      </c>
      <c r="I52">
        <v>4.608294930875576E-3</v>
      </c>
      <c r="J52">
        <f t="shared" si="0"/>
        <v>4.1555218656982211E-3</v>
      </c>
      <c r="K52">
        <f t="shared" si="1"/>
        <v>0.20883486375377172</v>
      </c>
    </row>
    <row r="53" spans="1:11" x14ac:dyDescent="0.3">
      <c r="A53" s="4" t="s">
        <v>34</v>
      </c>
      <c r="B53">
        <v>2.6402640264026403E-2</v>
      </c>
      <c r="C53">
        <v>-2.7397260273972603E-3</v>
      </c>
      <c r="D53">
        <v>-9.8039215686274508E-3</v>
      </c>
      <c r="E53">
        <v>-6.6666666666666666E-2</v>
      </c>
      <c r="F53">
        <v>3.1914893617021274E-2</v>
      </c>
      <c r="G53">
        <v>-3.5335689045936395E-3</v>
      </c>
      <c r="H53">
        <v>-4.1791044776119404E-2</v>
      </c>
      <c r="I53">
        <v>9.1743119266055051E-3</v>
      </c>
      <c r="J53">
        <f t="shared" si="0"/>
        <v>1.5024398738569594E-3</v>
      </c>
      <c r="K53">
        <f t="shared" si="1"/>
        <v>7.0814991567467081E-2</v>
      </c>
    </row>
    <row r="54" spans="1:11" x14ac:dyDescent="0.3">
      <c r="A54" s="1">
        <v>45694</v>
      </c>
      <c r="B54">
        <v>6.7524115755627015E-2</v>
      </c>
      <c r="C54">
        <v>0</v>
      </c>
      <c r="D54">
        <v>4.9504950495049507E-2</v>
      </c>
      <c r="E54">
        <v>-7.9365079365079361E-3</v>
      </c>
      <c r="F54">
        <v>-1.443298969072165E-2</v>
      </c>
      <c r="G54">
        <v>-1.4184397163120567E-2</v>
      </c>
      <c r="H54">
        <v>-1.8691588785046728E-2</v>
      </c>
      <c r="I54">
        <v>-9.0909090909090905E-3</v>
      </c>
      <c r="J54">
        <f t="shared" si="0"/>
        <v>2.0909591572463693E-2</v>
      </c>
      <c r="K54">
        <f t="shared" si="1"/>
        <v>1.0804229136667665</v>
      </c>
    </row>
    <row r="55" spans="1:11" x14ac:dyDescent="0.3">
      <c r="A55" s="2">
        <v>45722</v>
      </c>
      <c r="B55">
        <v>1.2048192771084338E-2</v>
      </c>
      <c r="C55">
        <v>1.9230769230769232E-2</v>
      </c>
      <c r="D55">
        <v>-2.358490566037736E-2</v>
      </c>
      <c r="E55">
        <v>3.2000000000000001E-2</v>
      </c>
      <c r="F55">
        <v>-1.6736401673640166E-2</v>
      </c>
      <c r="G55">
        <v>7.1942446043165471E-3</v>
      </c>
      <c r="H55">
        <v>3.1746031746031746E-3</v>
      </c>
      <c r="I55">
        <v>-9.1743119266055051E-3</v>
      </c>
      <c r="J55">
        <f t="shared" si="0"/>
        <v>7.2760179436880609E-3</v>
      </c>
      <c r="K55">
        <f t="shared" si="1"/>
        <v>0.37117077013226996</v>
      </c>
    </row>
    <row r="56" spans="1:11" x14ac:dyDescent="0.3">
      <c r="A56" s="1">
        <v>45753</v>
      </c>
      <c r="B56">
        <v>5.6547619047619048E-2</v>
      </c>
      <c r="C56">
        <v>-8.0862533692722376E-3</v>
      </c>
      <c r="D56">
        <v>8.2125603864734303E-2</v>
      </c>
      <c r="E56">
        <v>0</v>
      </c>
      <c r="F56">
        <v>-1.9148936170212766E-2</v>
      </c>
      <c r="G56">
        <v>7.1428571428571426E-3</v>
      </c>
      <c r="H56">
        <v>-1.8987341772151899E-2</v>
      </c>
      <c r="I56">
        <v>1.3888888888888888E-2</v>
      </c>
      <c r="J56">
        <f t="shared" si="0"/>
        <v>2.1983104742356235E-2</v>
      </c>
      <c r="K56">
        <f t="shared" si="1"/>
        <v>1.1362697178569585</v>
      </c>
    </row>
    <row r="57" spans="1:11" x14ac:dyDescent="0.3">
      <c r="A57" s="2">
        <v>45783</v>
      </c>
      <c r="B57">
        <v>-2.8169014084507043E-2</v>
      </c>
      <c r="C57">
        <v>-2.717391304347826E-3</v>
      </c>
      <c r="D57">
        <v>-3.5714285714285712E-2</v>
      </c>
      <c r="E57">
        <v>0.17054263565891473</v>
      </c>
      <c r="F57">
        <v>0</v>
      </c>
      <c r="G57">
        <v>7.0921985815602835E-3</v>
      </c>
      <c r="H57">
        <v>0</v>
      </c>
      <c r="I57">
        <v>4.5662100456621002E-3</v>
      </c>
      <c r="J57">
        <f t="shared" si="0"/>
        <v>3.7962681810446599E-3</v>
      </c>
      <c r="K57">
        <f t="shared" si="1"/>
        <v>0.19014560055315285</v>
      </c>
    </row>
    <row r="58" spans="1:11" x14ac:dyDescent="0.3">
      <c r="A58" s="1">
        <v>45936</v>
      </c>
      <c r="B58">
        <v>-5.5072463768115941E-2</v>
      </c>
      <c r="C58">
        <v>2.1798365122615803E-2</v>
      </c>
      <c r="D58">
        <v>-9.2592592592592587E-3</v>
      </c>
      <c r="E58">
        <v>-3.3112582781456954E-3</v>
      </c>
      <c r="F58">
        <v>-2.1691973969631237E-3</v>
      </c>
      <c r="G58">
        <v>2.464788732394366E-2</v>
      </c>
      <c r="H58">
        <v>3.2258064516129031E-2</v>
      </c>
      <c r="I58">
        <v>-9.0909090909090905E-3</v>
      </c>
      <c r="J58">
        <f t="shared" si="0"/>
        <v>-7.8348215117598347E-3</v>
      </c>
      <c r="K58">
        <f t="shared" si="1"/>
        <v>-0.41493238713248776</v>
      </c>
    </row>
    <row r="59" spans="1:11" x14ac:dyDescent="0.3">
      <c r="A59" s="2">
        <v>45967</v>
      </c>
      <c r="B59">
        <v>6.1349693251533744E-3</v>
      </c>
      <c r="C59">
        <v>5.3333333333333332E-3</v>
      </c>
      <c r="D59">
        <v>4.2056074766355138E-2</v>
      </c>
      <c r="E59">
        <v>-6.6445182724252493E-3</v>
      </c>
      <c r="F59">
        <v>2.1739130434782609E-3</v>
      </c>
      <c r="G59">
        <v>-3.7800687285223365E-2</v>
      </c>
      <c r="H59">
        <v>1.5625E-2</v>
      </c>
      <c r="I59">
        <v>1.834862385321101E-2</v>
      </c>
      <c r="J59">
        <f t="shared" si="0"/>
        <v>6.5053744958501894E-3</v>
      </c>
      <c r="K59">
        <f t="shared" si="1"/>
        <v>0.33107999627044199</v>
      </c>
    </row>
    <row r="60" spans="1:11" x14ac:dyDescent="0.3">
      <c r="A60" s="1">
        <v>45997</v>
      </c>
      <c r="B60">
        <v>-3.3536585365853661E-2</v>
      </c>
      <c r="C60">
        <v>-0.10875331564986737</v>
      </c>
      <c r="D60">
        <v>-1.7937219730941704E-2</v>
      </c>
      <c r="E60">
        <v>-6.688963210702341E-3</v>
      </c>
      <c r="F60">
        <v>-1.0845986984815618E-2</v>
      </c>
      <c r="G60">
        <v>-7.1428571428571426E-3</v>
      </c>
      <c r="H60">
        <v>-1.8461538461538463E-2</v>
      </c>
      <c r="I60">
        <v>-1.3513513513513514E-2</v>
      </c>
      <c r="J60">
        <f t="shared" si="0"/>
        <v>-4.6989981366070181E-2</v>
      </c>
      <c r="K60">
        <f t="shared" si="1"/>
        <v>-2.4518804253556437</v>
      </c>
    </row>
    <row r="61" spans="1:11" x14ac:dyDescent="0.3">
      <c r="A61" s="4" t="s">
        <v>35</v>
      </c>
      <c r="B61">
        <v>4.1009463722397478E-2</v>
      </c>
      <c r="C61">
        <v>-5.9523809523809521E-3</v>
      </c>
      <c r="D61">
        <v>1.8264840182648401E-2</v>
      </c>
      <c r="E61">
        <v>2.6936026936026935E-2</v>
      </c>
      <c r="F61">
        <v>2.1929824561403508E-3</v>
      </c>
      <c r="G61">
        <v>-1.4388489208633094E-2</v>
      </c>
      <c r="H61">
        <v>-9.4043887147335428E-3</v>
      </c>
      <c r="I61">
        <v>0</v>
      </c>
      <c r="J61">
        <f t="shared" si="0"/>
        <v>1.3263555291830657E-2</v>
      </c>
      <c r="K61">
        <f t="shared" si="1"/>
        <v>0.68265723833894543</v>
      </c>
    </row>
    <row r="62" spans="1:11" x14ac:dyDescent="0.3">
      <c r="A62" s="3" t="s">
        <v>36</v>
      </c>
      <c r="B62">
        <v>-6.0606060606060606E-3</v>
      </c>
      <c r="C62">
        <v>8.9820359281437123E-3</v>
      </c>
      <c r="D62">
        <v>-1.3452914798206279E-2</v>
      </c>
      <c r="E62">
        <v>2.2950819672131147E-2</v>
      </c>
      <c r="F62">
        <v>8.7527352297592995E-3</v>
      </c>
      <c r="G62">
        <v>0</v>
      </c>
      <c r="H62">
        <v>-1.8987341772151899E-2</v>
      </c>
      <c r="I62">
        <v>1.3698630136986301E-2</v>
      </c>
      <c r="J62">
        <f t="shared" si="0"/>
        <v>2.5027230378426475E-3</v>
      </c>
      <c r="K62">
        <f t="shared" si="1"/>
        <v>0.12285219014179496</v>
      </c>
    </row>
    <row r="63" spans="1:11" x14ac:dyDescent="0.3">
      <c r="A63" s="4" t="s">
        <v>37</v>
      </c>
      <c r="B63">
        <v>5.7926829268292686E-2</v>
      </c>
      <c r="C63">
        <v>0</v>
      </c>
      <c r="D63">
        <v>2.2727272727272728E-2</v>
      </c>
      <c r="E63">
        <v>-2.2435897435897436E-2</v>
      </c>
      <c r="F63">
        <v>-2.1691973969631237E-3</v>
      </c>
      <c r="G63">
        <v>7.2992700729927005E-3</v>
      </c>
      <c r="H63">
        <v>6.4516129032258064E-3</v>
      </c>
      <c r="I63">
        <v>9.0090090090090089E-3</v>
      </c>
      <c r="J63">
        <f t="shared" si="0"/>
        <v>1.6501452681177187E-2</v>
      </c>
      <c r="K63">
        <f t="shared" si="1"/>
        <v>0.85110065064367768</v>
      </c>
    </row>
    <row r="64" spans="1:11" x14ac:dyDescent="0.3">
      <c r="A64" s="3" t="s">
        <v>38</v>
      </c>
      <c r="B64">
        <v>2.3054755043227664E-2</v>
      </c>
      <c r="C64">
        <v>-8.9020771513353119E-3</v>
      </c>
      <c r="D64">
        <v>-4.4444444444444444E-3</v>
      </c>
      <c r="E64">
        <v>9.8360655737704927E-3</v>
      </c>
      <c r="F64">
        <v>-2.1739130434782609E-3</v>
      </c>
      <c r="G64">
        <v>3.6231884057971015E-3</v>
      </c>
      <c r="H64">
        <v>-6.41025641025641E-3</v>
      </c>
      <c r="I64">
        <v>-8.9285714285714281E-3</v>
      </c>
      <c r="J64">
        <f t="shared" si="0"/>
        <v>3.4854850429493984E-3</v>
      </c>
      <c r="K64">
        <f t="shared" si="1"/>
        <v>0.17397789479453901</v>
      </c>
    </row>
    <row r="65" spans="1:11" x14ac:dyDescent="0.3">
      <c r="A65" s="4" t="s">
        <v>39</v>
      </c>
      <c r="B65">
        <v>-6.1971830985915494E-2</v>
      </c>
      <c r="C65">
        <v>-1.4970059880239521E-2</v>
      </c>
      <c r="D65">
        <v>-4.4642857142857144E-2</v>
      </c>
      <c r="E65">
        <v>-3.5714285714285712E-2</v>
      </c>
      <c r="F65">
        <v>-1.3071895424836602E-2</v>
      </c>
      <c r="G65">
        <v>-2.8880866425992781E-2</v>
      </c>
      <c r="H65">
        <v>-1.6129032258064516E-2</v>
      </c>
      <c r="I65">
        <v>4.5045045045045045E-3</v>
      </c>
      <c r="J65">
        <f t="shared" si="0"/>
        <v>-3.385965531062924E-2</v>
      </c>
      <c r="K65">
        <f t="shared" si="1"/>
        <v>-1.7688084624425224</v>
      </c>
    </row>
    <row r="66" spans="1:11" x14ac:dyDescent="0.3">
      <c r="A66" s="3" t="s">
        <v>40</v>
      </c>
      <c r="B66">
        <v>-3.903903903903904E-2</v>
      </c>
      <c r="C66">
        <v>-3.3434650455927049E-2</v>
      </c>
      <c r="D66">
        <v>-5.6074766355140186E-2</v>
      </c>
      <c r="E66">
        <v>1.0101010101010102E-2</v>
      </c>
      <c r="F66">
        <v>-8.8300220750551876E-3</v>
      </c>
      <c r="G66">
        <v>-1.858736059479554E-2</v>
      </c>
      <c r="H66">
        <v>-1.6393442622950821E-2</v>
      </c>
      <c r="I66">
        <v>4.4843049327354259E-3</v>
      </c>
      <c r="J66">
        <f t="shared" si="0"/>
        <v>-2.9500267596146684E-2</v>
      </c>
      <c r="K66">
        <f t="shared" si="1"/>
        <v>-1.5420223559393242</v>
      </c>
    </row>
    <row r="67" spans="1:11" x14ac:dyDescent="0.3">
      <c r="A67" s="4" t="s">
        <v>41</v>
      </c>
      <c r="B67">
        <v>-3.1250000000000002E-3</v>
      </c>
      <c r="C67">
        <v>1.5723270440251572E-2</v>
      </c>
      <c r="D67">
        <v>9.9009900990099011E-3</v>
      </c>
      <c r="E67">
        <v>0</v>
      </c>
      <c r="F67">
        <v>-1.3363028953229399E-2</v>
      </c>
      <c r="G67">
        <v>-2.2727272727272728E-2</v>
      </c>
      <c r="H67">
        <v>-3.6666666666666667E-2</v>
      </c>
      <c r="I67">
        <v>4.464285714285714E-3</v>
      </c>
      <c r="J67">
        <f t="shared" si="0"/>
        <v>2.0765812522544748E-3</v>
      </c>
      <c r="K67">
        <f t="shared" si="1"/>
        <v>0.10068324287179205</v>
      </c>
    </row>
    <row r="68" spans="1:11" x14ac:dyDescent="0.3">
      <c r="A68" s="3" t="s">
        <v>42</v>
      </c>
      <c r="B68">
        <v>-3.1347962382445138E-2</v>
      </c>
      <c r="C68">
        <v>-1.8575851393188854E-2</v>
      </c>
      <c r="D68">
        <v>-2.2058823529411766E-2</v>
      </c>
      <c r="E68">
        <v>1.3333333333333334E-2</v>
      </c>
      <c r="F68">
        <v>9.0293453724604959E-3</v>
      </c>
      <c r="G68">
        <v>3.875968992248062E-3</v>
      </c>
      <c r="H68">
        <v>6.920415224913495E-3</v>
      </c>
      <c r="I68">
        <v>-1.3333333333333334E-2</v>
      </c>
      <c r="J68">
        <f t="shared" ref="J68:J131" si="2">B68*$N$2+C68*$O$2+D68*$P$2+E68*$Q$2+F68*$R$2+G68*$S$2+H68*$T$2+I68*$U$2</f>
        <v>-1.4414782112147109E-2</v>
      </c>
      <c r="K68">
        <f t="shared" ref="K68:K131" si="3">(J68-$O$4)/$N$5</f>
        <v>-0.75723817483492406</v>
      </c>
    </row>
    <row r="69" spans="1:11" x14ac:dyDescent="0.3">
      <c r="A69" s="4" t="s">
        <v>43</v>
      </c>
      <c r="B69">
        <v>-5.1779935275080909E-2</v>
      </c>
      <c r="C69">
        <v>-3.4700315457413249E-2</v>
      </c>
      <c r="D69">
        <v>-9.5238095238095233E-2</v>
      </c>
      <c r="E69">
        <v>4.2763157894736843E-2</v>
      </c>
      <c r="F69">
        <v>0</v>
      </c>
      <c r="G69">
        <v>1.1583011583011582E-2</v>
      </c>
      <c r="H69">
        <v>-2.0618556701030927E-2</v>
      </c>
      <c r="I69">
        <v>1.3513513513513514E-2</v>
      </c>
      <c r="J69">
        <f t="shared" si="2"/>
        <v>-3.2438627855335724E-2</v>
      </c>
      <c r="K69">
        <f t="shared" si="3"/>
        <v>-1.6948831075699708</v>
      </c>
    </row>
    <row r="70" spans="1:11" x14ac:dyDescent="0.3">
      <c r="A70" s="3" t="s">
        <v>44</v>
      </c>
      <c r="B70">
        <v>3.4129692832764505E-3</v>
      </c>
      <c r="C70">
        <v>1.3071895424836602E-2</v>
      </c>
      <c r="D70">
        <v>1.3850415512465374E-2</v>
      </c>
      <c r="E70">
        <v>6.3091482649842269E-3</v>
      </c>
      <c r="F70">
        <v>-4.4742729306487695E-3</v>
      </c>
      <c r="G70">
        <v>3.4351145038167941E-2</v>
      </c>
      <c r="H70">
        <v>4.912280701754386E-2</v>
      </c>
      <c r="I70">
        <v>-4.4444444444444444E-3</v>
      </c>
      <c r="J70">
        <f t="shared" si="2"/>
        <v>9.472560014167037E-3</v>
      </c>
      <c r="K70">
        <f t="shared" si="3"/>
        <v>0.48544030901257756</v>
      </c>
    </row>
    <row r="71" spans="1:11" x14ac:dyDescent="0.3">
      <c r="A71" s="4" t="s">
        <v>45</v>
      </c>
      <c r="B71">
        <v>3.4013605442176874E-2</v>
      </c>
      <c r="C71">
        <v>4.1935483870967745E-2</v>
      </c>
      <c r="D71">
        <v>9.2896174863387984E-2</v>
      </c>
      <c r="E71">
        <v>4.0752351097178681E-2</v>
      </c>
      <c r="F71">
        <v>1.1235955056179775E-2</v>
      </c>
      <c r="G71">
        <v>2.5830258302583026E-2</v>
      </c>
      <c r="H71">
        <v>1.3377926421404682E-2</v>
      </c>
      <c r="I71">
        <v>4.464285714285714E-3</v>
      </c>
      <c r="J71">
        <f t="shared" si="2"/>
        <v>4.1612267631816628E-2</v>
      </c>
      <c r="K71">
        <f t="shared" si="3"/>
        <v>2.1574272099581577</v>
      </c>
    </row>
    <row r="72" spans="1:11" x14ac:dyDescent="0.3">
      <c r="A72" s="1">
        <v>45664</v>
      </c>
      <c r="B72">
        <v>9.8684210526315784E-3</v>
      </c>
      <c r="C72">
        <v>-1.8575851393188854E-2</v>
      </c>
      <c r="D72">
        <v>1.4999999999999999E-2</v>
      </c>
      <c r="E72">
        <v>-3.0120481927710845E-3</v>
      </c>
      <c r="F72">
        <v>-1.1111111111111112E-2</v>
      </c>
      <c r="G72">
        <v>1.0791366906474821E-2</v>
      </c>
      <c r="H72">
        <v>-5.2805280528052806E-2</v>
      </c>
      <c r="I72">
        <v>2.6666666666666668E-2</v>
      </c>
      <c r="J72">
        <f t="shared" si="2"/>
        <v>-1.9664702598415594E-3</v>
      </c>
      <c r="K72">
        <f t="shared" si="3"/>
        <v>-0.10964627376514711</v>
      </c>
    </row>
    <row r="73" spans="1:11" x14ac:dyDescent="0.3">
      <c r="A73" s="2">
        <v>45695</v>
      </c>
      <c r="B73">
        <v>-2.6058631921824105E-2</v>
      </c>
      <c r="C73">
        <v>-3.1545741324921135E-3</v>
      </c>
      <c r="D73">
        <v>-1.7241379310344827E-2</v>
      </c>
      <c r="E73">
        <v>-4.5317220543806644E-2</v>
      </c>
      <c r="F73">
        <v>2.0224719101123594E-2</v>
      </c>
      <c r="G73">
        <v>-1.0676156583629894E-2</v>
      </c>
      <c r="H73">
        <v>1.7421602787456445E-2</v>
      </c>
      <c r="I73">
        <v>-1.2987012987012988E-2</v>
      </c>
      <c r="J73">
        <f t="shared" si="2"/>
        <v>-1.2905018603869195E-2</v>
      </c>
      <c r="K73">
        <f t="shared" si="3"/>
        <v>-0.67869655151349451</v>
      </c>
    </row>
    <row r="74" spans="1:11" x14ac:dyDescent="0.3">
      <c r="A74" s="1">
        <v>45723</v>
      </c>
      <c r="B74">
        <v>4.3478260869565216E-2</v>
      </c>
      <c r="C74">
        <v>9.4936708860759497E-3</v>
      </c>
      <c r="D74">
        <v>4.7619047619047616E-2</v>
      </c>
      <c r="E74">
        <v>-2.5316455696202531E-2</v>
      </c>
      <c r="F74">
        <v>6.6079295154185024E-3</v>
      </c>
      <c r="G74">
        <v>-2.5179856115107913E-2</v>
      </c>
      <c r="H74">
        <v>2.7397260273972601E-2</v>
      </c>
      <c r="I74">
        <v>8.771929824561403E-3</v>
      </c>
      <c r="J74">
        <f t="shared" si="2"/>
        <v>1.7826371884517821E-2</v>
      </c>
      <c r="K74">
        <f t="shared" si="3"/>
        <v>0.92002621708474519</v>
      </c>
    </row>
    <row r="75" spans="1:11" x14ac:dyDescent="0.3">
      <c r="A75" s="2">
        <v>45754</v>
      </c>
      <c r="B75">
        <v>-3.8461538461538464E-2</v>
      </c>
      <c r="C75">
        <v>6.269592476489028E-3</v>
      </c>
      <c r="D75">
        <v>-9.5693779904306216E-3</v>
      </c>
      <c r="E75">
        <v>6.4935064935064939E-3</v>
      </c>
      <c r="F75">
        <v>1.0940919037199124E-2</v>
      </c>
      <c r="G75">
        <v>-2.9520295202952029E-2</v>
      </c>
      <c r="H75">
        <v>-1.3333333333333334E-2</v>
      </c>
      <c r="I75">
        <v>0</v>
      </c>
      <c r="J75">
        <f t="shared" si="2"/>
        <v>-9.6258500681138184E-3</v>
      </c>
      <c r="K75">
        <f t="shared" si="3"/>
        <v>-0.50810611232838387</v>
      </c>
    </row>
    <row r="76" spans="1:11" x14ac:dyDescent="0.3">
      <c r="A76" s="1">
        <v>45845</v>
      </c>
      <c r="B76">
        <v>-0.03</v>
      </c>
      <c r="C76">
        <v>-1.2461059190031152E-2</v>
      </c>
      <c r="D76">
        <v>-9.6618357487922701E-3</v>
      </c>
      <c r="E76">
        <v>7.0967741935483872E-2</v>
      </c>
      <c r="F76">
        <v>1.2987012987012988E-2</v>
      </c>
      <c r="G76">
        <v>2.6615969581749048E-2</v>
      </c>
      <c r="H76">
        <v>1.6891891891891893E-2</v>
      </c>
      <c r="I76">
        <v>-4.3478260869565218E-3</v>
      </c>
      <c r="J76">
        <f t="shared" si="2"/>
        <v>-2.8048608621276819E-3</v>
      </c>
      <c r="K76">
        <f t="shared" si="3"/>
        <v>-0.15326142178001217</v>
      </c>
    </row>
    <row r="77" spans="1:11" x14ac:dyDescent="0.3">
      <c r="A77" s="2">
        <v>45876</v>
      </c>
      <c r="B77">
        <v>6.8728522336769758E-3</v>
      </c>
      <c r="C77">
        <v>-6.3091482649842269E-3</v>
      </c>
      <c r="D77">
        <v>1.4634146341463415E-2</v>
      </c>
      <c r="E77">
        <v>1.5060240963855422E-2</v>
      </c>
      <c r="F77">
        <v>-4.2735042735042739E-3</v>
      </c>
      <c r="G77">
        <v>-1.8518518518518517E-2</v>
      </c>
      <c r="H77">
        <v>3.6544850498338874E-2</v>
      </c>
      <c r="I77">
        <v>-1.3100436681222707E-2</v>
      </c>
      <c r="J77">
        <f t="shared" si="2"/>
        <v>1.7848352438156125E-3</v>
      </c>
      <c r="K77">
        <f t="shared" si="3"/>
        <v>8.5505895575544014E-2</v>
      </c>
    </row>
    <row r="78" spans="1:11" x14ac:dyDescent="0.3">
      <c r="A78" s="1">
        <v>45907</v>
      </c>
      <c r="B78">
        <v>-3.4129692832764505E-3</v>
      </c>
      <c r="C78">
        <v>-6.3492063492063492E-3</v>
      </c>
      <c r="D78">
        <v>1.4423076923076924E-2</v>
      </c>
      <c r="E78">
        <v>3.2640949554896145E-2</v>
      </c>
      <c r="F78">
        <v>1.2875536480686695E-2</v>
      </c>
      <c r="G78">
        <v>7.5471698113207548E-3</v>
      </c>
      <c r="H78">
        <v>3.5256410256410256E-2</v>
      </c>
      <c r="I78">
        <v>1.3274336283185841E-2</v>
      </c>
      <c r="J78">
        <f t="shared" si="2"/>
        <v>4.7148778011246182E-3</v>
      </c>
      <c r="K78">
        <f t="shared" si="3"/>
        <v>0.2379339398289228</v>
      </c>
    </row>
    <row r="79" spans="1:11" x14ac:dyDescent="0.3">
      <c r="A79" s="2">
        <v>45937</v>
      </c>
      <c r="B79">
        <v>2.3972602739726026E-2</v>
      </c>
      <c r="C79">
        <v>1.9169329073482427E-2</v>
      </c>
      <c r="D79">
        <v>0</v>
      </c>
      <c r="E79">
        <v>0</v>
      </c>
      <c r="F79">
        <v>-8.4745762711864406E-3</v>
      </c>
      <c r="G79">
        <v>7.4906367041198503E-3</v>
      </c>
      <c r="H79">
        <v>9.2879256965944269E-3</v>
      </c>
      <c r="I79">
        <v>4.3668122270742356E-3</v>
      </c>
      <c r="J79">
        <f t="shared" si="2"/>
        <v>1.1728831399648521E-2</v>
      </c>
      <c r="K79">
        <f t="shared" si="3"/>
        <v>0.60281711425245244</v>
      </c>
    </row>
    <row r="80" spans="1:11" x14ac:dyDescent="0.3">
      <c r="A80" s="1">
        <v>45968</v>
      </c>
      <c r="B80">
        <v>0</v>
      </c>
      <c r="C80">
        <v>0</v>
      </c>
      <c r="D80">
        <v>0</v>
      </c>
      <c r="E80">
        <v>3.4482758620689655E-2</v>
      </c>
      <c r="F80">
        <v>6.41025641025641E-3</v>
      </c>
      <c r="G80">
        <v>1.4869888475836431E-2</v>
      </c>
      <c r="H80">
        <v>-2.7607361963190184E-2</v>
      </c>
      <c r="I80">
        <v>-4.3478260869565218E-3</v>
      </c>
      <c r="J80">
        <f t="shared" si="2"/>
        <v>4.7797470233713465E-3</v>
      </c>
      <c r="K80">
        <f t="shared" si="3"/>
        <v>0.24130859684700642</v>
      </c>
    </row>
    <row r="81" spans="1:11" x14ac:dyDescent="0.3">
      <c r="A81" s="4" t="s">
        <v>46</v>
      </c>
      <c r="B81">
        <v>1.3377926421404682E-2</v>
      </c>
      <c r="C81">
        <v>-9.4043887147335428E-3</v>
      </c>
      <c r="D81">
        <v>-9.4786729857819912E-3</v>
      </c>
      <c r="E81">
        <v>0.16666666666666666</v>
      </c>
      <c r="F81">
        <v>-2.1231422505307855E-3</v>
      </c>
      <c r="G81">
        <v>-1.4652014652014652E-2</v>
      </c>
      <c r="H81">
        <v>9.4637223974763408E-3</v>
      </c>
      <c r="I81">
        <v>1.3100436681222707E-2</v>
      </c>
      <c r="J81">
        <f t="shared" si="2"/>
        <v>1.4371424145381723E-2</v>
      </c>
      <c r="K81">
        <f t="shared" si="3"/>
        <v>0.74029130997206016</v>
      </c>
    </row>
    <row r="82" spans="1:11" x14ac:dyDescent="0.3">
      <c r="A82" s="3" t="s">
        <v>47</v>
      </c>
      <c r="B82">
        <v>-9.9009900990099011E-3</v>
      </c>
      <c r="C82">
        <v>-9.4936708860759497E-3</v>
      </c>
      <c r="D82">
        <v>2.8708133971291867E-2</v>
      </c>
      <c r="E82">
        <v>-3.3333333333333333E-2</v>
      </c>
      <c r="F82">
        <v>0</v>
      </c>
      <c r="G82">
        <v>-1.858736059479554E-2</v>
      </c>
      <c r="H82">
        <v>-1.5625E-2</v>
      </c>
      <c r="I82">
        <v>7.3275862068965511E-2</v>
      </c>
      <c r="J82">
        <f t="shared" si="2"/>
        <v>-5.2498340622886309E-3</v>
      </c>
      <c r="K82">
        <f t="shared" si="3"/>
        <v>-0.28045496107615653</v>
      </c>
    </row>
    <row r="83" spans="1:11" x14ac:dyDescent="0.3">
      <c r="A83" s="4" t="s">
        <v>48</v>
      </c>
      <c r="B83">
        <v>-3.3333333333333335E-3</v>
      </c>
      <c r="C83">
        <v>3.1948881789137379E-3</v>
      </c>
      <c r="D83">
        <v>-9.3023255813953487E-3</v>
      </c>
      <c r="E83">
        <v>-9.852216748768473E-3</v>
      </c>
      <c r="F83">
        <v>1.0638297872340425E-2</v>
      </c>
      <c r="G83">
        <v>3.787878787878788E-3</v>
      </c>
      <c r="H83">
        <v>2.8571428571428571E-2</v>
      </c>
      <c r="I83">
        <v>3.2128514056224897E-2</v>
      </c>
      <c r="J83">
        <f t="shared" si="2"/>
        <v>-9.995046317348591E-5</v>
      </c>
      <c r="K83">
        <f t="shared" si="3"/>
        <v>-1.2545307959508173E-2</v>
      </c>
    </row>
    <row r="84" spans="1:11" x14ac:dyDescent="0.3">
      <c r="A84" s="3" t="s">
        <v>49</v>
      </c>
      <c r="B84">
        <v>6.688963210702341E-3</v>
      </c>
      <c r="C84">
        <v>3.1847133757961785E-3</v>
      </c>
      <c r="D84">
        <v>3.7558685446009391E-2</v>
      </c>
      <c r="E84">
        <v>8.45771144278607E-2</v>
      </c>
      <c r="F84">
        <v>8.4210526315789472E-3</v>
      </c>
      <c r="G84">
        <v>4.5283018867924525E-2</v>
      </c>
      <c r="H84">
        <v>4.3209876543209874E-2</v>
      </c>
      <c r="I84">
        <v>3.8910505836575876E-2</v>
      </c>
      <c r="J84">
        <f t="shared" si="2"/>
        <v>2.0776506052021502E-2</v>
      </c>
      <c r="K84">
        <f t="shared" si="3"/>
        <v>1.0734994764802168</v>
      </c>
    </row>
    <row r="85" spans="1:11" x14ac:dyDescent="0.3">
      <c r="A85" s="4" t="s">
        <v>50</v>
      </c>
      <c r="B85">
        <v>-1.3289036544850499E-2</v>
      </c>
      <c r="C85">
        <v>3.8095238095238099E-2</v>
      </c>
      <c r="D85">
        <v>9.5022624434389136E-2</v>
      </c>
      <c r="E85">
        <v>3.669724770642202E-2</v>
      </c>
      <c r="F85">
        <v>-8.350730688935281E-3</v>
      </c>
      <c r="G85">
        <v>0</v>
      </c>
      <c r="H85">
        <v>-5.9171597633136093E-3</v>
      </c>
      <c r="I85">
        <v>-1.4981273408239701E-2</v>
      </c>
      <c r="J85">
        <f t="shared" si="2"/>
        <v>2.3682017051808526E-2</v>
      </c>
      <c r="K85">
        <f t="shared" si="3"/>
        <v>1.2246513285751448</v>
      </c>
    </row>
    <row r="86" spans="1:11" x14ac:dyDescent="0.3">
      <c r="A86" s="3" t="s">
        <v>51</v>
      </c>
      <c r="B86">
        <v>7.407407407407407E-2</v>
      </c>
      <c r="C86">
        <v>-3.0581039755351682E-3</v>
      </c>
      <c r="D86">
        <v>1.2396694214876033E-2</v>
      </c>
      <c r="E86">
        <v>5.7522123893805309E-2</v>
      </c>
      <c r="F86">
        <v>2.1052631578947368E-3</v>
      </c>
      <c r="G86">
        <v>1.0830324909747292E-2</v>
      </c>
      <c r="H86">
        <v>2.3809523809523808E-2</v>
      </c>
      <c r="I86">
        <v>-7.6045627376425855E-3</v>
      </c>
      <c r="J86">
        <f t="shared" si="2"/>
        <v>2.6731585826077639E-2</v>
      </c>
      <c r="K86">
        <f t="shared" si="3"/>
        <v>1.3832974215878449</v>
      </c>
    </row>
    <row r="87" spans="1:11" x14ac:dyDescent="0.3">
      <c r="A87" s="4" t="s">
        <v>52</v>
      </c>
      <c r="B87">
        <v>-7.2100313479623826E-2</v>
      </c>
      <c r="C87">
        <v>-1.5337423312883436E-2</v>
      </c>
      <c r="D87">
        <v>-4.4897959183673466E-2</v>
      </c>
      <c r="E87">
        <v>-7.9497907949790794E-2</v>
      </c>
      <c r="F87">
        <v>-1.4705882352941176E-2</v>
      </c>
      <c r="G87">
        <v>1.7857142857142856E-2</v>
      </c>
      <c r="H87">
        <v>-8.7209302325581394E-3</v>
      </c>
      <c r="I87">
        <v>-1.532567049808429E-2</v>
      </c>
      <c r="J87">
        <f t="shared" si="2"/>
        <v>-3.8138142660614327E-2</v>
      </c>
      <c r="K87">
        <f t="shared" si="3"/>
        <v>-1.9913859323479435</v>
      </c>
    </row>
    <row r="88" spans="1:11" x14ac:dyDescent="0.3">
      <c r="A88" s="3" t="s">
        <v>53</v>
      </c>
      <c r="B88">
        <v>2.7027027027027029E-2</v>
      </c>
      <c r="C88">
        <v>3.1152647975077881E-3</v>
      </c>
      <c r="D88">
        <v>4.2735042735042736E-2</v>
      </c>
      <c r="E88">
        <v>4.5454545454545452E-3</v>
      </c>
      <c r="F88">
        <v>5.5437100213219619E-2</v>
      </c>
      <c r="G88">
        <v>0</v>
      </c>
      <c r="H88">
        <v>-2.0527859237536656E-2</v>
      </c>
      <c r="I88">
        <v>3.8910505836575876E-3</v>
      </c>
      <c r="J88">
        <f t="shared" si="2"/>
        <v>2.064745260624248E-2</v>
      </c>
      <c r="K88">
        <f t="shared" si="3"/>
        <v>1.0667857977675355</v>
      </c>
    </row>
    <row r="89" spans="1:11" x14ac:dyDescent="0.3">
      <c r="A89" s="4" t="s">
        <v>54</v>
      </c>
      <c r="B89">
        <v>-3.2894736842105261E-3</v>
      </c>
      <c r="C89">
        <v>9.316770186335404E-3</v>
      </c>
      <c r="D89">
        <v>-8.1967213114754103E-3</v>
      </c>
      <c r="E89">
        <v>4.5248868778280547E-3</v>
      </c>
      <c r="F89">
        <v>2.0202020202020204E-2</v>
      </c>
      <c r="G89">
        <v>-3.5087719298245615E-3</v>
      </c>
      <c r="H89">
        <v>-8.9820359281437123E-3</v>
      </c>
      <c r="I89">
        <v>1.1627906976744186E-2</v>
      </c>
      <c r="J89">
        <f t="shared" si="2"/>
        <v>3.4252610936376889E-3</v>
      </c>
      <c r="K89">
        <f t="shared" si="3"/>
        <v>0.17084489633760555</v>
      </c>
    </row>
    <row r="90" spans="1:11" x14ac:dyDescent="0.3">
      <c r="A90" s="3" t="s">
        <v>55</v>
      </c>
      <c r="B90">
        <v>-1.9801980198019802E-2</v>
      </c>
      <c r="C90">
        <v>-1.2307692307692308E-2</v>
      </c>
      <c r="D90">
        <v>-2.0661157024793389E-2</v>
      </c>
      <c r="E90">
        <v>0.11711711711711711</v>
      </c>
      <c r="F90">
        <v>-9.9009900990099011E-3</v>
      </c>
      <c r="G90">
        <v>-7.0422535211267607E-3</v>
      </c>
      <c r="H90">
        <v>-2.7190332326283987E-2</v>
      </c>
      <c r="I90">
        <v>-2.2988505747126436E-2</v>
      </c>
      <c r="J90">
        <f t="shared" si="2"/>
        <v>-2.5663766196032918E-3</v>
      </c>
      <c r="K90">
        <f t="shared" si="3"/>
        <v>-0.14085488297989754</v>
      </c>
    </row>
    <row r="91" spans="1:11" x14ac:dyDescent="0.3">
      <c r="A91" s="4" t="s">
        <v>56</v>
      </c>
      <c r="B91">
        <v>0</v>
      </c>
      <c r="C91">
        <v>3.1152647975077881E-3</v>
      </c>
      <c r="D91">
        <v>9.2827004219409287E-2</v>
      </c>
      <c r="E91">
        <v>-4.0322580645161289E-3</v>
      </c>
      <c r="F91">
        <v>0.02</v>
      </c>
      <c r="G91">
        <v>1.4184397163120567E-2</v>
      </c>
      <c r="H91">
        <v>2.4844720496894408E-2</v>
      </c>
      <c r="I91">
        <v>-1.1764705882352941E-2</v>
      </c>
      <c r="J91">
        <f t="shared" si="2"/>
        <v>1.6749768257195742E-2</v>
      </c>
      <c r="K91">
        <f t="shared" si="3"/>
        <v>0.86401863967279324</v>
      </c>
    </row>
    <row r="92" spans="1:11" x14ac:dyDescent="0.3">
      <c r="A92" s="3" t="s">
        <v>57</v>
      </c>
      <c r="B92">
        <v>1.0101010101010102E-2</v>
      </c>
      <c r="C92">
        <v>1.2422360248447204E-2</v>
      </c>
      <c r="D92">
        <v>1.9305019305019305E-2</v>
      </c>
      <c r="E92">
        <v>5.6680161943319839E-2</v>
      </c>
      <c r="F92">
        <v>0</v>
      </c>
      <c r="G92">
        <v>6.993006993006993E-3</v>
      </c>
      <c r="H92">
        <v>2.1212121212121213E-2</v>
      </c>
      <c r="I92">
        <v>1.1904761904761904E-2</v>
      </c>
      <c r="J92">
        <f t="shared" si="2"/>
        <v>1.5307877929960686E-2</v>
      </c>
      <c r="K92">
        <f t="shared" si="3"/>
        <v>0.789007946718846</v>
      </c>
    </row>
    <row r="93" spans="1:11" x14ac:dyDescent="0.3">
      <c r="A93" s="4" t="s">
        <v>58</v>
      </c>
      <c r="B93">
        <v>-3.3333333333333335E-3</v>
      </c>
      <c r="C93">
        <v>-6.1349693251533744E-3</v>
      </c>
      <c r="D93">
        <v>-3.4090909090909088E-2</v>
      </c>
      <c r="E93">
        <v>0</v>
      </c>
      <c r="F93">
        <v>9.8039215686274508E-3</v>
      </c>
      <c r="G93">
        <v>0</v>
      </c>
      <c r="H93">
        <v>-2.967359050445104E-2</v>
      </c>
      <c r="I93">
        <v>-1.5686274509803921E-2</v>
      </c>
      <c r="J93">
        <f t="shared" si="2"/>
        <v>-6.7385115882026073E-3</v>
      </c>
      <c r="K93">
        <f t="shared" si="3"/>
        <v>-0.35789963956145099</v>
      </c>
    </row>
    <row r="94" spans="1:11" x14ac:dyDescent="0.3">
      <c r="A94" s="3" t="s">
        <v>59</v>
      </c>
      <c r="B94">
        <v>-4.6822742474916385E-2</v>
      </c>
      <c r="C94">
        <v>6.1728395061728392E-3</v>
      </c>
      <c r="D94">
        <v>-7.4509803921568626E-2</v>
      </c>
      <c r="E94">
        <v>7.6628352490421452E-3</v>
      </c>
      <c r="F94">
        <v>-9.7087378640776691E-3</v>
      </c>
      <c r="G94">
        <v>0</v>
      </c>
      <c r="H94">
        <v>-2.1406727828746176E-2</v>
      </c>
      <c r="I94">
        <v>3.9840637450199202E-3</v>
      </c>
      <c r="J94">
        <f t="shared" si="2"/>
        <v>-2.1198267421516849E-2</v>
      </c>
      <c r="K94">
        <f t="shared" si="3"/>
        <v>-1.1101318201335064</v>
      </c>
    </row>
    <row r="95" spans="1:11" x14ac:dyDescent="0.3">
      <c r="A95" s="2">
        <v>45665</v>
      </c>
      <c r="B95">
        <v>1.0526315789473684E-2</v>
      </c>
      <c r="C95">
        <v>-6.1349693251533744E-3</v>
      </c>
      <c r="D95">
        <v>3.8135593220338986E-2</v>
      </c>
      <c r="E95">
        <v>2.2813688212927757E-2</v>
      </c>
      <c r="F95">
        <v>-1.9607843137254902E-2</v>
      </c>
      <c r="G95">
        <v>3.4722222222222224E-2</v>
      </c>
      <c r="H95">
        <v>5.3124999999999999E-2</v>
      </c>
      <c r="I95">
        <v>1.984126984126984E-2</v>
      </c>
      <c r="J95">
        <f t="shared" si="2"/>
        <v>9.0227129697497167E-3</v>
      </c>
      <c r="K95">
        <f t="shared" si="3"/>
        <v>0.46203815568117002</v>
      </c>
    </row>
    <row r="96" spans="1:11" x14ac:dyDescent="0.3">
      <c r="A96" s="1">
        <v>45755</v>
      </c>
      <c r="B96">
        <v>1.0416666666666666E-2</v>
      </c>
      <c r="C96">
        <v>9.2592592592592587E-3</v>
      </c>
      <c r="D96">
        <v>-3.6734693877551024E-2</v>
      </c>
      <c r="E96">
        <v>-4.4609665427509292E-2</v>
      </c>
      <c r="F96">
        <v>5.0000000000000001E-3</v>
      </c>
      <c r="G96">
        <v>1.6778523489932886E-2</v>
      </c>
      <c r="H96">
        <v>8.9020771513353119E-3</v>
      </c>
      <c r="I96">
        <v>1.9455252918287938E-2</v>
      </c>
      <c r="J96">
        <f t="shared" si="2"/>
        <v>-1.9016640485835466E-3</v>
      </c>
      <c r="K96">
        <f t="shared" si="3"/>
        <v>-0.10627489473418775</v>
      </c>
    </row>
    <row r="97" spans="1:11" x14ac:dyDescent="0.3">
      <c r="A97" s="2">
        <v>45785</v>
      </c>
      <c r="B97">
        <v>1.0309278350515464E-2</v>
      </c>
      <c r="C97">
        <v>-6.1162079510703364E-3</v>
      </c>
      <c r="D97">
        <v>-1.2711864406779662E-2</v>
      </c>
      <c r="E97">
        <v>-4.2801556420233464E-2</v>
      </c>
      <c r="F97">
        <v>0</v>
      </c>
      <c r="G97">
        <v>0</v>
      </c>
      <c r="H97">
        <v>-2.9411764705882353E-2</v>
      </c>
      <c r="I97">
        <v>-1.5267175572519083E-2</v>
      </c>
      <c r="J97">
        <f t="shared" si="2"/>
        <v>-5.4450610582526295E-3</v>
      </c>
      <c r="K97">
        <f t="shared" si="3"/>
        <v>-0.29061115116493969</v>
      </c>
    </row>
    <row r="98" spans="1:11" x14ac:dyDescent="0.3">
      <c r="A98" s="1">
        <v>45816</v>
      </c>
      <c r="B98">
        <v>4.7619047619047616E-2</v>
      </c>
      <c r="C98">
        <v>0.04</v>
      </c>
      <c r="D98">
        <v>3.0042918454935622E-2</v>
      </c>
      <c r="E98">
        <v>1.2195121951219513E-2</v>
      </c>
      <c r="F98">
        <v>-2.4875621890547265E-2</v>
      </c>
      <c r="G98">
        <v>-1.3201320132013201E-2</v>
      </c>
      <c r="H98">
        <v>-1.8181818181818181E-2</v>
      </c>
      <c r="I98">
        <v>0</v>
      </c>
      <c r="J98">
        <f t="shared" si="2"/>
        <v>2.6082013582191626E-2</v>
      </c>
      <c r="K98">
        <f t="shared" si="3"/>
        <v>1.3495050705211906</v>
      </c>
    </row>
    <row r="99" spans="1:11" x14ac:dyDescent="0.3">
      <c r="A99" s="2">
        <v>45846</v>
      </c>
      <c r="B99">
        <v>2.2727272727272728E-2</v>
      </c>
      <c r="C99">
        <v>0</v>
      </c>
      <c r="D99">
        <v>3.7499999999999999E-2</v>
      </c>
      <c r="E99">
        <v>-4.4176706827309238E-2</v>
      </c>
      <c r="F99">
        <v>1.2244897959183673E-2</v>
      </c>
      <c r="G99">
        <v>-1.3377926421404682E-2</v>
      </c>
      <c r="H99">
        <v>-1.2345679012345678E-2</v>
      </c>
      <c r="I99">
        <v>-1.937984496124031E-2</v>
      </c>
      <c r="J99">
        <f t="shared" si="2"/>
        <v>7.1151346692131098E-3</v>
      </c>
      <c r="K99">
        <f t="shared" si="3"/>
        <v>0.36280122518483454</v>
      </c>
    </row>
    <row r="100" spans="1:11" x14ac:dyDescent="0.3">
      <c r="A100" s="1">
        <v>45877</v>
      </c>
      <c r="B100">
        <v>-1.9047619047619049E-2</v>
      </c>
      <c r="C100">
        <v>-2.9585798816568047E-3</v>
      </c>
      <c r="D100">
        <v>-8.0321285140562242E-3</v>
      </c>
      <c r="E100">
        <v>3.3613445378151259E-2</v>
      </c>
      <c r="F100">
        <v>-8.0645161290322578E-3</v>
      </c>
      <c r="G100">
        <v>-3.3898305084745762E-3</v>
      </c>
      <c r="H100">
        <v>-6.2500000000000003E-3</v>
      </c>
      <c r="I100">
        <v>4.3478260869565216E-2</v>
      </c>
      <c r="J100">
        <f t="shared" si="2"/>
        <v>-4.483558805881231E-3</v>
      </c>
      <c r="K100">
        <f t="shared" si="3"/>
        <v>-0.24059143131186228</v>
      </c>
    </row>
    <row r="101" spans="1:11" x14ac:dyDescent="0.3">
      <c r="A101" s="2">
        <v>45969</v>
      </c>
      <c r="B101">
        <v>-4.8543689320388349E-2</v>
      </c>
      <c r="C101">
        <v>-8.9020771513353119E-3</v>
      </c>
      <c r="D101">
        <v>-3.2388663967611336E-2</v>
      </c>
      <c r="E101">
        <v>-4.4715447154471545E-2</v>
      </c>
      <c r="F101">
        <v>-4.0650406504065045E-3</v>
      </c>
      <c r="G101">
        <v>1.7006802721088437E-2</v>
      </c>
      <c r="H101">
        <v>-3.1446540880503146E-3</v>
      </c>
      <c r="I101">
        <v>2.2727272727272728E-2</v>
      </c>
      <c r="J101">
        <f t="shared" si="2"/>
        <v>-2.3318480410581745E-2</v>
      </c>
      <c r="K101">
        <f t="shared" si="3"/>
        <v>-1.2204305318425219</v>
      </c>
    </row>
    <row r="102" spans="1:11" x14ac:dyDescent="0.3">
      <c r="A102" s="1">
        <v>45999</v>
      </c>
      <c r="B102">
        <v>-1.3605442176870748E-2</v>
      </c>
      <c r="C102">
        <v>5.9880239520958087E-3</v>
      </c>
      <c r="D102">
        <v>-4.6025104602510462E-2</v>
      </c>
      <c r="E102">
        <v>-4.2553191489361703E-3</v>
      </c>
      <c r="F102">
        <v>1.8367346938775512E-2</v>
      </c>
      <c r="G102">
        <v>6.354515050167224E-2</v>
      </c>
      <c r="H102">
        <v>-6.3091482649842269E-3</v>
      </c>
      <c r="I102">
        <v>5.5555555555555552E-2</v>
      </c>
      <c r="J102">
        <f t="shared" si="2"/>
        <v>-1.684438290673496E-3</v>
      </c>
      <c r="K102">
        <f t="shared" si="3"/>
        <v>-9.4974274762955363E-2</v>
      </c>
    </row>
    <row r="103" spans="1:11" x14ac:dyDescent="0.3">
      <c r="A103" s="4" t="s">
        <v>60</v>
      </c>
      <c r="B103">
        <v>3.4482758620689655E-3</v>
      </c>
      <c r="C103">
        <v>0</v>
      </c>
      <c r="D103">
        <v>0</v>
      </c>
      <c r="E103">
        <v>-8.5470085470085479E-3</v>
      </c>
      <c r="F103">
        <v>3.7074148296593189E-2</v>
      </c>
      <c r="G103">
        <v>5.6603773584905662E-2</v>
      </c>
      <c r="H103">
        <v>-6.3492063492063492E-3</v>
      </c>
      <c r="I103">
        <v>2.1052631578947368E-2</v>
      </c>
      <c r="J103">
        <f t="shared" si="2"/>
        <v>8.2503429107864956E-3</v>
      </c>
      <c r="K103">
        <f t="shared" si="3"/>
        <v>0.42185755924786894</v>
      </c>
    </row>
    <row r="104" spans="1:11" x14ac:dyDescent="0.3">
      <c r="A104" s="3" t="s">
        <v>61</v>
      </c>
      <c r="B104">
        <v>-6.8728522336769758E-3</v>
      </c>
      <c r="C104">
        <v>-1.1904761904761904E-2</v>
      </c>
      <c r="D104">
        <v>-4.3859649122807015E-3</v>
      </c>
      <c r="E104">
        <v>-8.6206896551724137E-3</v>
      </c>
      <c r="F104">
        <v>-1.4492753623188406E-2</v>
      </c>
      <c r="G104">
        <v>1.7857142857142856E-2</v>
      </c>
      <c r="H104">
        <v>-1.9169329073482427E-2</v>
      </c>
      <c r="I104">
        <v>1.7182130584192441E-2</v>
      </c>
      <c r="J104">
        <f t="shared" si="2"/>
        <v>-7.3110653391463484E-3</v>
      </c>
      <c r="K104">
        <f t="shared" si="3"/>
        <v>-0.38768529856786615</v>
      </c>
    </row>
    <row r="105" spans="1:11" x14ac:dyDescent="0.3">
      <c r="A105" s="4" t="s">
        <v>62</v>
      </c>
      <c r="B105">
        <v>3.4602076124567475E-3</v>
      </c>
      <c r="C105">
        <v>-3.0120481927710845E-3</v>
      </c>
      <c r="D105">
        <v>-2.2026431718061675E-2</v>
      </c>
      <c r="E105">
        <v>-8.6956521739130436E-3</v>
      </c>
      <c r="F105">
        <v>-1.4705882352941176E-2</v>
      </c>
      <c r="G105">
        <v>-3.2163742690058478E-2</v>
      </c>
      <c r="H105">
        <v>9.7719869706840382E-3</v>
      </c>
      <c r="I105">
        <v>-1.3513513513513514E-2</v>
      </c>
      <c r="J105">
        <f t="shared" si="2"/>
        <v>-7.7902955718439212E-3</v>
      </c>
      <c r="K105">
        <f t="shared" si="3"/>
        <v>-0.41261603786206641</v>
      </c>
    </row>
    <row r="106" spans="1:11" x14ac:dyDescent="0.3">
      <c r="A106" s="3" t="s">
        <v>63</v>
      </c>
      <c r="B106">
        <v>-3.1034482758620689E-2</v>
      </c>
      <c r="C106">
        <v>6.0422960725075529E-3</v>
      </c>
      <c r="D106">
        <v>4.0540540540540543E-2</v>
      </c>
      <c r="E106">
        <v>-2.1929824561403508E-2</v>
      </c>
      <c r="F106">
        <v>9.950248756218906E-2</v>
      </c>
      <c r="G106">
        <v>-1.812688821752266E-2</v>
      </c>
      <c r="H106">
        <v>-1.2903225806451613E-2</v>
      </c>
      <c r="I106">
        <v>1.3698630136986301E-2</v>
      </c>
      <c r="J106">
        <f t="shared" si="2"/>
        <v>7.5646440933591266E-3</v>
      </c>
      <c r="K106">
        <f t="shared" si="3"/>
        <v>0.38618581467658841</v>
      </c>
    </row>
    <row r="107" spans="1:11" x14ac:dyDescent="0.3">
      <c r="A107" s="4" t="s">
        <v>64</v>
      </c>
      <c r="B107">
        <v>1.0676156583629894E-2</v>
      </c>
      <c r="C107">
        <v>1.5015015015015015E-2</v>
      </c>
      <c r="D107">
        <v>4.329004329004329E-3</v>
      </c>
      <c r="E107">
        <v>5.3811659192825115E-2</v>
      </c>
      <c r="F107">
        <v>0</v>
      </c>
      <c r="G107">
        <v>-9.2307692307692316E-3</v>
      </c>
      <c r="H107">
        <v>2.6143790849673203E-2</v>
      </c>
      <c r="I107">
        <v>-3.3783783783783786E-3</v>
      </c>
      <c r="J107">
        <f t="shared" si="2"/>
        <v>1.2695999271983545E-2</v>
      </c>
      <c r="K107">
        <f t="shared" si="3"/>
        <v>0.65313157363700314</v>
      </c>
    </row>
    <row r="108" spans="1:11" x14ac:dyDescent="0.3">
      <c r="A108" s="3" t="s">
        <v>65</v>
      </c>
      <c r="B108">
        <v>-3.5211267605633804E-3</v>
      </c>
      <c r="C108">
        <v>2.0710059171597635E-2</v>
      </c>
      <c r="D108">
        <v>-1.7241379310344827E-2</v>
      </c>
      <c r="E108">
        <v>-2.9787234042553193E-2</v>
      </c>
      <c r="F108">
        <v>1.8099547511312219E-2</v>
      </c>
      <c r="G108">
        <v>9.316770186335404E-3</v>
      </c>
      <c r="H108">
        <v>4.7770700636942678E-2</v>
      </c>
      <c r="I108">
        <v>-6.7796610169491523E-3</v>
      </c>
      <c r="J108">
        <f t="shared" si="2"/>
        <v>3.1078583098260127E-3</v>
      </c>
      <c r="K108">
        <f t="shared" si="3"/>
        <v>0.15433282027362316</v>
      </c>
    </row>
    <row r="109" spans="1:11" x14ac:dyDescent="0.3">
      <c r="A109" s="4" t="s">
        <v>66</v>
      </c>
      <c r="B109">
        <v>-3.5335689045936395E-3</v>
      </c>
      <c r="C109">
        <v>-2.8985507246376812E-3</v>
      </c>
      <c r="D109">
        <v>0</v>
      </c>
      <c r="E109">
        <v>-1.3157894736842105E-2</v>
      </c>
      <c r="F109">
        <v>1.3333333333333334E-2</v>
      </c>
      <c r="G109">
        <v>-3.0769230769230769E-3</v>
      </c>
      <c r="H109">
        <v>0</v>
      </c>
      <c r="I109">
        <v>0</v>
      </c>
      <c r="J109">
        <f t="shared" si="2"/>
        <v>-1.7391809681343772E-3</v>
      </c>
      <c r="K109">
        <f t="shared" si="3"/>
        <v>-9.7822123932156224E-2</v>
      </c>
    </row>
    <row r="110" spans="1:11" x14ac:dyDescent="0.3">
      <c r="A110" s="3" t="s">
        <v>67</v>
      </c>
      <c r="B110">
        <v>1.7730496453900711E-2</v>
      </c>
      <c r="C110">
        <v>0</v>
      </c>
      <c r="D110">
        <v>-8.771929824561403E-3</v>
      </c>
      <c r="E110">
        <v>8.8888888888888889E-3</v>
      </c>
      <c r="F110">
        <v>8.771929824561403E-3</v>
      </c>
      <c r="G110">
        <v>2.1604938271604937E-2</v>
      </c>
      <c r="H110">
        <v>-1.82370820668693E-2</v>
      </c>
      <c r="I110">
        <v>0</v>
      </c>
      <c r="J110">
        <f t="shared" si="2"/>
        <v>6.561199602908436E-3</v>
      </c>
      <c r="K110">
        <f t="shared" si="3"/>
        <v>0.3339841560983931</v>
      </c>
    </row>
    <row r="111" spans="1:11" x14ac:dyDescent="0.3">
      <c r="A111" s="4" t="s">
        <v>68</v>
      </c>
      <c r="B111">
        <v>3.4843205574912892E-3</v>
      </c>
      <c r="C111">
        <v>-8.7209302325581394E-3</v>
      </c>
      <c r="D111">
        <v>-1.3274336283185841E-2</v>
      </c>
      <c r="E111">
        <v>-3.9647577092511016E-2</v>
      </c>
      <c r="F111">
        <v>-2.1739130434782608E-2</v>
      </c>
      <c r="G111">
        <v>-1.5105740181268883E-2</v>
      </c>
      <c r="H111">
        <v>-6.1919504643962852E-3</v>
      </c>
      <c r="I111">
        <v>1.0238907849829351E-2</v>
      </c>
      <c r="J111">
        <f t="shared" si="2"/>
        <v>-1.0839207862613963E-2</v>
      </c>
      <c r="K111">
        <f t="shared" si="3"/>
        <v>-0.57122797898315048</v>
      </c>
    </row>
    <row r="112" spans="1:11" x14ac:dyDescent="0.3">
      <c r="A112" s="3" t="s">
        <v>69</v>
      </c>
      <c r="B112">
        <v>2.7777777777777776E-2</v>
      </c>
      <c r="C112">
        <v>-2.3460410557184751E-2</v>
      </c>
      <c r="D112">
        <v>7.1748878923766815E-2</v>
      </c>
      <c r="E112">
        <v>5.0458715596330278E-2</v>
      </c>
      <c r="F112">
        <v>-2.2222222222222223E-2</v>
      </c>
      <c r="G112">
        <v>-2.7607361963190184E-2</v>
      </c>
      <c r="H112">
        <v>3.7383177570093455E-2</v>
      </c>
      <c r="I112">
        <v>-6.7567567567567571E-2</v>
      </c>
      <c r="J112">
        <f t="shared" si="2"/>
        <v>1.012036162530423E-2</v>
      </c>
      <c r="K112">
        <f t="shared" si="3"/>
        <v>0.5191405473942744</v>
      </c>
    </row>
    <row r="113" spans="1:11" x14ac:dyDescent="0.3">
      <c r="A113" s="4" t="s">
        <v>70</v>
      </c>
      <c r="B113">
        <v>6.7567567567567571E-3</v>
      </c>
      <c r="C113">
        <v>3.003003003003003E-2</v>
      </c>
      <c r="D113">
        <v>5.0209205020920501E-2</v>
      </c>
      <c r="E113">
        <v>-1.3100436681222707E-2</v>
      </c>
      <c r="F113">
        <v>1.3636363636363636E-2</v>
      </c>
      <c r="G113">
        <v>3.1545741324921135E-3</v>
      </c>
      <c r="H113">
        <v>-9.0090090090090089E-3</v>
      </c>
      <c r="I113">
        <v>3.6231884057971015E-3</v>
      </c>
      <c r="J113">
        <f t="shared" si="2"/>
        <v>1.8360935682436973E-2</v>
      </c>
      <c r="K113">
        <f t="shared" si="3"/>
        <v>0.94783554498758282</v>
      </c>
    </row>
    <row r="114" spans="1:11" x14ac:dyDescent="0.3">
      <c r="A114" s="3" t="s">
        <v>71</v>
      </c>
      <c r="B114">
        <v>2.0134228187919462E-2</v>
      </c>
      <c r="C114">
        <v>-2.9154518950437317E-3</v>
      </c>
      <c r="D114">
        <v>-1.5936254980079681E-2</v>
      </c>
      <c r="E114">
        <v>-3.0973451327433628E-2</v>
      </c>
      <c r="F114">
        <v>-1.3452914798206279E-2</v>
      </c>
      <c r="G114">
        <v>-1.5723270440251572E-2</v>
      </c>
      <c r="H114">
        <v>-6.0606060606060606E-3</v>
      </c>
      <c r="I114">
        <v>-7.2202166064981952E-3</v>
      </c>
      <c r="J114">
        <f t="shared" si="2"/>
        <v>-3.5325313354762364E-3</v>
      </c>
      <c r="K114">
        <f t="shared" si="3"/>
        <v>-0.19111663546513991</v>
      </c>
    </row>
    <row r="115" spans="1:11" x14ac:dyDescent="0.3">
      <c r="A115" s="2">
        <v>45666</v>
      </c>
      <c r="B115">
        <v>5.2631578947368418E-2</v>
      </c>
      <c r="C115">
        <v>-2.6315789473684209E-2</v>
      </c>
      <c r="D115">
        <v>8.0971659919028341E-3</v>
      </c>
      <c r="E115">
        <v>-2.7397260273972601E-2</v>
      </c>
      <c r="F115">
        <v>-9.0909090909090905E-3</v>
      </c>
      <c r="G115">
        <v>-6.3897763578274758E-3</v>
      </c>
      <c r="H115">
        <v>-1.2195121951219513E-2</v>
      </c>
      <c r="I115">
        <v>-1.090909090909091E-2</v>
      </c>
      <c r="J115">
        <f t="shared" si="2"/>
        <v>2.5466531294866634E-3</v>
      </c>
      <c r="K115">
        <f t="shared" si="3"/>
        <v>0.12513754191474633</v>
      </c>
    </row>
    <row r="116" spans="1:11" x14ac:dyDescent="0.3">
      <c r="A116" s="1">
        <v>45697</v>
      </c>
      <c r="B116">
        <v>8.4375000000000006E-2</v>
      </c>
      <c r="C116">
        <v>2.1021021021021023E-2</v>
      </c>
      <c r="D116">
        <v>3.2128514056224897E-2</v>
      </c>
      <c r="E116">
        <v>7.0422535211267609E-2</v>
      </c>
      <c r="F116">
        <v>4.5871559633027525E-3</v>
      </c>
      <c r="G116">
        <v>-1.2861736334405145E-2</v>
      </c>
      <c r="H116">
        <v>5.8641975308641972E-2</v>
      </c>
      <c r="I116">
        <v>1.8382352941176471E-2</v>
      </c>
      <c r="J116">
        <f t="shared" si="2"/>
        <v>4.0003911073509237E-2</v>
      </c>
      <c r="K116">
        <f t="shared" si="3"/>
        <v>2.0737565328776006</v>
      </c>
    </row>
    <row r="117" spans="1:11" x14ac:dyDescent="0.3">
      <c r="A117" s="2">
        <v>45725</v>
      </c>
      <c r="B117">
        <v>2.881844380403458E-3</v>
      </c>
      <c r="C117">
        <v>3.5294117647058823E-2</v>
      </c>
      <c r="D117">
        <v>-7.7821011673151752E-3</v>
      </c>
      <c r="E117">
        <v>-3.5087719298245612E-2</v>
      </c>
      <c r="F117">
        <v>4.5662100456621002E-3</v>
      </c>
      <c r="G117">
        <v>1.3029315960912053E-2</v>
      </c>
      <c r="H117">
        <v>-2.0408163265306121E-2</v>
      </c>
      <c r="I117">
        <v>-7.2202166064981952E-3</v>
      </c>
      <c r="J117">
        <f t="shared" si="2"/>
        <v>8.1813316652437473E-3</v>
      </c>
      <c r="K117">
        <f t="shared" si="3"/>
        <v>0.4182674239567174</v>
      </c>
    </row>
    <row r="118" spans="1:11" x14ac:dyDescent="0.3">
      <c r="A118" s="1">
        <v>45756</v>
      </c>
      <c r="B118">
        <v>-2.5862068965517241E-2</v>
      </c>
      <c r="C118">
        <v>5.681818181818182E-3</v>
      </c>
      <c r="D118">
        <v>2.7450980392156862E-2</v>
      </c>
      <c r="E118">
        <v>0</v>
      </c>
      <c r="F118">
        <v>0</v>
      </c>
      <c r="G118">
        <v>1.2861736334405145E-2</v>
      </c>
      <c r="H118">
        <v>4.7619047619047616E-2</v>
      </c>
      <c r="I118">
        <v>-3.6363636363636364E-3</v>
      </c>
      <c r="J118">
        <f t="shared" si="2"/>
        <v>-4.2545075774869005E-5</v>
      </c>
      <c r="K118">
        <f t="shared" si="3"/>
        <v>-9.5589380486168322E-3</v>
      </c>
    </row>
    <row r="119" spans="1:11" x14ac:dyDescent="0.3">
      <c r="A119" s="2">
        <v>45878</v>
      </c>
      <c r="B119">
        <v>6.4896755162241887E-2</v>
      </c>
      <c r="C119">
        <v>-2.5423728813559324E-2</v>
      </c>
      <c r="D119">
        <v>7.6335877862595417E-3</v>
      </c>
      <c r="E119">
        <v>-2.2727272727272728E-2</v>
      </c>
      <c r="F119">
        <v>-1.3636363636363636E-2</v>
      </c>
      <c r="G119">
        <v>-1.9047619047619049E-2</v>
      </c>
      <c r="H119">
        <v>-3.9772727272727272E-2</v>
      </c>
      <c r="I119">
        <v>-2.1897810218978103E-2</v>
      </c>
      <c r="J119">
        <f t="shared" si="2"/>
        <v>4.7211042475527416E-3</v>
      </c>
      <c r="K119">
        <f t="shared" si="3"/>
        <v>0.23825785493702242</v>
      </c>
    </row>
    <row r="120" spans="1:11" x14ac:dyDescent="0.3">
      <c r="A120" s="1">
        <v>45909</v>
      </c>
      <c r="B120">
        <v>1.3850415512465374E-2</v>
      </c>
      <c r="C120">
        <v>0</v>
      </c>
      <c r="D120">
        <v>2.2727272727272728E-2</v>
      </c>
      <c r="E120">
        <v>0</v>
      </c>
      <c r="F120">
        <v>1.8433179723502304E-2</v>
      </c>
      <c r="G120">
        <v>-1.2944983818770227E-2</v>
      </c>
      <c r="H120">
        <v>5.6213017751479293E-2</v>
      </c>
      <c r="I120">
        <v>-3.3582089552238806E-2</v>
      </c>
      <c r="J120">
        <f t="shared" si="2"/>
        <v>8.1110129684328867E-3</v>
      </c>
      <c r="K120">
        <f t="shared" si="3"/>
        <v>0.4146092718242208</v>
      </c>
    </row>
    <row r="121" spans="1:11" x14ac:dyDescent="0.3">
      <c r="A121" s="2">
        <v>45939</v>
      </c>
      <c r="B121">
        <v>-4.0983606557377046E-2</v>
      </c>
      <c r="C121">
        <v>-8.6956521739130436E-3</v>
      </c>
      <c r="D121">
        <v>-3.7037037037037035E-2</v>
      </c>
      <c r="E121">
        <v>5.1162790697674418E-2</v>
      </c>
      <c r="F121">
        <v>-9.0497737556561094E-3</v>
      </c>
      <c r="G121">
        <v>3.2786885245901641E-2</v>
      </c>
      <c r="H121">
        <v>-8.4033613445378148E-3</v>
      </c>
      <c r="I121">
        <v>3.8610038610038611E-3</v>
      </c>
      <c r="J121">
        <f t="shared" si="2"/>
        <v>-1.2472570482641028E-2</v>
      </c>
      <c r="K121">
        <f t="shared" si="3"/>
        <v>-0.65619953310144907</v>
      </c>
    </row>
    <row r="122" spans="1:11" x14ac:dyDescent="0.3">
      <c r="A122" s="1">
        <v>45970</v>
      </c>
      <c r="B122">
        <v>-3.4188034188034191E-2</v>
      </c>
      <c r="C122">
        <v>2.3391812865497075E-2</v>
      </c>
      <c r="D122">
        <v>-3.8461538461538464E-2</v>
      </c>
      <c r="E122">
        <v>-4.4247787610619468E-3</v>
      </c>
      <c r="F122">
        <v>1.3698630136986301E-2</v>
      </c>
      <c r="G122">
        <v>-2.2222222222222223E-2</v>
      </c>
      <c r="H122">
        <v>6.4971751412429377E-2</v>
      </c>
      <c r="I122">
        <v>-3.8461538461538464E-3</v>
      </c>
      <c r="J122">
        <f t="shared" si="2"/>
        <v>-7.0092797532703283E-3</v>
      </c>
      <c r="K122">
        <f t="shared" si="3"/>
        <v>-0.37198566767882218</v>
      </c>
    </row>
    <row r="123" spans="1:11" x14ac:dyDescent="0.3">
      <c r="A123" s="2">
        <v>46000</v>
      </c>
      <c r="B123">
        <v>2.9498525073746312E-2</v>
      </c>
      <c r="C123">
        <v>2.5714285714285714E-2</v>
      </c>
      <c r="D123">
        <v>1.2E-2</v>
      </c>
      <c r="E123">
        <v>4.4444444444444444E-3</v>
      </c>
      <c r="F123">
        <v>2.2522522522522521E-2</v>
      </c>
      <c r="G123">
        <v>6.4935064935064939E-3</v>
      </c>
      <c r="H123">
        <v>2.6525198938992044E-2</v>
      </c>
      <c r="I123">
        <v>0</v>
      </c>
      <c r="J123">
        <f t="shared" si="2"/>
        <v>2.0846005018521886E-2</v>
      </c>
      <c r="K123">
        <f t="shared" si="3"/>
        <v>1.0771149842191261</v>
      </c>
    </row>
    <row r="124" spans="1:11" x14ac:dyDescent="0.3">
      <c r="A124" s="3" t="s">
        <v>72</v>
      </c>
      <c r="B124">
        <v>0</v>
      </c>
      <c r="C124">
        <v>-1.3927576601671309E-2</v>
      </c>
      <c r="D124">
        <v>-3.952569169960474E-3</v>
      </c>
      <c r="E124">
        <v>3.5398230088495575E-2</v>
      </c>
      <c r="F124">
        <v>-8.8105726872246704E-3</v>
      </c>
      <c r="G124">
        <v>5.1612903225806452E-2</v>
      </c>
      <c r="H124">
        <v>-2.0671834625322998E-2</v>
      </c>
      <c r="I124">
        <v>0</v>
      </c>
      <c r="J124">
        <f t="shared" si="2"/>
        <v>8.46744257121556E-4</v>
      </c>
      <c r="K124">
        <f t="shared" si="3"/>
        <v>3.6704087534631863E-2</v>
      </c>
    </row>
    <row r="125" spans="1:11" x14ac:dyDescent="0.3">
      <c r="A125" s="4" t="s">
        <v>73</v>
      </c>
      <c r="B125">
        <v>3.151862464183381E-2</v>
      </c>
      <c r="C125">
        <v>-1.4124293785310734E-2</v>
      </c>
      <c r="D125">
        <v>7.9365079365079361E-3</v>
      </c>
      <c r="E125">
        <v>-8.5470085470085479E-3</v>
      </c>
      <c r="F125">
        <v>4.4444444444444444E-3</v>
      </c>
      <c r="G125">
        <v>1.2269938650306749E-2</v>
      </c>
      <c r="H125">
        <v>2.9023746701846966E-2</v>
      </c>
      <c r="I125">
        <v>2.3166023166023165E-2</v>
      </c>
      <c r="J125">
        <f t="shared" si="2"/>
        <v>6.0041444328959408E-3</v>
      </c>
      <c r="K125">
        <f t="shared" si="3"/>
        <v>0.30500477151763755</v>
      </c>
    </row>
    <row r="126" spans="1:11" x14ac:dyDescent="0.3">
      <c r="A126" s="3" t="s">
        <v>74</v>
      </c>
      <c r="B126">
        <v>-3.888888888888889E-2</v>
      </c>
      <c r="C126">
        <v>8.5959885386819486E-3</v>
      </c>
      <c r="D126">
        <v>-1.968503937007874E-2</v>
      </c>
      <c r="E126">
        <v>6.8965517241379309E-2</v>
      </c>
      <c r="F126">
        <v>8.8495575221238937E-3</v>
      </c>
      <c r="G126">
        <v>1.2121212121212121E-2</v>
      </c>
      <c r="H126">
        <v>2.0512820512820513E-2</v>
      </c>
      <c r="I126">
        <v>4.1509433962264149E-2</v>
      </c>
      <c r="J126">
        <f t="shared" si="2"/>
        <v>-1.2120203470857324E-3</v>
      </c>
      <c r="K126">
        <f t="shared" si="3"/>
        <v>-7.0397927558831258E-2</v>
      </c>
    </row>
    <row r="127" spans="1:11" x14ac:dyDescent="0.3">
      <c r="A127" s="4" t="s">
        <v>75</v>
      </c>
      <c r="B127">
        <v>-1.1560693641618497E-2</v>
      </c>
      <c r="C127">
        <v>2.840909090909091E-3</v>
      </c>
      <c r="D127">
        <v>-4.8192771084337352E-2</v>
      </c>
      <c r="E127">
        <v>0.16935483870967741</v>
      </c>
      <c r="F127">
        <v>-2.1929824561403508E-2</v>
      </c>
      <c r="G127">
        <v>-2.6946107784431138E-2</v>
      </c>
      <c r="H127">
        <v>5.5276381909547742E-2</v>
      </c>
      <c r="I127">
        <v>1.8115942028985508E-2</v>
      </c>
      <c r="J127">
        <f t="shared" si="2"/>
        <v>3.7809265845050411E-3</v>
      </c>
      <c r="K127">
        <f t="shared" si="3"/>
        <v>0.18934749284293373</v>
      </c>
    </row>
    <row r="128" spans="1:11" x14ac:dyDescent="0.3">
      <c r="A128" s="3" t="s">
        <v>76</v>
      </c>
      <c r="B128">
        <v>8.771929824561403E-3</v>
      </c>
      <c r="C128">
        <v>-1.1331444759206799E-2</v>
      </c>
      <c r="D128">
        <v>4.2194092827004216E-3</v>
      </c>
      <c r="E128">
        <v>3.4482758620689655E-2</v>
      </c>
      <c r="F128">
        <v>2.6905829596412557E-2</v>
      </c>
      <c r="G128">
        <v>-6.1538461538461538E-3</v>
      </c>
      <c r="H128">
        <v>-2.3809523809523808E-2</v>
      </c>
      <c r="I128">
        <v>-3.5587188612099642E-3</v>
      </c>
      <c r="J128">
        <f t="shared" si="2"/>
        <v>5.2227058651780059E-3</v>
      </c>
      <c r="K128">
        <f t="shared" si="3"/>
        <v>0.26435240888069295</v>
      </c>
    </row>
    <row r="129" spans="1:11" x14ac:dyDescent="0.3">
      <c r="A129" s="4" t="s">
        <v>77</v>
      </c>
      <c r="B129">
        <v>3.7681159420289857E-2</v>
      </c>
      <c r="C129">
        <v>-1.1461318051575931E-2</v>
      </c>
      <c r="D129">
        <v>5.8823529411764705E-2</v>
      </c>
      <c r="E129">
        <v>7.3333333333333334E-2</v>
      </c>
      <c r="F129">
        <v>-4.3668122270742356E-3</v>
      </c>
      <c r="G129">
        <v>-3.0959752321981426E-3</v>
      </c>
      <c r="H129">
        <v>-4.1463414634146344E-2</v>
      </c>
      <c r="I129">
        <v>-2.5000000000000001E-2</v>
      </c>
      <c r="J129">
        <f t="shared" si="2"/>
        <v>2.0291951527111139E-2</v>
      </c>
      <c r="K129">
        <f t="shared" si="3"/>
        <v>1.048291754366431</v>
      </c>
    </row>
    <row r="130" spans="1:11" x14ac:dyDescent="0.3">
      <c r="A130" s="3" t="s">
        <v>78</v>
      </c>
      <c r="B130">
        <v>2.5139664804469275E-2</v>
      </c>
      <c r="C130">
        <v>0</v>
      </c>
      <c r="D130">
        <v>-2.7777777777777776E-2</v>
      </c>
      <c r="E130">
        <v>4.6583850931677016E-2</v>
      </c>
      <c r="F130">
        <v>3.5087719298245612E-2</v>
      </c>
      <c r="G130">
        <v>-9.316770186335404E-3</v>
      </c>
      <c r="H130">
        <v>-2.5445292620865142E-3</v>
      </c>
      <c r="I130">
        <v>-1.098901098901099E-2</v>
      </c>
      <c r="J130">
        <f t="shared" si="2"/>
        <v>1.0483371853597776E-2</v>
      </c>
      <c r="K130">
        <f t="shared" si="3"/>
        <v>0.53802523526501178</v>
      </c>
    </row>
    <row r="131" spans="1:11" x14ac:dyDescent="0.3">
      <c r="A131" s="4" t="s">
        <v>79</v>
      </c>
      <c r="B131">
        <v>-5.4495912806539509E-2</v>
      </c>
      <c r="C131">
        <v>-2.8985507246376812E-3</v>
      </c>
      <c r="D131">
        <v>-6.9387755102040816E-2</v>
      </c>
      <c r="E131">
        <v>0.11869436201780416</v>
      </c>
      <c r="F131">
        <v>0</v>
      </c>
      <c r="G131">
        <v>-9.4043887147335428E-3</v>
      </c>
      <c r="H131">
        <v>-2.2959183673469389E-2</v>
      </c>
      <c r="I131">
        <v>1.1111111111111112E-2</v>
      </c>
      <c r="J131">
        <f t="shared" si="2"/>
        <v>-1.399449592862822E-2</v>
      </c>
      <c r="K131">
        <f t="shared" si="3"/>
        <v>-0.735373850434347</v>
      </c>
    </row>
    <row r="132" spans="1:11" x14ac:dyDescent="0.3">
      <c r="A132" s="3" t="s">
        <v>80</v>
      </c>
      <c r="B132">
        <v>-8.645533141210375E-2</v>
      </c>
      <c r="C132">
        <v>-2.9069767441860465E-3</v>
      </c>
      <c r="D132">
        <v>-9.2105263157894732E-2</v>
      </c>
      <c r="E132">
        <v>-6.8965517241379309E-2</v>
      </c>
      <c r="F132">
        <v>-2.1186440677966101E-2</v>
      </c>
      <c r="G132">
        <v>-1.2658227848101266E-2</v>
      </c>
      <c r="H132">
        <v>4.960835509138381E-2</v>
      </c>
      <c r="I132">
        <v>-1.098901098901099E-2</v>
      </c>
      <c r="J132">
        <f t="shared" ref="J132:J195" si="4">B132*$N$2+C132*$O$2+D132*$P$2+E132*$Q$2+F132*$R$2+G132*$S$2+H132*$T$2+I132*$U$2</f>
        <v>-4.5908706992459747E-2</v>
      </c>
      <c r="K132">
        <f t="shared" ref="K132:K195" si="5">(J132-$O$4)/$N$5</f>
        <v>-2.3956298641958407</v>
      </c>
    </row>
    <row r="133" spans="1:11" x14ac:dyDescent="0.3">
      <c r="A133" s="4" t="s">
        <v>81</v>
      </c>
      <c r="B133">
        <v>1.2618296529968454E-2</v>
      </c>
      <c r="C133">
        <v>-2.9154518950437317E-3</v>
      </c>
      <c r="D133">
        <v>7.2463768115942032E-2</v>
      </c>
      <c r="E133">
        <v>5.128205128205128E-2</v>
      </c>
      <c r="F133">
        <v>1.7316017316017316E-2</v>
      </c>
      <c r="G133">
        <v>-3.205128205128205E-3</v>
      </c>
      <c r="H133">
        <v>1.9900497512437811E-2</v>
      </c>
      <c r="I133">
        <v>7.4074074074074077E-3</v>
      </c>
      <c r="J133">
        <f t="shared" si="4"/>
        <v>1.9424979489950128E-2</v>
      </c>
      <c r="K133">
        <f t="shared" si="5"/>
        <v>1.0031897295793952</v>
      </c>
    </row>
    <row r="134" spans="1:11" x14ac:dyDescent="0.3">
      <c r="A134" s="3" t="s">
        <v>82</v>
      </c>
      <c r="B134">
        <v>2.8037383177570093E-2</v>
      </c>
      <c r="C134">
        <v>-8.771929824561403E-3</v>
      </c>
      <c r="D134">
        <v>-9.0090090090090089E-3</v>
      </c>
      <c r="E134">
        <v>1.8970189701897018E-2</v>
      </c>
      <c r="F134">
        <v>-1.7021276595744681E-2</v>
      </c>
      <c r="G134">
        <v>-9.6463022508038593E-3</v>
      </c>
      <c r="H134">
        <v>-4.6341463414634146E-2</v>
      </c>
      <c r="I134">
        <v>-3.6764705882352941E-3</v>
      </c>
      <c r="J134">
        <f t="shared" si="4"/>
        <v>2.24093363072213E-3</v>
      </c>
      <c r="K134">
        <f t="shared" si="5"/>
        <v>0.10923325916958393</v>
      </c>
    </row>
    <row r="135" spans="1:11" x14ac:dyDescent="0.3">
      <c r="A135" s="4" t="s">
        <v>83</v>
      </c>
      <c r="B135">
        <v>-4.2424242424242427E-2</v>
      </c>
      <c r="C135">
        <v>-2.9498525073746312E-3</v>
      </c>
      <c r="D135">
        <v>-4.0909090909090909E-2</v>
      </c>
      <c r="E135">
        <v>-2.6595744680851063E-3</v>
      </c>
      <c r="F135">
        <v>0</v>
      </c>
      <c r="G135">
        <v>-6.4935064935064939E-3</v>
      </c>
      <c r="H135">
        <v>2.5575447570332483E-3</v>
      </c>
      <c r="I135">
        <v>-1.8450184501845018E-2</v>
      </c>
      <c r="J135">
        <f t="shared" si="4"/>
        <v>-1.8521652985722083E-2</v>
      </c>
      <c r="K135">
        <f t="shared" si="5"/>
        <v>-0.97088773214208079</v>
      </c>
    </row>
    <row r="136" spans="1:11" x14ac:dyDescent="0.3">
      <c r="A136" s="1">
        <v>45667</v>
      </c>
      <c r="B136">
        <v>1.5822784810126583E-2</v>
      </c>
      <c r="C136">
        <v>-1.1834319526627219E-2</v>
      </c>
      <c r="D136">
        <v>-2.3696682464454975E-2</v>
      </c>
      <c r="E136">
        <v>1.0666666666666666E-2</v>
      </c>
      <c r="F136">
        <v>-1.7316017316017316E-2</v>
      </c>
      <c r="G136">
        <v>0</v>
      </c>
      <c r="H136">
        <v>4.5918367346938778E-2</v>
      </c>
      <c r="I136">
        <v>-1.8796992481203006E-2</v>
      </c>
      <c r="J136">
        <f t="shared" si="4"/>
        <v>-3.5778721593866594E-3</v>
      </c>
      <c r="K136">
        <f t="shared" si="5"/>
        <v>-0.19347537701183265</v>
      </c>
    </row>
    <row r="137" spans="1:11" x14ac:dyDescent="0.3">
      <c r="A137" s="2">
        <v>45698</v>
      </c>
      <c r="B137">
        <v>-3.1152647975077882E-2</v>
      </c>
      <c r="C137">
        <v>-2.0958083832335328E-2</v>
      </c>
      <c r="D137">
        <v>2.9126213592233011E-2</v>
      </c>
      <c r="E137">
        <v>1.5831134564643801E-2</v>
      </c>
      <c r="F137">
        <v>4.4052863436123352E-3</v>
      </c>
      <c r="G137">
        <v>2.2875816993464051E-2</v>
      </c>
      <c r="H137">
        <v>2.4390243902439025E-2</v>
      </c>
      <c r="I137">
        <v>-3.8314176245210725E-2</v>
      </c>
      <c r="J137">
        <f t="shared" si="4"/>
        <v>-7.1580629018227265E-3</v>
      </c>
      <c r="K137">
        <f t="shared" si="5"/>
        <v>-0.37972573421646671</v>
      </c>
    </row>
    <row r="138" spans="1:11" x14ac:dyDescent="0.3">
      <c r="A138" s="1">
        <v>45726</v>
      </c>
      <c r="B138">
        <v>2.8938906752411574E-2</v>
      </c>
      <c r="C138">
        <v>-1.834862385321101E-2</v>
      </c>
      <c r="D138">
        <v>0</v>
      </c>
      <c r="E138">
        <v>0</v>
      </c>
      <c r="F138">
        <v>2.1929824561403508E-2</v>
      </c>
      <c r="G138">
        <v>-1.9169329073482427E-2</v>
      </c>
      <c r="H138">
        <v>0</v>
      </c>
      <c r="I138">
        <v>4.7808764940239043E-2</v>
      </c>
      <c r="J138">
        <f t="shared" si="4"/>
        <v>3.7544571412500443E-3</v>
      </c>
      <c r="K138">
        <f t="shared" si="5"/>
        <v>0.18797048708655983</v>
      </c>
    </row>
    <row r="139" spans="1:11" x14ac:dyDescent="0.3">
      <c r="A139" s="2">
        <v>45818</v>
      </c>
      <c r="B139">
        <v>-3.1250000000000002E-3</v>
      </c>
      <c r="C139">
        <v>1.8691588785046728E-2</v>
      </c>
      <c r="D139">
        <v>4.7169811320754715E-3</v>
      </c>
      <c r="E139">
        <v>3.896103896103896E-2</v>
      </c>
      <c r="F139">
        <v>0</v>
      </c>
      <c r="G139">
        <v>-1.9543973941368076E-2</v>
      </c>
      <c r="H139">
        <v>-9.5238095238095247E-3</v>
      </c>
      <c r="I139">
        <v>0</v>
      </c>
      <c r="J139">
        <f t="shared" si="4"/>
        <v>7.9192139957148487E-3</v>
      </c>
      <c r="K139">
        <f t="shared" si="5"/>
        <v>0.40463141596397423</v>
      </c>
    </row>
    <row r="140" spans="1:11" x14ac:dyDescent="0.3">
      <c r="A140" s="1">
        <v>45848</v>
      </c>
      <c r="B140">
        <v>-1.5673981191222569E-2</v>
      </c>
      <c r="C140">
        <v>-6.1162079510703364E-3</v>
      </c>
      <c r="D140">
        <v>5.1643192488262914E-2</v>
      </c>
      <c r="E140">
        <v>3.5000000000000003E-2</v>
      </c>
      <c r="F140">
        <v>-1.2875536480686695E-2</v>
      </c>
      <c r="G140">
        <v>0</v>
      </c>
      <c r="H140">
        <v>1.4423076923076924E-2</v>
      </c>
      <c r="I140">
        <v>-3.8022813688212928E-3</v>
      </c>
      <c r="J140">
        <f t="shared" si="4"/>
        <v>3.1743316622713236E-3</v>
      </c>
      <c r="K140">
        <f t="shared" si="5"/>
        <v>0.15779092810312514</v>
      </c>
    </row>
    <row r="141" spans="1:11" x14ac:dyDescent="0.3">
      <c r="A141" s="2">
        <v>45879</v>
      </c>
      <c r="B141">
        <v>6.0509554140127389E-2</v>
      </c>
      <c r="C141">
        <v>3.0769230769230771E-2</v>
      </c>
      <c r="D141">
        <v>1.7857142857142856E-2</v>
      </c>
      <c r="E141">
        <v>-7.246376811594203E-3</v>
      </c>
      <c r="F141">
        <v>-4.3478260869565218E-3</v>
      </c>
      <c r="G141">
        <v>-6.6445182724252493E-3</v>
      </c>
      <c r="H141">
        <v>9.4786729857819912E-3</v>
      </c>
      <c r="I141">
        <v>1.1450381679389313E-2</v>
      </c>
      <c r="J141">
        <f t="shared" si="4"/>
        <v>2.6205503494931909E-2</v>
      </c>
      <c r="K141">
        <f t="shared" si="5"/>
        <v>1.3559293205161496</v>
      </c>
    </row>
    <row r="142" spans="1:11" x14ac:dyDescent="0.3">
      <c r="A142" s="1">
        <v>45910</v>
      </c>
      <c r="B142">
        <v>-3.3033033033033031E-2</v>
      </c>
      <c r="C142">
        <v>1.7910447761194031E-2</v>
      </c>
      <c r="D142">
        <v>8.771929824561403E-3</v>
      </c>
      <c r="E142">
        <v>2.4330900243309003E-3</v>
      </c>
      <c r="F142">
        <v>3.4934497816593885E-2</v>
      </c>
      <c r="G142">
        <v>6.688963210702341E-3</v>
      </c>
      <c r="H142">
        <v>1.4084507042253521E-2</v>
      </c>
      <c r="I142">
        <v>-2.6415094339622643E-2</v>
      </c>
      <c r="J142">
        <f t="shared" si="4"/>
        <v>2.5601045068996096E-3</v>
      </c>
      <c r="K142">
        <f t="shared" si="5"/>
        <v>0.12583731576153048</v>
      </c>
    </row>
    <row r="143" spans="1:11" x14ac:dyDescent="0.3">
      <c r="A143" s="2">
        <v>45940</v>
      </c>
      <c r="B143">
        <v>2.7950310559006212E-2</v>
      </c>
      <c r="C143">
        <v>0</v>
      </c>
      <c r="D143">
        <v>3.0434782608695653E-2</v>
      </c>
      <c r="E143">
        <v>3.8834951456310676E-2</v>
      </c>
      <c r="F143">
        <v>-4.2194092827004216E-3</v>
      </c>
      <c r="G143">
        <v>9.9667774086378731E-3</v>
      </c>
      <c r="H143">
        <v>-2.7777777777777776E-2</v>
      </c>
      <c r="I143">
        <v>4.6511627906976744E-2</v>
      </c>
      <c r="J143">
        <f t="shared" si="4"/>
        <v>1.5726028421418157E-2</v>
      </c>
      <c r="K143">
        <f t="shared" si="5"/>
        <v>0.81076116714817281</v>
      </c>
    </row>
    <row r="144" spans="1:11" x14ac:dyDescent="0.3">
      <c r="A144" s="3" t="s">
        <v>84</v>
      </c>
      <c r="B144">
        <v>1.812688821752266E-2</v>
      </c>
      <c r="C144">
        <v>-2.0527859237536656E-2</v>
      </c>
      <c r="D144">
        <v>0</v>
      </c>
      <c r="E144">
        <v>-1.6355140186915886E-2</v>
      </c>
      <c r="F144">
        <v>-1.6949152542372881E-2</v>
      </c>
      <c r="G144">
        <v>-6.5789473684210523E-3</v>
      </c>
      <c r="H144">
        <v>2.8571428571428571E-2</v>
      </c>
      <c r="I144">
        <v>-3.7037037037037035E-2</v>
      </c>
      <c r="J144">
        <f t="shared" si="4"/>
        <v>-5.6528127591787105E-3</v>
      </c>
      <c r="K144">
        <f t="shared" si="5"/>
        <v>-0.30141890731287729</v>
      </c>
    </row>
    <row r="145" spans="1:11" x14ac:dyDescent="0.3">
      <c r="A145" s="4" t="s">
        <v>85</v>
      </c>
      <c r="B145">
        <v>-5.9347181008902079E-3</v>
      </c>
      <c r="C145">
        <v>-5.9880239520958087E-3</v>
      </c>
      <c r="D145">
        <v>-8.4388185654008432E-3</v>
      </c>
      <c r="E145">
        <v>-6.413301662707839E-2</v>
      </c>
      <c r="F145">
        <v>4.3103448275862068E-3</v>
      </c>
      <c r="G145">
        <v>-1.9867549668874173E-2</v>
      </c>
      <c r="H145">
        <v>3.2407407407407406E-2</v>
      </c>
      <c r="I145">
        <v>-2.3076923076923078E-2</v>
      </c>
      <c r="J145">
        <f t="shared" si="4"/>
        <v>-1.1532736540415514E-2</v>
      </c>
      <c r="K145">
        <f t="shared" si="5"/>
        <v>-0.60730705221272518</v>
      </c>
    </row>
    <row r="146" spans="1:11" x14ac:dyDescent="0.3">
      <c r="A146" s="3" t="s">
        <v>86</v>
      </c>
      <c r="B146">
        <v>1.4925373134328358E-2</v>
      </c>
      <c r="C146">
        <v>-2.710843373493976E-2</v>
      </c>
      <c r="D146">
        <v>0</v>
      </c>
      <c r="E146">
        <v>-1.2690355329949238E-2</v>
      </c>
      <c r="F146">
        <v>-8.5836909871244635E-3</v>
      </c>
      <c r="G146">
        <v>4.0540540540540543E-2</v>
      </c>
      <c r="H146">
        <v>6.726457399103139E-2</v>
      </c>
      <c r="I146">
        <v>-2.7559055118110236E-2</v>
      </c>
      <c r="J146">
        <f t="shared" si="4"/>
        <v>-3.676165539197045E-3</v>
      </c>
      <c r="K146">
        <f t="shared" si="5"/>
        <v>-0.19858884118667108</v>
      </c>
    </row>
    <row r="147" spans="1:11" x14ac:dyDescent="0.3">
      <c r="A147" s="4" t="s">
        <v>87</v>
      </c>
      <c r="B147">
        <v>8.8235294117647058E-3</v>
      </c>
      <c r="C147">
        <v>6.1919504643962852E-3</v>
      </c>
      <c r="D147">
        <v>2.1276595744680851E-2</v>
      </c>
      <c r="E147">
        <v>1.0282776349614395E-2</v>
      </c>
      <c r="F147">
        <v>-4.329004329004329E-3</v>
      </c>
      <c r="G147">
        <v>-4.2207792207792208E-2</v>
      </c>
      <c r="H147">
        <v>-8.4033613445378148E-3</v>
      </c>
      <c r="I147">
        <v>1.6194331983805668E-2</v>
      </c>
      <c r="J147">
        <f t="shared" si="4"/>
        <v>4.9676827604134425E-3</v>
      </c>
      <c r="K147">
        <f t="shared" si="5"/>
        <v>0.25108547765414169</v>
      </c>
    </row>
    <row r="148" spans="1:11" x14ac:dyDescent="0.3">
      <c r="A148" s="3" t="s">
        <v>88</v>
      </c>
      <c r="B148">
        <v>5.8309037900874635E-3</v>
      </c>
      <c r="C148">
        <v>-3.0769230769230769E-3</v>
      </c>
      <c r="D148">
        <v>-2.5000000000000001E-2</v>
      </c>
      <c r="E148">
        <v>-7.124681933842239E-2</v>
      </c>
      <c r="F148">
        <v>-2.1739130434782608E-2</v>
      </c>
      <c r="G148">
        <v>-2.3728813559322035E-2</v>
      </c>
      <c r="H148">
        <v>4.2372881355932203E-3</v>
      </c>
      <c r="I148">
        <v>-3.5856573705179286E-2</v>
      </c>
      <c r="J148">
        <f t="shared" si="4"/>
        <v>-1.4165714374239101E-2</v>
      </c>
      <c r="K148">
        <f t="shared" si="5"/>
        <v>-0.74428105648822052</v>
      </c>
    </row>
    <row r="149" spans="1:11" x14ac:dyDescent="0.3">
      <c r="A149" s="4" t="s">
        <v>89</v>
      </c>
      <c r="B149">
        <v>-5.2173913043478258E-2</v>
      </c>
      <c r="C149">
        <v>4.6296296296296294E-2</v>
      </c>
      <c r="D149">
        <v>-2.564102564102564E-2</v>
      </c>
      <c r="E149">
        <v>3.287671232876712E-2</v>
      </c>
      <c r="F149">
        <v>5.3333333333333337E-2</v>
      </c>
      <c r="G149">
        <v>2.0833333333333332E-2</v>
      </c>
      <c r="H149">
        <v>1.6877637130801686E-2</v>
      </c>
      <c r="I149">
        <v>0</v>
      </c>
      <c r="J149">
        <f t="shared" si="4"/>
        <v>7.7066088838697328E-3</v>
      </c>
      <c r="K149">
        <f t="shared" si="5"/>
        <v>0.39357117340333886</v>
      </c>
    </row>
    <row r="150" spans="1:11" x14ac:dyDescent="0.3">
      <c r="A150" s="3" t="s">
        <v>90</v>
      </c>
      <c r="B150">
        <v>6.1162079510703364E-3</v>
      </c>
      <c r="C150">
        <v>8.8495575221238937E-3</v>
      </c>
      <c r="D150">
        <v>3.9473684210526314E-2</v>
      </c>
      <c r="E150">
        <v>5.3050397877984082E-3</v>
      </c>
      <c r="F150">
        <v>1.2658227848101266E-2</v>
      </c>
      <c r="G150">
        <v>0.11564625850340136</v>
      </c>
      <c r="H150">
        <v>-8.2987551867219917E-3</v>
      </c>
      <c r="I150">
        <v>3.3057851239669422E-2</v>
      </c>
      <c r="J150">
        <f t="shared" si="4"/>
        <v>1.9644571318431454E-2</v>
      </c>
      <c r="K150">
        <f t="shared" si="5"/>
        <v>1.0146134383804624</v>
      </c>
    </row>
    <row r="151" spans="1:11" x14ac:dyDescent="0.3">
      <c r="A151" s="4" t="s">
        <v>91</v>
      </c>
      <c r="B151">
        <v>-3.64741641337386E-2</v>
      </c>
      <c r="C151">
        <v>-2.046783625730994E-2</v>
      </c>
      <c r="D151">
        <v>-4.2194092827004218E-2</v>
      </c>
      <c r="E151">
        <v>-1.0554089709762533E-2</v>
      </c>
      <c r="F151">
        <v>2.9166666666666667E-2</v>
      </c>
      <c r="G151">
        <v>-3.9634146341463415E-2</v>
      </c>
      <c r="H151">
        <v>6.2761506276150625E-2</v>
      </c>
      <c r="I151">
        <v>-3.2000000000000001E-2</v>
      </c>
      <c r="J151">
        <f t="shared" si="4"/>
        <v>-2.1745639514214522E-2</v>
      </c>
      <c r="K151">
        <f t="shared" si="5"/>
        <v>-1.1386074671375599</v>
      </c>
    </row>
    <row r="152" spans="1:11" x14ac:dyDescent="0.3">
      <c r="A152" s="3" t="s">
        <v>92</v>
      </c>
      <c r="B152">
        <v>6.3091482649842269E-3</v>
      </c>
      <c r="C152">
        <v>5.6716417910447764E-2</v>
      </c>
      <c r="D152">
        <v>-1.7621145374449341E-2</v>
      </c>
      <c r="E152">
        <v>-2.6666666666666666E-3</v>
      </c>
      <c r="F152">
        <v>2.4291497975708502E-2</v>
      </c>
      <c r="G152">
        <v>6.6666666666666666E-2</v>
      </c>
      <c r="H152">
        <v>3.937007874015748E-2</v>
      </c>
      <c r="I152">
        <v>7.8512396694214878E-2</v>
      </c>
      <c r="J152">
        <f t="shared" si="4"/>
        <v>2.4533413681990263E-2</v>
      </c>
      <c r="K152">
        <f t="shared" si="5"/>
        <v>1.26894308225592</v>
      </c>
    </row>
    <row r="153" spans="1:11" x14ac:dyDescent="0.3">
      <c r="A153" s="4" t="s">
        <v>93</v>
      </c>
      <c r="B153">
        <v>-1.8808777429467086E-2</v>
      </c>
      <c r="C153">
        <v>-2.5423728813559324E-2</v>
      </c>
      <c r="D153">
        <v>-4.4843049327354259E-3</v>
      </c>
      <c r="E153">
        <v>-2.6737967914438502E-2</v>
      </c>
      <c r="F153">
        <v>3.9525691699604744E-2</v>
      </c>
      <c r="G153">
        <v>-2.0833333333333332E-2</v>
      </c>
      <c r="H153">
        <v>-1.1363636363636364E-2</v>
      </c>
      <c r="I153">
        <v>-7.6628352490421452E-3</v>
      </c>
      <c r="J153">
        <f t="shared" si="4"/>
        <v>-1.2835047805763384E-2</v>
      </c>
      <c r="K153">
        <f t="shared" si="5"/>
        <v>-0.675056497930139</v>
      </c>
    </row>
    <row r="154" spans="1:11" x14ac:dyDescent="0.3">
      <c r="A154" s="3" t="s">
        <v>94</v>
      </c>
      <c r="B154">
        <v>6.3897763578274758E-3</v>
      </c>
      <c r="C154">
        <v>-1.4492753623188406E-2</v>
      </c>
      <c r="D154">
        <v>1.3513513513513514E-2</v>
      </c>
      <c r="E154">
        <v>-9.3406593406593408E-2</v>
      </c>
      <c r="F154">
        <v>3.8022813688212928E-3</v>
      </c>
      <c r="G154">
        <v>1.2158054711246201E-2</v>
      </c>
      <c r="H154">
        <v>1.532567049808429E-2</v>
      </c>
      <c r="I154">
        <v>-5.4054054054054057E-2</v>
      </c>
      <c r="J154">
        <f t="shared" si="4"/>
        <v>-9.0877351066465713E-3</v>
      </c>
      <c r="K154">
        <f t="shared" si="5"/>
        <v>-0.48011204413462139</v>
      </c>
    </row>
    <row r="155" spans="1:11" x14ac:dyDescent="0.3">
      <c r="A155" s="4" t="s">
        <v>95</v>
      </c>
      <c r="B155">
        <v>-1.5873015873015872E-2</v>
      </c>
      <c r="C155">
        <v>2.9411764705882353E-3</v>
      </c>
      <c r="D155">
        <v>-3.5555555555555556E-2</v>
      </c>
      <c r="E155">
        <v>3.6363636363636362E-2</v>
      </c>
      <c r="F155">
        <v>-4.1666666666666664E-2</v>
      </c>
      <c r="G155">
        <v>2.1021021021021023E-2</v>
      </c>
      <c r="H155">
        <v>1.1320754716981131E-2</v>
      </c>
      <c r="I155">
        <v>-8.1632653061224497E-3</v>
      </c>
      <c r="J155">
        <f t="shared" si="4"/>
        <v>-8.1022488123805286E-3</v>
      </c>
      <c r="K155">
        <f t="shared" si="5"/>
        <v>-0.42884461523712336</v>
      </c>
    </row>
    <row r="156" spans="1:11" x14ac:dyDescent="0.3">
      <c r="A156" s="3" t="s">
        <v>96</v>
      </c>
      <c r="B156">
        <v>3.2258064516129031E-2</v>
      </c>
      <c r="C156">
        <v>1.466275659824047E-2</v>
      </c>
      <c r="D156">
        <v>0.13364055299539171</v>
      </c>
      <c r="E156">
        <v>4.0935672514619881E-2</v>
      </c>
      <c r="F156">
        <v>2.3715415019762844E-2</v>
      </c>
      <c r="G156">
        <v>-3.2352941176470591E-2</v>
      </c>
      <c r="H156">
        <v>1.1194029850746268E-2</v>
      </c>
      <c r="I156">
        <v>4.9382716049382713E-2</v>
      </c>
      <c r="J156">
        <f t="shared" si="4"/>
        <v>3.6607082936764922E-2</v>
      </c>
      <c r="K156">
        <f t="shared" si="5"/>
        <v>1.8970451509022093</v>
      </c>
    </row>
    <row r="157" spans="1:11" x14ac:dyDescent="0.3">
      <c r="A157" s="4" t="s">
        <v>97</v>
      </c>
      <c r="B157">
        <v>-2.5000000000000001E-2</v>
      </c>
      <c r="C157">
        <v>1.4450867052023121E-2</v>
      </c>
      <c r="D157">
        <v>1.6260162601626018E-2</v>
      </c>
      <c r="E157">
        <v>-5.6179775280898875E-3</v>
      </c>
      <c r="F157">
        <v>-3.0888030888030889E-2</v>
      </c>
      <c r="G157">
        <v>-1.2158054711246201E-2</v>
      </c>
      <c r="H157">
        <v>-0.10332103321033211</v>
      </c>
      <c r="I157">
        <v>3.1372549019607843E-2</v>
      </c>
      <c r="J157">
        <f t="shared" si="4"/>
        <v>-5.222685948255785E-3</v>
      </c>
      <c r="K157">
        <f t="shared" si="5"/>
        <v>-0.27904264919117316</v>
      </c>
    </row>
    <row r="158" spans="1:11" x14ac:dyDescent="0.3">
      <c r="A158" s="3" t="s">
        <v>98</v>
      </c>
      <c r="B158">
        <v>-6.41025641025641E-3</v>
      </c>
      <c r="C158">
        <v>-8.5470085470085479E-3</v>
      </c>
      <c r="D158">
        <v>-2.4E-2</v>
      </c>
      <c r="E158">
        <v>-2.5423728813559324E-2</v>
      </c>
      <c r="F158">
        <v>-1.9920318725099601E-2</v>
      </c>
      <c r="G158">
        <v>-1.2307692307692308E-2</v>
      </c>
      <c r="H158">
        <v>3.292181069958848E-2</v>
      </c>
      <c r="I158">
        <v>-7.6045627376425855E-3</v>
      </c>
      <c r="J158">
        <f t="shared" si="4"/>
        <v>-1.2990372911227777E-2</v>
      </c>
      <c r="K158">
        <f t="shared" si="5"/>
        <v>-0.68313689320983473</v>
      </c>
    </row>
    <row r="159" spans="1:11" x14ac:dyDescent="0.3">
      <c r="A159" s="2">
        <v>45727</v>
      </c>
      <c r="B159">
        <v>3.2258064516129032E-3</v>
      </c>
      <c r="C159">
        <v>8.6206896551724137E-3</v>
      </c>
      <c r="D159">
        <v>-8.1967213114754103E-3</v>
      </c>
      <c r="E159">
        <v>6.3768115942028983E-2</v>
      </c>
      <c r="F159">
        <v>3.2520325203252036E-2</v>
      </c>
      <c r="G159">
        <v>4.3613707165109032E-2</v>
      </c>
      <c r="H159">
        <v>-2.3904382470119521E-2</v>
      </c>
      <c r="I159">
        <v>3.0651340996168581E-2</v>
      </c>
      <c r="J159">
        <f t="shared" si="4"/>
        <v>1.5231305022706998E-2</v>
      </c>
      <c r="K159">
        <f t="shared" si="5"/>
        <v>0.78502443512569198</v>
      </c>
    </row>
    <row r="160" spans="1:11" x14ac:dyDescent="0.3">
      <c r="A160" s="1">
        <v>45758</v>
      </c>
      <c r="B160">
        <v>-4.8231511254019289E-2</v>
      </c>
      <c r="C160">
        <v>-8.5470085470085479E-3</v>
      </c>
      <c r="D160">
        <v>0</v>
      </c>
      <c r="E160">
        <v>-4.632152588555858E-2</v>
      </c>
      <c r="F160">
        <v>-7.874015748031496E-3</v>
      </c>
      <c r="G160">
        <v>4.4776119402985072E-2</v>
      </c>
      <c r="H160">
        <v>-8.1632653061224497E-3</v>
      </c>
      <c r="I160">
        <v>1.4869888475836431E-2</v>
      </c>
      <c r="J160">
        <f t="shared" si="4"/>
        <v>-1.7519843581304456E-2</v>
      </c>
      <c r="K160">
        <f t="shared" si="5"/>
        <v>-0.9187711347742028</v>
      </c>
    </row>
    <row r="161" spans="1:11" x14ac:dyDescent="0.3">
      <c r="A161" s="2">
        <v>45788</v>
      </c>
      <c r="B161">
        <v>6.7567567567567571E-3</v>
      </c>
      <c r="C161">
        <v>-2.0114942528735632E-2</v>
      </c>
      <c r="D161">
        <v>4.1322314049586778E-3</v>
      </c>
      <c r="E161">
        <v>1.7142857142857144E-2</v>
      </c>
      <c r="F161">
        <v>-7.9365079365079361E-3</v>
      </c>
      <c r="G161">
        <v>1.1428571428571429E-2</v>
      </c>
      <c r="H161">
        <v>4.11522633744856E-3</v>
      </c>
      <c r="I161">
        <v>-1.098901098901099E-2</v>
      </c>
      <c r="J161">
        <f t="shared" si="4"/>
        <v>-2.3797791415620146E-3</v>
      </c>
      <c r="K161">
        <f t="shared" si="5"/>
        <v>-0.13114762170838656</v>
      </c>
    </row>
    <row r="162" spans="1:11" x14ac:dyDescent="0.3">
      <c r="A162" s="1">
        <v>45819</v>
      </c>
      <c r="B162">
        <v>-1.6778523489932886E-2</v>
      </c>
      <c r="C162">
        <v>1.1730205278592375E-2</v>
      </c>
      <c r="D162">
        <v>0</v>
      </c>
      <c r="E162">
        <v>2.8089887640449437E-3</v>
      </c>
      <c r="F162">
        <v>1.2E-2</v>
      </c>
      <c r="G162">
        <v>-1.6949152542372881E-2</v>
      </c>
      <c r="H162">
        <v>-8.1967213114754103E-3</v>
      </c>
      <c r="I162">
        <v>1.4814814814814815E-2</v>
      </c>
      <c r="J162">
        <f t="shared" si="4"/>
        <v>-1.7891011336489818E-4</v>
      </c>
      <c r="K162">
        <f t="shared" si="5"/>
        <v>-1.6652983810012414E-2</v>
      </c>
    </row>
    <row r="163" spans="1:11" x14ac:dyDescent="0.3">
      <c r="A163" s="2">
        <v>45849</v>
      </c>
      <c r="B163">
        <v>-1.0238907849829351E-2</v>
      </c>
      <c r="C163">
        <v>2.0289855072463767E-2</v>
      </c>
      <c r="D163">
        <v>-4.11522633744856E-3</v>
      </c>
      <c r="E163">
        <v>5.6022408963585435E-3</v>
      </c>
      <c r="F163">
        <v>1.5810276679841896E-2</v>
      </c>
      <c r="G163">
        <v>-2.8735632183908046E-3</v>
      </c>
      <c r="H163">
        <v>-4.9586776859504134E-2</v>
      </c>
      <c r="I163">
        <v>0</v>
      </c>
      <c r="J163">
        <f t="shared" si="4"/>
        <v>4.7201162369144107E-3</v>
      </c>
      <c r="K163">
        <f t="shared" si="5"/>
        <v>0.23820645618551739</v>
      </c>
    </row>
    <row r="164" spans="1:11" x14ac:dyDescent="0.3">
      <c r="A164" s="1">
        <v>45941</v>
      </c>
      <c r="B164">
        <v>3.4482758620689655E-3</v>
      </c>
      <c r="C164">
        <v>-1.7045454545454544E-2</v>
      </c>
      <c r="D164">
        <v>3.3057851239669422E-2</v>
      </c>
      <c r="E164">
        <v>0</v>
      </c>
      <c r="F164">
        <v>0</v>
      </c>
      <c r="G164">
        <v>-8.6455331412103754E-3</v>
      </c>
      <c r="H164">
        <v>8.6956521739130436E-3</v>
      </c>
      <c r="I164">
        <v>3.6496350364963502E-3</v>
      </c>
      <c r="J164">
        <f t="shared" si="4"/>
        <v>-1.5824176778604326E-4</v>
      </c>
      <c r="K164">
        <f t="shared" si="5"/>
        <v>-1.5577765470033344E-2</v>
      </c>
    </row>
    <row r="165" spans="1:11" x14ac:dyDescent="0.3">
      <c r="A165" s="2">
        <v>45972</v>
      </c>
      <c r="B165">
        <v>-1.0309278350515464E-2</v>
      </c>
      <c r="C165">
        <v>1.4450867052023121E-2</v>
      </c>
      <c r="D165">
        <v>0</v>
      </c>
      <c r="E165">
        <v>-1.6713091922005572E-2</v>
      </c>
      <c r="F165">
        <v>1.556420233463035E-2</v>
      </c>
      <c r="G165">
        <v>2.3255813953488372E-2</v>
      </c>
      <c r="H165">
        <v>1.7241379310344827E-2</v>
      </c>
      <c r="I165">
        <v>0</v>
      </c>
      <c r="J165">
        <f t="shared" si="4"/>
        <v>3.5493243010081546E-3</v>
      </c>
      <c r="K165">
        <f t="shared" si="5"/>
        <v>0.17729897053393712</v>
      </c>
    </row>
    <row r="166" spans="1:11" x14ac:dyDescent="0.3">
      <c r="A166" s="1">
        <v>46002</v>
      </c>
      <c r="B166">
        <v>0</v>
      </c>
      <c r="C166">
        <v>8.5470085470085479E-3</v>
      </c>
      <c r="D166">
        <v>-3.2000000000000001E-2</v>
      </c>
      <c r="E166">
        <v>7.0821529745042494E-2</v>
      </c>
      <c r="F166">
        <v>-1.1494252873563218E-2</v>
      </c>
      <c r="G166">
        <v>1.1363636363636364E-2</v>
      </c>
      <c r="H166">
        <v>6.3559322033898302E-2</v>
      </c>
      <c r="I166">
        <v>0</v>
      </c>
      <c r="J166">
        <f t="shared" si="4"/>
        <v>4.8868357817405898E-3</v>
      </c>
      <c r="K166">
        <f t="shared" si="5"/>
        <v>0.24687961831870067</v>
      </c>
    </row>
    <row r="167" spans="1:11" x14ac:dyDescent="0.3">
      <c r="A167" s="4" t="s">
        <v>99</v>
      </c>
      <c r="B167">
        <v>3.472222222222222E-3</v>
      </c>
      <c r="C167">
        <v>-1.6949152542372881E-2</v>
      </c>
      <c r="D167">
        <v>1.6528925619834711E-2</v>
      </c>
      <c r="E167">
        <v>-1.5873015873015872E-2</v>
      </c>
      <c r="F167">
        <v>-1.1627906976744186E-2</v>
      </c>
      <c r="G167">
        <v>-1.6853932584269662E-2</v>
      </c>
      <c r="H167">
        <v>-2.7888446215139442E-2</v>
      </c>
      <c r="I167">
        <v>0</v>
      </c>
      <c r="J167">
        <f t="shared" si="4"/>
        <v>-6.1445998556912572E-3</v>
      </c>
      <c r="K167">
        <f t="shared" si="5"/>
        <v>-0.32700288564911739</v>
      </c>
    </row>
    <row r="168" spans="1:11" x14ac:dyDescent="0.3">
      <c r="A168" s="3" t="s">
        <v>100</v>
      </c>
      <c r="B168">
        <v>5.1903114186851208E-2</v>
      </c>
      <c r="C168">
        <v>-5.7471264367816091E-3</v>
      </c>
      <c r="D168">
        <v>-2.032520325203252E-2</v>
      </c>
      <c r="E168">
        <v>1.6129032258064516E-2</v>
      </c>
      <c r="F168">
        <v>3.9215686274509803E-3</v>
      </c>
      <c r="G168">
        <v>1.4285714285714285E-2</v>
      </c>
      <c r="H168">
        <v>-8.1967213114754103E-3</v>
      </c>
      <c r="I168">
        <v>-1.090909090909091E-2</v>
      </c>
      <c r="J168">
        <f t="shared" si="4"/>
        <v>1.1749043302448151E-2</v>
      </c>
      <c r="K168">
        <f t="shared" si="5"/>
        <v>0.60386858731269921</v>
      </c>
    </row>
    <row r="169" spans="1:11" x14ac:dyDescent="0.3">
      <c r="A169" s="4" t="s">
        <v>101</v>
      </c>
      <c r="B169">
        <v>6.5789473684210523E-3</v>
      </c>
      <c r="C169">
        <v>1.1560693641618497E-2</v>
      </c>
      <c r="D169">
        <v>-6.2240663900414939E-2</v>
      </c>
      <c r="E169">
        <v>-2.6455026455026454E-3</v>
      </c>
      <c r="F169">
        <v>7.8125E-3</v>
      </c>
      <c r="G169">
        <v>1.6901408450704224E-2</v>
      </c>
      <c r="H169">
        <v>-3.71900826446281E-2</v>
      </c>
      <c r="I169">
        <v>3.6764705882352941E-3</v>
      </c>
      <c r="J169">
        <f t="shared" si="4"/>
        <v>-1.8948587356030374E-3</v>
      </c>
      <c r="K169">
        <f t="shared" si="5"/>
        <v>-0.10592086555957266</v>
      </c>
    </row>
    <row r="170" spans="1:11" x14ac:dyDescent="0.3">
      <c r="A170" s="3" t="s">
        <v>102</v>
      </c>
      <c r="B170">
        <v>-1.6339869281045753E-2</v>
      </c>
      <c r="C170">
        <v>-1.1428571428571429E-2</v>
      </c>
      <c r="D170">
        <v>-3.9823008849557522E-2</v>
      </c>
      <c r="E170">
        <v>-5.0397877984084884E-2</v>
      </c>
      <c r="F170">
        <v>-3.875968992248062E-3</v>
      </c>
      <c r="G170">
        <v>2.7700831024930748E-3</v>
      </c>
      <c r="H170">
        <v>8.5836909871244635E-3</v>
      </c>
      <c r="I170">
        <v>-7.326007326007326E-3</v>
      </c>
      <c r="J170">
        <f t="shared" si="4"/>
        <v>-1.8406039003627084E-2</v>
      </c>
      <c r="K170">
        <f t="shared" si="5"/>
        <v>-0.9648732074946057</v>
      </c>
    </row>
    <row r="171" spans="1:11" x14ac:dyDescent="0.3">
      <c r="A171" s="4" t="s">
        <v>103</v>
      </c>
      <c r="B171">
        <v>-3.3222591362126247E-3</v>
      </c>
      <c r="C171">
        <v>1.1560693641618497E-2</v>
      </c>
      <c r="D171">
        <v>3.2258064516129031E-2</v>
      </c>
      <c r="E171">
        <v>-2.23463687150838E-2</v>
      </c>
      <c r="F171">
        <v>-3.8910505836575876E-3</v>
      </c>
      <c r="G171">
        <v>8.2872928176795577E-3</v>
      </c>
      <c r="H171">
        <v>4.2553191489361701E-2</v>
      </c>
      <c r="I171">
        <v>1.4760147601476014E-2</v>
      </c>
      <c r="J171">
        <f t="shared" si="4"/>
        <v>5.5592352830255067E-3</v>
      </c>
      <c r="K171">
        <f t="shared" si="5"/>
        <v>0.28185949964572748</v>
      </c>
    </row>
    <row r="172" spans="1:11" x14ac:dyDescent="0.3">
      <c r="A172" s="3" t="s">
        <v>104</v>
      </c>
      <c r="B172">
        <v>-6.6666666666666671E-3</v>
      </c>
      <c r="C172">
        <v>0</v>
      </c>
      <c r="D172">
        <v>-3.125E-2</v>
      </c>
      <c r="E172">
        <v>-8.5714285714285719E-3</v>
      </c>
      <c r="F172">
        <v>3.90625E-3</v>
      </c>
      <c r="G172">
        <v>-2.7397260273972603E-3</v>
      </c>
      <c r="H172">
        <v>-8.1632653061224497E-3</v>
      </c>
      <c r="I172">
        <v>3.6363636363636364E-3</v>
      </c>
      <c r="J172">
        <f t="shared" si="4"/>
        <v>-6.659944585879745E-3</v>
      </c>
      <c r="K172">
        <f t="shared" si="5"/>
        <v>-0.35381239022200001</v>
      </c>
    </row>
    <row r="173" spans="1:11" x14ac:dyDescent="0.3">
      <c r="A173" s="4" t="s">
        <v>105</v>
      </c>
      <c r="B173">
        <v>-2.3489932885906041E-2</v>
      </c>
      <c r="C173">
        <v>-1.7142857142857144E-2</v>
      </c>
      <c r="D173">
        <v>4.6082949308755762E-2</v>
      </c>
      <c r="E173">
        <v>5.763688760806916E-3</v>
      </c>
      <c r="F173">
        <v>0</v>
      </c>
      <c r="G173">
        <v>-3.8461538461538464E-2</v>
      </c>
      <c r="H173">
        <v>1.2345679012345678E-2</v>
      </c>
      <c r="I173">
        <v>-1.0869565217391304E-2</v>
      </c>
      <c r="J173">
        <f t="shared" si="4"/>
        <v>-6.9505785561045997E-3</v>
      </c>
      <c r="K173">
        <f t="shared" si="5"/>
        <v>-0.3689318865461953</v>
      </c>
    </row>
    <row r="174" spans="1:11" x14ac:dyDescent="0.3">
      <c r="A174" s="3" t="s">
        <v>106</v>
      </c>
      <c r="B174">
        <v>6.8728522336769758E-3</v>
      </c>
      <c r="C174">
        <v>8.7209302325581394E-3</v>
      </c>
      <c r="D174">
        <v>1.3215859030837005E-2</v>
      </c>
      <c r="E174">
        <v>2.8653295128939827E-3</v>
      </c>
      <c r="F174">
        <v>7.7821011673151752E-3</v>
      </c>
      <c r="G174">
        <v>5.7142857142857141E-2</v>
      </c>
      <c r="H174">
        <v>-2.032520325203252E-2</v>
      </c>
      <c r="I174">
        <v>1.098901098901099E-2</v>
      </c>
      <c r="J174">
        <f t="shared" si="4"/>
        <v>1.1179904940328554E-2</v>
      </c>
      <c r="K174">
        <f t="shared" si="5"/>
        <v>0.57426060526101985</v>
      </c>
    </row>
    <row r="175" spans="1:11" x14ac:dyDescent="0.3">
      <c r="A175" s="4" t="s">
        <v>107</v>
      </c>
      <c r="B175">
        <v>2.3890784982935155E-2</v>
      </c>
      <c r="C175">
        <v>0</v>
      </c>
      <c r="D175">
        <v>0</v>
      </c>
      <c r="E175">
        <v>-0.02</v>
      </c>
      <c r="F175">
        <v>-3.8610038610038611E-3</v>
      </c>
      <c r="G175">
        <v>-1.3513513513513514E-2</v>
      </c>
      <c r="H175">
        <v>-1.2448132780082987E-2</v>
      </c>
      <c r="I175">
        <v>-3.6231884057971015E-3</v>
      </c>
      <c r="J175">
        <f t="shared" si="4"/>
        <v>2.8454243930503345E-3</v>
      </c>
      <c r="K175">
        <f t="shared" si="5"/>
        <v>0.14068036031870382</v>
      </c>
    </row>
    <row r="176" spans="1:11" x14ac:dyDescent="0.3">
      <c r="A176" s="3" t="s">
        <v>108</v>
      </c>
      <c r="B176">
        <v>0.01</v>
      </c>
      <c r="C176">
        <v>1.1527377521613832E-2</v>
      </c>
      <c r="D176">
        <v>1.7391304347826087E-2</v>
      </c>
      <c r="E176">
        <v>2.3323615160349854E-2</v>
      </c>
      <c r="F176">
        <v>2.3255813953488372E-2</v>
      </c>
      <c r="G176">
        <v>1.9178082191780823E-2</v>
      </c>
      <c r="H176">
        <v>3.7815126050420166E-2</v>
      </c>
      <c r="I176">
        <v>0.04</v>
      </c>
      <c r="J176">
        <f t="shared" si="4"/>
        <v>1.5440793860905959E-2</v>
      </c>
      <c r="K176">
        <f t="shared" si="5"/>
        <v>0.79592256144127249</v>
      </c>
    </row>
    <row r="177" spans="1:11" x14ac:dyDescent="0.3">
      <c r="A177" s="4" t="s">
        <v>109</v>
      </c>
      <c r="B177">
        <v>-9.9009900990099011E-3</v>
      </c>
      <c r="C177">
        <v>-8.5470085470085479E-3</v>
      </c>
      <c r="D177">
        <v>4.2735042735042739E-3</v>
      </c>
      <c r="E177">
        <v>2.564102564102564E-2</v>
      </c>
      <c r="F177">
        <v>-3.787878787878788E-3</v>
      </c>
      <c r="G177">
        <v>-4.0322580645161289E-2</v>
      </c>
      <c r="H177">
        <v>-2.4291497975708502E-2</v>
      </c>
      <c r="I177">
        <v>-6.993006993006993E-3</v>
      </c>
      <c r="J177">
        <f t="shared" si="4"/>
        <v>-5.474596793130811E-3</v>
      </c>
      <c r="K177">
        <f t="shared" si="5"/>
        <v>-0.29214767297819355</v>
      </c>
    </row>
    <row r="178" spans="1:11" x14ac:dyDescent="0.3">
      <c r="A178" s="3" t="s">
        <v>110</v>
      </c>
      <c r="B178">
        <v>-0.03</v>
      </c>
      <c r="C178">
        <v>3.7356321839080463E-2</v>
      </c>
      <c r="D178">
        <v>-2.9787234042553193E-2</v>
      </c>
      <c r="E178">
        <v>-5.5555555555555558E-3</v>
      </c>
      <c r="F178">
        <v>-3.8022813688212928E-3</v>
      </c>
      <c r="G178">
        <v>-1.680672268907563E-2</v>
      </c>
      <c r="H178">
        <v>1.2448132780082987E-2</v>
      </c>
      <c r="I178">
        <v>1.7605633802816902E-2</v>
      </c>
      <c r="J178">
        <f t="shared" si="4"/>
        <v>-2.3992301055064075E-3</v>
      </c>
      <c r="K178">
        <f t="shared" si="5"/>
        <v>-0.13215950885162647</v>
      </c>
    </row>
    <row r="179" spans="1:11" x14ac:dyDescent="0.3">
      <c r="A179" s="2">
        <v>45669</v>
      </c>
      <c r="B179">
        <v>2.7491408934707903E-2</v>
      </c>
      <c r="C179">
        <v>3.6011080332409975E-2</v>
      </c>
      <c r="D179">
        <v>1.3157894736842105E-2</v>
      </c>
      <c r="E179">
        <v>-3.0726256983240222E-2</v>
      </c>
      <c r="F179">
        <v>-2.6717557251908396E-2</v>
      </c>
      <c r="G179">
        <v>3.9886039886039885E-2</v>
      </c>
      <c r="H179">
        <v>7.7868852459016397E-2</v>
      </c>
      <c r="I179">
        <v>-1.0380622837370242E-2</v>
      </c>
      <c r="J179">
        <f t="shared" si="4"/>
        <v>1.7036650821594598E-2</v>
      </c>
      <c r="K179">
        <f t="shared" si="5"/>
        <v>0.87894297860863213</v>
      </c>
    </row>
    <row r="180" spans="1:11" x14ac:dyDescent="0.3">
      <c r="A180" s="1">
        <v>45700</v>
      </c>
      <c r="B180">
        <v>-3.3444816053511705E-3</v>
      </c>
      <c r="C180">
        <v>-2.1390374331550801E-2</v>
      </c>
      <c r="D180">
        <v>-1.2987012987012988E-2</v>
      </c>
      <c r="E180">
        <v>8.6455331412103754E-3</v>
      </c>
      <c r="F180">
        <v>3.9215686274509803E-2</v>
      </c>
      <c r="G180">
        <v>-2.4657534246575342E-2</v>
      </c>
      <c r="H180">
        <v>4.5627376425855515E-2</v>
      </c>
      <c r="I180">
        <v>-1.7482517482517484E-2</v>
      </c>
      <c r="J180">
        <f t="shared" si="4"/>
        <v>-5.3003016016208914E-3</v>
      </c>
      <c r="K180">
        <f t="shared" si="5"/>
        <v>-0.28308040701021214</v>
      </c>
    </row>
    <row r="181" spans="1:11" x14ac:dyDescent="0.3">
      <c r="A181" s="2">
        <v>45728</v>
      </c>
      <c r="B181">
        <v>-2.0134228187919462E-2</v>
      </c>
      <c r="C181">
        <v>2.185792349726776E-2</v>
      </c>
      <c r="D181">
        <v>-8.771929824561403E-3</v>
      </c>
      <c r="E181">
        <v>-2.8571428571428571E-3</v>
      </c>
      <c r="F181">
        <v>-3.7735849056603774E-3</v>
      </c>
      <c r="G181">
        <v>5.6179775280898875E-3</v>
      </c>
      <c r="H181">
        <v>-1.4545454545454545E-2</v>
      </c>
      <c r="I181">
        <v>-7.1174377224199285E-3</v>
      </c>
      <c r="J181">
        <f t="shared" si="4"/>
        <v>-3.5376690094482307E-4</v>
      </c>
      <c r="K181">
        <f t="shared" si="5"/>
        <v>-2.5749465391397712E-2</v>
      </c>
    </row>
    <row r="182" spans="1:11" x14ac:dyDescent="0.3">
      <c r="A182" s="1">
        <v>45759</v>
      </c>
      <c r="B182">
        <v>-6.8493150684931503E-3</v>
      </c>
      <c r="C182">
        <v>-1.06951871657754E-2</v>
      </c>
      <c r="D182">
        <v>-4.4247787610619468E-3</v>
      </c>
      <c r="E182">
        <v>2.8653295128939827E-3</v>
      </c>
      <c r="F182">
        <v>1.893939393939394E-2</v>
      </c>
      <c r="G182">
        <v>1.3966480446927373E-2</v>
      </c>
      <c r="H182">
        <v>-2.9520295202952029E-2</v>
      </c>
      <c r="I182">
        <v>3.5842293906810034E-2</v>
      </c>
      <c r="J182">
        <f t="shared" si="4"/>
        <v>-2.1203707473554244E-3</v>
      </c>
      <c r="K182">
        <f t="shared" si="5"/>
        <v>-0.11765255690354796</v>
      </c>
    </row>
    <row r="183" spans="1:11" x14ac:dyDescent="0.3">
      <c r="A183" s="2">
        <v>45789</v>
      </c>
      <c r="B183">
        <v>3.4482758620689655E-3</v>
      </c>
      <c r="C183">
        <v>-1.3513513513513514E-2</v>
      </c>
      <c r="D183">
        <v>-8.8888888888888889E-3</v>
      </c>
      <c r="E183">
        <v>0</v>
      </c>
      <c r="F183">
        <v>-3.7174721189591076E-3</v>
      </c>
      <c r="G183">
        <v>1.928374655647383E-2</v>
      </c>
      <c r="H183">
        <v>3.8022813688212928E-3</v>
      </c>
      <c r="I183">
        <v>0.10726643598615918</v>
      </c>
      <c r="J183">
        <f t="shared" si="4"/>
        <v>-2.4180361860753645E-3</v>
      </c>
      <c r="K183">
        <f t="shared" si="5"/>
        <v>-0.13313784757030717</v>
      </c>
    </row>
    <row r="184" spans="1:11" x14ac:dyDescent="0.3">
      <c r="A184" s="1">
        <v>45881</v>
      </c>
      <c r="B184">
        <v>2.0618556701030927E-2</v>
      </c>
      <c r="C184">
        <v>2.7397260273972603E-3</v>
      </c>
      <c r="D184">
        <v>4.4843049327354258E-2</v>
      </c>
      <c r="E184">
        <v>-2.8571428571428571E-2</v>
      </c>
      <c r="F184">
        <v>3.7313432835820895E-3</v>
      </c>
      <c r="G184">
        <v>-1.891891891891892E-2</v>
      </c>
      <c r="H184">
        <v>-1.5151515151515152E-2</v>
      </c>
      <c r="I184">
        <v>3.125E-2</v>
      </c>
      <c r="J184">
        <f t="shared" si="4"/>
        <v>9.1004770829055583E-3</v>
      </c>
      <c r="K184">
        <f t="shared" si="5"/>
        <v>0.46608363674487502</v>
      </c>
    </row>
    <row r="185" spans="1:11" x14ac:dyDescent="0.3">
      <c r="A185" s="2">
        <v>45912</v>
      </c>
      <c r="B185">
        <v>-1.6835016835016835E-2</v>
      </c>
      <c r="C185">
        <v>-1.3661202185792349E-2</v>
      </c>
      <c r="D185">
        <v>-3.8626609442060089E-2</v>
      </c>
      <c r="E185">
        <v>2.9411764705882353E-2</v>
      </c>
      <c r="F185">
        <v>-1.858736059479554E-2</v>
      </c>
      <c r="G185">
        <v>-1.6528925619834711E-2</v>
      </c>
      <c r="H185">
        <v>4.6153846153846156E-2</v>
      </c>
      <c r="I185">
        <v>4.2424242424242427E-2</v>
      </c>
      <c r="J185">
        <f t="shared" si="4"/>
        <v>-1.3502987956030561E-2</v>
      </c>
      <c r="K185">
        <f t="shared" si="5"/>
        <v>-0.70980439281294927</v>
      </c>
    </row>
    <row r="186" spans="1:11" x14ac:dyDescent="0.3">
      <c r="A186" s="1">
        <v>45942</v>
      </c>
      <c r="B186">
        <v>3.4246575342465752E-3</v>
      </c>
      <c r="C186">
        <v>2.7700831024930747E-2</v>
      </c>
      <c r="D186">
        <v>1.7857142857142856E-2</v>
      </c>
      <c r="E186">
        <v>6.2857142857142861E-2</v>
      </c>
      <c r="F186">
        <v>3.787878787878788E-3</v>
      </c>
      <c r="G186">
        <v>1.9607843137254902E-2</v>
      </c>
      <c r="H186">
        <v>-3.3088235294117647E-2</v>
      </c>
      <c r="I186">
        <v>7.8488372093023256E-2</v>
      </c>
      <c r="J186">
        <f t="shared" si="4"/>
        <v>2.0176849759617213E-2</v>
      </c>
      <c r="K186">
        <f t="shared" si="5"/>
        <v>1.042303876386488</v>
      </c>
    </row>
    <row r="187" spans="1:11" x14ac:dyDescent="0.3">
      <c r="A187" s="2">
        <v>45973</v>
      </c>
      <c r="B187">
        <v>-1.3651877133105802E-2</v>
      </c>
      <c r="C187">
        <v>-1.6172506738544475E-2</v>
      </c>
      <c r="D187">
        <v>-3.5087719298245612E-2</v>
      </c>
      <c r="E187">
        <v>-2.1505376344086023E-2</v>
      </c>
      <c r="F187">
        <v>-2.6415094339622643E-2</v>
      </c>
      <c r="G187">
        <v>-1.9230769230769232E-2</v>
      </c>
      <c r="H187">
        <v>-1.5209125475285171E-2</v>
      </c>
      <c r="I187">
        <v>-2.6954177897574125E-3</v>
      </c>
      <c r="J187">
        <f t="shared" si="4"/>
        <v>-1.9882411192325023E-2</v>
      </c>
      <c r="K187">
        <f t="shared" si="5"/>
        <v>-1.0416777319722255</v>
      </c>
    </row>
    <row r="188" spans="1:11" x14ac:dyDescent="0.3">
      <c r="A188" s="1">
        <v>46003</v>
      </c>
      <c r="B188">
        <v>5.536332179930796E-2</v>
      </c>
      <c r="C188">
        <v>2.7397260273972603E-3</v>
      </c>
      <c r="D188">
        <v>2.2727272727272728E-2</v>
      </c>
      <c r="E188">
        <v>1.9230769230769232E-2</v>
      </c>
      <c r="F188">
        <v>2.3255813953488372E-2</v>
      </c>
      <c r="G188">
        <v>-5.6022408963585435E-3</v>
      </c>
      <c r="H188">
        <v>1.9305019305019305E-2</v>
      </c>
      <c r="I188">
        <v>2.4324324324324326E-2</v>
      </c>
      <c r="J188">
        <f t="shared" si="4"/>
        <v>2.3020046440747888E-2</v>
      </c>
      <c r="K188">
        <f t="shared" si="5"/>
        <v>1.1902139838528012</v>
      </c>
    </row>
    <row r="189" spans="1:11" x14ac:dyDescent="0.3">
      <c r="A189" s="4" t="s">
        <v>111</v>
      </c>
      <c r="B189">
        <v>-6.5573770491803279E-3</v>
      </c>
      <c r="C189">
        <v>-5.4644808743169399E-3</v>
      </c>
      <c r="D189">
        <v>4.4444444444444446E-2</v>
      </c>
      <c r="E189">
        <v>-2.9649595687331536E-2</v>
      </c>
      <c r="F189">
        <v>0</v>
      </c>
      <c r="G189">
        <v>-2.2535211267605635E-2</v>
      </c>
      <c r="H189">
        <v>3.787878787878788E-3</v>
      </c>
      <c r="I189">
        <v>-2.1108179419525065E-2</v>
      </c>
      <c r="J189">
        <f t="shared" si="4"/>
        <v>-1.7405068524429827E-3</v>
      </c>
      <c r="K189">
        <f t="shared" si="5"/>
        <v>-9.7891099705754756E-2</v>
      </c>
    </row>
    <row r="190" spans="1:11" x14ac:dyDescent="0.3">
      <c r="A190" s="3" t="s">
        <v>112</v>
      </c>
      <c r="B190">
        <v>-1.9801980198019802E-2</v>
      </c>
      <c r="C190">
        <v>-5.4945054945054949E-3</v>
      </c>
      <c r="D190">
        <v>-1.7021276595744681E-2</v>
      </c>
      <c r="E190">
        <v>1.1111111111111112E-2</v>
      </c>
      <c r="F190">
        <v>0</v>
      </c>
      <c r="G190">
        <v>1.4409221902017291E-2</v>
      </c>
      <c r="H190">
        <v>0</v>
      </c>
      <c r="I190">
        <v>-2.6954177897574125E-3</v>
      </c>
      <c r="J190">
        <f t="shared" si="4"/>
        <v>-7.2180153896706399E-3</v>
      </c>
      <c r="K190">
        <f t="shared" si="5"/>
        <v>-0.38284461057817215</v>
      </c>
    </row>
    <row r="191" spans="1:11" x14ac:dyDescent="0.3">
      <c r="A191" s="4" t="s">
        <v>113</v>
      </c>
      <c r="B191">
        <v>1.6835016835016835E-2</v>
      </c>
      <c r="C191">
        <v>3.0386740331491711E-2</v>
      </c>
      <c r="D191">
        <v>-8.658008658008658E-3</v>
      </c>
      <c r="E191">
        <v>-3.5714285714285712E-2</v>
      </c>
      <c r="F191">
        <v>0</v>
      </c>
      <c r="G191">
        <v>-5.681818181818182E-3</v>
      </c>
      <c r="H191">
        <v>4.5283018867924525E-2</v>
      </c>
      <c r="I191">
        <v>4.0540540540540543E-2</v>
      </c>
      <c r="J191">
        <f t="shared" si="4"/>
        <v>9.4102135719218855E-3</v>
      </c>
      <c r="K191">
        <f t="shared" si="5"/>
        <v>0.48219689323560244</v>
      </c>
    </row>
    <row r="192" spans="1:11" x14ac:dyDescent="0.3">
      <c r="A192" s="3" t="s">
        <v>114</v>
      </c>
      <c r="B192">
        <v>2.9801324503311258E-2</v>
      </c>
      <c r="C192">
        <v>-1.3404825737265416E-2</v>
      </c>
      <c r="D192">
        <v>-3.9301310043668124E-2</v>
      </c>
      <c r="E192">
        <v>-1.7094017094017096E-2</v>
      </c>
      <c r="F192">
        <v>-1.5151515151515152E-2</v>
      </c>
      <c r="G192">
        <v>-1.1428571428571429E-2</v>
      </c>
      <c r="H192">
        <v>-2.5270758122743681E-2</v>
      </c>
      <c r="I192">
        <v>-4.1558441558441558E-2</v>
      </c>
      <c r="J192">
        <f t="shared" si="4"/>
        <v>-6.5376290633779172E-3</v>
      </c>
      <c r="K192">
        <f t="shared" si="5"/>
        <v>-0.34744923490527074</v>
      </c>
    </row>
    <row r="193" spans="1:11" x14ac:dyDescent="0.3">
      <c r="A193" s="4" t="s">
        <v>115</v>
      </c>
      <c r="B193">
        <v>-1.2861736334405145E-2</v>
      </c>
      <c r="C193">
        <v>1.0869565217391304E-2</v>
      </c>
      <c r="D193">
        <v>-4.5454545454545452E-3</v>
      </c>
      <c r="E193">
        <v>1.7391304347826087E-2</v>
      </c>
      <c r="F193">
        <v>3.8461538461538464E-3</v>
      </c>
      <c r="G193">
        <v>-1.4450867052023121E-2</v>
      </c>
      <c r="H193">
        <v>0</v>
      </c>
      <c r="I193">
        <v>5.6910569105691054E-2</v>
      </c>
      <c r="J193">
        <f t="shared" si="4"/>
        <v>1.0976223213046709E-3</v>
      </c>
      <c r="K193">
        <f t="shared" si="5"/>
        <v>4.975538352148156E-2</v>
      </c>
    </row>
    <row r="194" spans="1:11" x14ac:dyDescent="0.3">
      <c r="A194" s="3" t="s">
        <v>116</v>
      </c>
      <c r="B194">
        <v>3.9087947882736153E-2</v>
      </c>
      <c r="C194">
        <v>2.4193548387096774E-2</v>
      </c>
      <c r="D194">
        <v>3.1963470319634701E-2</v>
      </c>
      <c r="E194">
        <v>-1.9943019943019943E-2</v>
      </c>
      <c r="F194">
        <v>7.6628352490421452E-3</v>
      </c>
      <c r="G194">
        <v>1.7595307917888565E-2</v>
      </c>
      <c r="H194">
        <v>-1.8518518518518517E-2</v>
      </c>
      <c r="I194">
        <v>-3.5897435897435895E-2</v>
      </c>
      <c r="J194">
        <f t="shared" si="4"/>
        <v>2.159980766540032E-2</v>
      </c>
      <c r="K194">
        <f t="shared" si="5"/>
        <v>1.1163296580572517</v>
      </c>
    </row>
    <row r="195" spans="1:11" x14ac:dyDescent="0.3">
      <c r="A195" s="4" t="s">
        <v>117</v>
      </c>
      <c r="B195">
        <v>0</v>
      </c>
      <c r="C195">
        <v>-1.3123359580052493E-2</v>
      </c>
      <c r="D195">
        <v>-1.3274336283185841E-2</v>
      </c>
      <c r="E195">
        <v>-4.6511627906976744E-2</v>
      </c>
      <c r="F195">
        <v>-1.1406844106463879E-2</v>
      </c>
      <c r="G195">
        <v>0</v>
      </c>
      <c r="H195">
        <v>1.509433962264151E-2</v>
      </c>
      <c r="I195">
        <v>-5.3191489361702126E-3</v>
      </c>
      <c r="J195">
        <f t="shared" si="4"/>
        <v>-1.1571182836369251E-2</v>
      </c>
      <c r="K195">
        <f t="shared" si="5"/>
        <v>-0.60930712340158766</v>
      </c>
    </row>
    <row r="196" spans="1:11" x14ac:dyDescent="0.3">
      <c r="A196" s="3" t="s">
        <v>118</v>
      </c>
      <c r="B196">
        <v>9.4043887147335428E-3</v>
      </c>
      <c r="C196">
        <v>5.3191489361702126E-3</v>
      </c>
      <c r="D196">
        <v>-1.3452914798206279E-2</v>
      </c>
      <c r="E196">
        <v>-4.573170731707317E-2</v>
      </c>
      <c r="F196">
        <v>1.9230769230769232E-2</v>
      </c>
      <c r="G196">
        <v>-2.881844380403458E-3</v>
      </c>
      <c r="H196">
        <v>-1.4869888475836431E-2</v>
      </c>
      <c r="I196">
        <v>2.6737967914438501E-3</v>
      </c>
      <c r="J196">
        <f t="shared" ref="J196:J236" si="6">B196*$N$2+C196*$O$2+D196*$P$2+E196*$Q$2+F196*$R$2+G196*$S$2+H196*$T$2+I196*$U$2</f>
        <v>-2.5774265746594273E-4</v>
      </c>
      <c r="K196">
        <f t="shared" ref="K196:K236" si="7">(J196-$O$4)/$N$5</f>
        <v>-2.0754047288037935E-2</v>
      </c>
    </row>
    <row r="197" spans="1:11" x14ac:dyDescent="0.3">
      <c r="A197" s="4" t="s">
        <v>119</v>
      </c>
      <c r="B197">
        <v>2.4844720496894408E-2</v>
      </c>
      <c r="C197">
        <v>5.2910052910052907E-3</v>
      </c>
      <c r="D197">
        <v>5.4545454545454543E-2</v>
      </c>
      <c r="E197">
        <v>4.7923322683706068E-2</v>
      </c>
      <c r="F197">
        <v>7.5471698113207548E-3</v>
      </c>
      <c r="G197">
        <v>8.670520231213872E-3</v>
      </c>
      <c r="H197">
        <v>-7.5471698113207548E-3</v>
      </c>
      <c r="I197">
        <v>2.1333333333333333E-2</v>
      </c>
      <c r="J197">
        <f t="shared" si="6"/>
        <v>2.1900723345731333E-2</v>
      </c>
      <c r="K197">
        <f t="shared" si="7"/>
        <v>1.1319840343131915</v>
      </c>
    </row>
    <row r="198" spans="1:11" x14ac:dyDescent="0.3">
      <c r="A198" s="3" t="s">
        <v>120</v>
      </c>
      <c r="B198">
        <v>-4.5454545454545456E-2</v>
      </c>
      <c r="C198">
        <v>5.263157894736842E-3</v>
      </c>
      <c r="D198">
        <v>-1.7241379310344827E-2</v>
      </c>
      <c r="E198">
        <v>-3.0487804878048782E-3</v>
      </c>
      <c r="F198">
        <v>3.7453183520599251E-3</v>
      </c>
      <c r="G198">
        <v>-2.8653295128939827E-3</v>
      </c>
      <c r="H198">
        <v>-3.8022813688212928E-3</v>
      </c>
      <c r="I198">
        <v>-2.0887728459530026E-2</v>
      </c>
      <c r="J198">
        <f t="shared" si="6"/>
        <v>-1.2969679449898026E-2</v>
      </c>
      <c r="K198">
        <f t="shared" si="7"/>
        <v>-0.68206036828651628</v>
      </c>
    </row>
    <row r="199" spans="1:11" x14ac:dyDescent="0.3">
      <c r="A199" s="2">
        <v>46054</v>
      </c>
      <c r="B199">
        <v>1.9047619047619049E-2</v>
      </c>
      <c r="C199">
        <v>1.0471204188481676E-2</v>
      </c>
      <c r="D199">
        <v>2.1929824561403508E-2</v>
      </c>
      <c r="E199">
        <v>-2.4464831804281346E-2</v>
      </c>
      <c r="F199">
        <v>1.4925373134328358E-2</v>
      </c>
      <c r="G199">
        <v>-2.8735632183908046E-3</v>
      </c>
      <c r="H199">
        <v>0.10687022900763359</v>
      </c>
      <c r="I199">
        <v>0</v>
      </c>
      <c r="J199">
        <f t="shared" si="6"/>
        <v>1.1195862560119223E-2</v>
      </c>
      <c r="K199">
        <f t="shared" si="7"/>
        <v>0.57509076002090997</v>
      </c>
    </row>
    <row r="200" spans="1:11" x14ac:dyDescent="0.3">
      <c r="A200" s="1">
        <v>46143</v>
      </c>
      <c r="B200">
        <v>5.6074766355140186E-2</v>
      </c>
      <c r="C200">
        <v>1.2953367875647668E-2</v>
      </c>
      <c r="D200">
        <v>6.4377682403433473E-2</v>
      </c>
      <c r="E200">
        <v>0</v>
      </c>
      <c r="F200">
        <v>1.1029411764705883E-2</v>
      </c>
      <c r="G200">
        <v>3.1700288184438041E-2</v>
      </c>
      <c r="H200">
        <v>-1.7241379310344827E-2</v>
      </c>
      <c r="I200">
        <v>1.8666666666666668E-2</v>
      </c>
      <c r="J200">
        <f t="shared" si="6"/>
        <v>3.0952629189404449E-2</v>
      </c>
      <c r="K200">
        <f t="shared" si="7"/>
        <v>1.6028865135536363</v>
      </c>
    </row>
    <row r="201" spans="1:11" x14ac:dyDescent="0.3">
      <c r="A201" s="2">
        <v>46174</v>
      </c>
      <c r="B201">
        <v>1.7699115044247787E-2</v>
      </c>
      <c r="C201">
        <v>-2.8132992327365727E-2</v>
      </c>
      <c r="D201">
        <v>8.8709677419354843E-2</v>
      </c>
      <c r="E201">
        <v>-1.2539184952978056E-2</v>
      </c>
      <c r="F201">
        <v>3.6363636363636364E-3</v>
      </c>
      <c r="G201">
        <v>-1.6759776536312849E-2</v>
      </c>
      <c r="H201">
        <v>-3.8596491228070177E-2</v>
      </c>
      <c r="I201">
        <v>-5.235602094240838E-3</v>
      </c>
      <c r="J201">
        <f t="shared" si="6"/>
        <v>6.1385391708697109E-3</v>
      </c>
      <c r="K201">
        <f t="shared" si="7"/>
        <v>0.31199631743091649</v>
      </c>
    </row>
    <row r="202" spans="1:11" x14ac:dyDescent="0.3">
      <c r="A202" s="1">
        <v>46204</v>
      </c>
      <c r="B202">
        <v>0.11594202898550725</v>
      </c>
      <c r="C202">
        <v>2.368421052631579E-2</v>
      </c>
      <c r="D202">
        <v>7.4074074074074077E-3</v>
      </c>
      <c r="E202">
        <v>-3.1746031746031744E-2</v>
      </c>
      <c r="F202">
        <v>1.8115942028985508E-2</v>
      </c>
      <c r="G202">
        <v>5.681818181818182E-3</v>
      </c>
      <c r="H202">
        <v>-6.9343065693430656E-2</v>
      </c>
      <c r="I202">
        <v>5.2631578947368418E-2</v>
      </c>
      <c r="J202">
        <f t="shared" si="6"/>
        <v>3.795673199684025E-2</v>
      </c>
      <c r="K202">
        <f t="shared" si="7"/>
        <v>1.9672572255161129</v>
      </c>
    </row>
    <row r="203" spans="1:11" x14ac:dyDescent="0.3">
      <c r="A203" s="2">
        <v>46235</v>
      </c>
      <c r="B203">
        <v>-9.350649350649351E-2</v>
      </c>
      <c r="C203">
        <v>7.7120822622107968E-3</v>
      </c>
      <c r="D203">
        <v>-5.8823529411764705E-2</v>
      </c>
      <c r="E203">
        <v>1.3114754098360656E-2</v>
      </c>
      <c r="F203">
        <v>-3.5587188612099642E-3</v>
      </c>
      <c r="G203">
        <v>-2.8248587570621469E-3</v>
      </c>
      <c r="H203">
        <v>-3.9215686274509803E-3</v>
      </c>
      <c r="I203">
        <v>7.4999999999999997E-2</v>
      </c>
      <c r="J203">
        <f t="shared" si="6"/>
        <v>-2.8796940087588721E-2</v>
      </c>
      <c r="K203">
        <f t="shared" si="7"/>
        <v>-1.5054335233533729</v>
      </c>
    </row>
    <row r="204" spans="1:11" x14ac:dyDescent="0.3">
      <c r="A204" s="1">
        <v>46266</v>
      </c>
      <c r="B204">
        <v>4.0114613180515762E-2</v>
      </c>
      <c r="C204">
        <v>7.6530612244897957E-3</v>
      </c>
      <c r="D204">
        <v>5.46875E-2</v>
      </c>
      <c r="E204">
        <v>3.2362459546925568E-3</v>
      </c>
      <c r="F204">
        <v>-1.7857142857142856E-2</v>
      </c>
      <c r="G204">
        <v>-2.2662889518413599E-2</v>
      </c>
      <c r="H204">
        <v>1.968503937007874E-2</v>
      </c>
      <c r="I204">
        <v>-9.3023255813953487E-3</v>
      </c>
      <c r="J204">
        <f t="shared" si="6"/>
        <v>1.7213834265567118E-2</v>
      </c>
      <c r="K204">
        <f t="shared" si="7"/>
        <v>0.88816049859701529</v>
      </c>
    </row>
    <row r="205" spans="1:11" x14ac:dyDescent="0.3">
      <c r="A205" s="2">
        <v>46357</v>
      </c>
      <c r="B205">
        <v>5.5096418732782371E-2</v>
      </c>
      <c r="C205">
        <v>-5.0632911392405064E-3</v>
      </c>
      <c r="D205">
        <v>7.0370370370370375E-2</v>
      </c>
      <c r="E205">
        <v>-7.0967741935483872E-2</v>
      </c>
      <c r="F205">
        <v>1.8181818181818181E-2</v>
      </c>
      <c r="G205">
        <v>2.0289855072463767E-2</v>
      </c>
      <c r="H205">
        <v>3.8610038610038611E-3</v>
      </c>
      <c r="I205">
        <v>-5.8685446009389672E-2</v>
      </c>
      <c r="J205">
        <f t="shared" si="6"/>
        <v>1.8612190370778634E-2</v>
      </c>
      <c r="K205">
        <f t="shared" si="7"/>
        <v>0.96090643389254982</v>
      </c>
    </row>
    <row r="206" spans="1:11" x14ac:dyDescent="0.3">
      <c r="A206" s="3" t="s">
        <v>121</v>
      </c>
      <c r="B206">
        <v>1.3054830287206266E-2</v>
      </c>
      <c r="C206">
        <v>7.6335877862595417E-3</v>
      </c>
      <c r="D206">
        <v>7.9584775086505188E-2</v>
      </c>
      <c r="E206">
        <v>-2.4305555555555556E-2</v>
      </c>
      <c r="F206">
        <v>4.2857142857142858E-2</v>
      </c>
      <c r="G206">
        <v>2.8409090909090908E-2</v>
      </c>
      <c r="H206">
        <v>5.3846153846153849E-2</v>
      </c>
      <c r="I206">
        <v>-2.4937655860349128E-2</v>
      </c>
      <c r="J206">
        <f t="shared" si="6"/>
        <v>2.1390204521693584E-2</v>
      </c>
      <c r="K206">
        <f t="shared" si="7"/>
        <v>1.1054255852870867</v>
      </c>
    </row>
    <row r="207" spans="1:11" x14ac:dyDescent="0.3">
      <c r="A207" s="4" t="s">
        <v>122</v>
      </c>
      <c r="B207">
        <v>5.4123711340206188E-2</v>
      </c>
      <c r="C207">
        <v>2.5252525252525252E-2</v>
      </c>
      <c r="D207">
        <v>-1.9230769230769232E-2</v>
      </c>
      <c r="E207">
        <v>7.1174377224199285E-3</v>
      </c>
      <c r="F207">
        <v>-2.3972602739726026E-2</v>
      </c>
      <c r="G207">
        <v>8.2872928176795577E-3</v>
      </c>
      <c r="H207">
        <v>-4.7445255474452552E-2</v>
      </c>
      <c r="I207">
        <v>5.1150895140664961E-2</v>
      </c>
      <c r="J207">
        <f t="shared" si="6"/>
        <v>1.7808596104652467E-2</v>
      </c>
      <c r="K207">
        <f t="shared" si="7"/>
        <v>0.91910147715112356</v>
      </c>
    </row>
    <row r="208" spans="1:11" x14ac:dyDescent="0.3">
      <c r="A208" s="3" t="s">
        <v>123</v>
      </c>
      <c r="B208">
        <v>-9.7799511002444987E-3</v>
      </c>
      <c r="C208">
        <v>-4.9261083743842365E-3</v>
      </c>
      <c r="D208">
        <v>-2.2875816993464051E-2</v>
      </c>
      <c r="E208">
        <v>0</v>
      </c>
      <c r="F208">
        <v>-1.0526315789473684E-2</v>
      </c>
      <c r="G208">
        <v>2.7397260273972603E-3</v>
      </c>
      <c r="H208">
        <v>3.4482758620689655E-2</v>
      </c>
      <c r="I208">
        <v>-2.4330900243309004E-2</v>
      </c>
      <c r="J208">
        <f t="shared" si="6"/>
        <v>-8.2607910850557801E-3</v>
      </c>
      <c r="K208">
        <f t="shared" si="7"/>
        <v>-0.43709237549408331</v>
      </c>
    </row>
    <row r="209" spans="1:11" x14ac:dyDescent="0.3">
      <c r="A209" s="4" t="s">
        <v>124</v>
      </c>
      <c r="B209">
        <v>-1.2345679012345678E-2</v>
      </c>
      <c r="C209">
        <v>9.9009900990099011E-3</v>
      </c>
      <c r="D209">
        <v>2.3411371237458192E-2</v>
      </c>
      <c r="E209">
        <v>4.2402826855123678E-2</v>
      </c>
      <c r="F209">
        <v>4.9645390070921988E-2</v>
      </c>
      <c r="G209">
        <v>-1.092896174863388E-2</v>
      </c>
      <c r="H209">
        <v>2.9629629629629631E-2</v>
      </c>
      <c r="I209">
        <v>-1.7456359102244388E-2</v>
      </c>
      <c r="J209">
        <f t="shared" si="6"/>
        <v>1.2157975198201719E-2</v>
      </c>
      <c r="K209">
        <f t="shared" si="7"/>
        <v>0.62514223364491839</v>
      </c>
    </row>
    <row r="210" spans="1:11" x14ac:dyDescent="0.3">
      <c r="A210" s="3" t="s">
        <v>125</v>
      </c>
      <c r="B210">
        <v>0.03</v>
      </c>
      <c r="C210">
        <v>1.9607843137254902E-2</v>
      </c>
      <c r="D210">
        <v>4.9019607843137254E-2</v>
      </c>
      <c r="E210">
        <v>-1.6949152542372881E-2</v>
      </c>
      <c r="F210">
        <v>-1.6891891891891893E-2</v>
      </c>
      <c r="G210">
        <v>-5.5248618784530384E-3</v>
      </c>
      <c r="H210">
        <v>5.3956834532374098E-2</v>
      </c>
      <c r="I210">
        <v>8.3756345177664976E-2</v>
      </c>
      <c r="J210">
        <f t="shared" si="6"/>
        <v>1.7983572629162545E-2</v>
      </c>
      <c r="K210">
        <f t="shared" si="7"/>
        <v>0.92820418774308844</v>
      </c>
    </row>
    <row r="211" spans="1:11" x14ac:dyDescent="0.3">
      <c r="A211" s="4" t="s">
        <v>126</v>
      </c>
      <c r="B211">
        <v>3.640776699029126E-2</v>
      </c>
      <c r="C211">
        <v>4.807692307692308E-3</v>
      </c>
      <c r="D211">
        <v>3.1152647975077882E-2</v>
      </c>
      <c r="E211">
        <v>-1.3793103448275862E-2</v>
      </c>
      <c r="F211">
        <v>-9.2783505154639179E-2</v>
      </c>
      <c r="G211">
        <v>0</v>
      </c>
      <c r="H211">
        <v>0</v>
      </c>
      <c r="I211">
        <v>-2.8103044496487119E-2</v>
      </c>
      <c r="J211">
        <f t="shared" si="6"/>
        <v>2.9826018153034429E-3</v>
      </c>
      <c r="K211">
        <f t="shared" si="7"/>
        <v>0.14781666833498228</v>
      </c>
    </row>
    <row r="212" spans="1:11" x14ac:dyDescent="0.3">
      <c r="A212" s="3" t="s">
        <v>127</v>
      </c>
      <c r="B212">
        <v>-1.1709601873536301E-2</v>
      </c>
      <c r="C212">
        <v>3.3492822966507178E-2</v>
      </c>
      <c r="D212">
        <v>-2.1148036253776436E-2</v>
      </c>
      <c r="E212">
        <v>-3.8461538461538464E-2</v>
      </c>
      <c r="F212">
        <v>2.6515151515151516E-2</v>
      </c>
      <c r="G212">
        <v>3.888888888888889E-2</v>
      </c>
      <c r="H212">
        <v>-1.7064846416382253E-2</v>
      </c>
      <c r="I212">
        <v>3.8554216867469883E-2</v>
      </c>
      <c r="J212">
        <f t="shared" si="6"/>
        <v>6.3899970274357955E-3</v>
      </c>
      <c r="K212">
        <f t="shared" si="7"/>
        <v>0.32507777564827328</v>
      </c>
    </row>
    <row r="213" spans="1:11" x14ac:dyDescent="0.3">
      <c r="A213" s="4" t="s">
        <v>128</v>
      </c>
      <c r="B213">
        <v>1.6587677725118485E-2</v>
      </c>
      <c r="C213">
        <v>5.0925925925925923E-2</v>
      </c>
      <c r="D213">
        <v>1.8518518518518517E-2</v>
      </c>
      <c r="E213">
        <v>-5.8181818181818182E-2</v>
      </c>
      <c r="F213">
        <v>7.3800738007380072E-3</v>
      </c>
      <c r="G213">
        <v>8.0213903743315516E-3</v>
      </c>
      <c r="H213">
        <v>6.9444444444444441E-3</v>
      </c>
      <c r="I213">
        <v>1.1600928074245939E-2</v>
      </c>
      <c r="J213">
        <f t="shared" si="6"/>
        <v>1.8351961105845489E-2</v>
      </c>
      <c r="K213">
        <f t="shared" si="7"/>
        <v>0.94736866536686537</v>
      </c>
    </row>
    <row r="214" spans="1:11" x14ac:dyDescent="0.3">
      <c r="A214" s="3" t="s">
        <v>129</v>
      </c>
      <c r="B214">
        <v>0.10955710955710955</v>
      </c>
      <c r="C214">
        <v>-4.4052863436123352E-3</v>
      </c>
      <c r="D214">
        <v>4.5454545454545456E-2</v>
      </c>
      <c r="E214">
        <v>-3.8610038610038611E-3</v>
      </c>
      <c r="F214">
        <v>7.326007326007326E-3</v>
      </c>
      <c r="G214">
        <v>2.1220159151193633E-2</v>
      </c>
      <c r="H214">
        <v>-2.0689655172413793E-2</v>
      </c>
      <c r="I214">
        <v>0</v>
      </c>
      <c r="J214">
        <f t="shared" si="6"/>
        <v>3.5295370400159086E-2</v>
      </c>
      <c r="K214">
        <f t="shared" si="7"/>
        <v>1.8288066278545798</v>
      </c>
    </row>
    <row r="215" spans="1:11" x14ac:dyDescent="0.3">
      <c r="A215" s="4" t="s">
        <v>130</v>
      </c>
      <c r="B215">
        <v>-3.1512605042016806E-2</v>
      </c>
      <c r="C215">
        <v>-4.4247787610619468E-2</v>
      </c>
      <c r="D215">
        <v>-6.9565217391304349E-2</v>
      </c>
      <c r="E215">
        <v>4.6511627906976744E-2</v>
      </c>
      <c r="F215">
        <v>-8.3636363636363634E-2</v>
      </c>
      <c r="G215">
        <v>2.3376623376623377E-2</v>
      </c>
      <c r="H215">
        <v>1.4084507042253521E-2</v>
      </c>
      <c r="I215">
        <v>2.9816513761467892E-2</v>
      </c>
      <c r="J215">
        <f t="shared" si="6"/>
        <v>-3.4537344875435909E-2</v>
      </c>
      <c r="K215">
        <f t="shared" si="7"/>
        <v>-1.8040635459281613</v>
      </c>
    </row>
    <row r="216" spans="1:11" x14ac:dyDescent="0.3">
      <c r="A216" s="3" t="s">
        <v>131</v>
      </c>
      <c r="B216">
        <v>-4.1214750542299353E-2</v>
      </c>
      <c r="C216">
        <v>-1.8518518518518517E-2</v>
      </c>
      <c r="D216">
        <v>9.3457943925233638E-3</v>
      </c>
      <c r="E216">
        <v>-0.14814814814814814</v>
      </c>
      <c r="F216">
        <v>-1.984126984126984E-2</v>
      </c>
      <c r="G216">
        <v>-0.11928934010152284</v>
      </c>
      <c r="H216">
        <v>-4.5138888888888888E-2</v>
      </c>
      <c r="I216">
        <v>-0.1492204899777283</v>
      </c>
      <c r="J216">
        <f t="shared" si="6"/>
        <v>-4.1458202084826486E-2</v>
      </c>
      <c r="K216">
        <f t="shared" si="7"/>
        <v>-2.1641036164564094</v>
      </c>
    </row>
    <row r="217" spans="1:11" x14ac:dyDescent="0.3">
      <c r="A217" s="4" t="s">
        <v>132</v>
      </c>
      <c r="B217">
        <v>-2.2624434389140271E-2</v>
      </c>
      <c r="C217">
        <v>-1.8867924528301886E-2</v>
      </c>
      <c r="D217">
        <v>-2.1604938271604937E-2</v>
      </c>
      <c r="E217">
        <v>-4.3478260869565216E-2</v>
      </c>
      <c r="F217">
        <v>4.8582995951417005E-2</v>
      </c>
      <c r="G217">
        <v>-5.763688760806916E-3</v>
      </c>
      <c r="H217">
        <v>-5.4545454545454543E-2</v>
      </c>
      <c r="I217">
        <v>-0.14921465968586387</v>
      </c>
      <c r="J217">
        <f t="shared" si="6"/>
        <v>-1.5649018861289204E-2</v>
      </c>
      <c r="K217">
        <f t="shared" si="7"/>
        <v>-0.82144621623284864</v>
      </c>
    </row>
    <row r="218" spans="1:11" x14ac:dyDescent="0.3">
      <c r="A218" s="3" t="s">
        <v>133</v>
      </c>
      <c r="B218">
        <v>-2.5462962962962962E-2</v>
      </c>
      <c r="C218">
        <v>1.9230769230769232E-2</v>
      </c>
      <c r="D218">
        <v>1.2618296529968454E-2</v>
      </c>
      <c r="E218">
        <v>-1.8181818181818181E-2</v>
      </c>
      <c r="F218">
        <v>-1.9305019305019305E-2</v>
      </c>
      <c r="G218">
        <v>4.3478260869565216E-2</v>
      </c>
      <c r="H218">
        <v>6.5384615384615388E-2</v>
      </c>
      <c r="I218">
        <v>1.5384615384615385E-2</v>
      </c>
      <c r="J218">
        <f t="shared" si="6"/>
        <v>5.0646687645339457E-4</v>
      </c>
      <c r="K218">
        <f t="shared" si="7"/>
        <v>1.900201849487481E-2</v>
      </c>
    </row>
    <row r="219" spans="1:11" x14ac:dyDescent="0.3">
      <c r="A219" s="2">
        <v>46055</v>
      </c>
      <c r="B219">
        <v>-9.5011876484560567E-2</v>
      </c>
      <c r="C219">
        <v>2.8301886792452831E-2</v>
      </c>
      <c r="D219">
        <v>-0.14953271028037382</v>
      </c>
      <c r="E219">
        <v>-0.14814814814814814</v>
      </c>
      <c r="F219">
        <v>-1.1811023622047244E-2</v>
      </c>
      <c r="G219">
        <v>-2.7777777777777776E-2</v>
      </c>
      <c r="H219">
        <v>-3.6101083032490974E-2</v>
      </c>
      <c r="I219">
        <v>-0.11818181818181818</v>
      </c>
      <c r="J219">
        <f t="shared" si="6"/>
        <v>-5.597478957062052E-2</v>
      </c>
      <c r="K219">
        <f t="shared" si="7"/>
        <v>-2.9192923198330818</v>
      </c>
    </row>
    <row r="220" spans="1:11" x14ac:dyDescent="0.3">
      <c r="A220" s="1">
        <v>46083</v>
      </c>
      <c r="B220">
        <v>3.1496062992125984E-2</v>
      </c>
      <c r="C220">
        <v>-9.1743119266055051E-3</v>
      </c>
      <c r="D220">
        <v>8.0586080586080591E-2</v>
      </c>
      <c r="E220">
        <v>7.6086956521739135E-2</v>
      </c>
      <c r="F220">
        <v>8.3665338645418322E-2</v>
      </c>
      <c r="G220">
        <v>-1.4285714285714285E-2</v>
      </c>
      <c r="H220">
        <v>4.49438202247191E-2</v>
      </c>
      <c r="I220">
        <v>7.560137457044673E-2</v>
      </c>
      <c r="J220">
        <f t="shared" si="6"/>
        <v>3.3805283256115141E-2</v>
      </c>
      <c r="K220">
        <f t="shared" si="7"/>
        <v>1.7512886175556708</v>
      </c>
    </row>
    <row r="221" spans="1:11" x14ac:dyDescent="0.3">
      <c r="A221" s="2">
        <v>46114</v>
      </c>
      <c r="B221">
        <v>1.5267175572519083E-2</v>
      </c>
      <c r="C221">
        <v>1.8518518518518517E-2</v>
      </c>
      <c r="D221">
        <v>2.7118644067796609E-2</v>
      </c>
      <c r="E221">
        <v>7.575757575757576E-2</v>
      </c>
      <c r="F221">
        <v>-1.8382352941176471E-2</v>
      </c>
      <c r="G221">
        <v>-3.4782608695652174E-2</v>
      </c>
      <c r="H221">
        <v>-6.8100358422939072E-2</v>
      </c>
      <c r="I221">
        <v>-9.5846645367412137E-3</v>
      </c>
      <c r="J221">
        <f t="shared" si="6"/>
        <v>1.5654242644791049E-2</v>
      </c>
      <c r="K221">
        <f t="shared" si="7"/>
        <v>0.80702669390334414</v>
      </c>
    </row>
    <row r="222" spans="1:11" x14ac:dyDescent="0.3">
      <c r="A222" s="1">
        <v>46144</v>
      </c>
      <c r="B222">
        <v>-4.5112781954887216E-2</v>
      </c>
      <c r="C222">
        <v>0</v>
      </c>
      <c r="D222">
        <v>9.9009900990099011E-3</v>
      </c>
      <c r="E222">
        <v>-1.4084507042253521E-2</v>
      </c>
      <c r="F222">
        <v>4.1198501872659173E-2</v>
      </c>
      <c r="G222">
        <v>-1.2012012012012012E-2</v>
      </c>
      <c r="H222">
        <v>-3.8461538461538464E-3</v>
      </c>
      <c r="I222">
        <v>-5.8064516129032261E-2</v>
      </c>
      <c r="J222">
        <f t="shared" si="6"/>
        <v>-8.4662239883828878E-3</v>
      </c>
      <c r="K222">
        <f t="shared" si="7"/>
        <v>-0.44777950206886025</v>
      </c>
    </row>
    <row r="223" spans="1:11" x14ac:dyDescent="0.3">
      <c r="A223" s="2">
        <v>46175</v>
      </c>
      <c r="B223">
        <v>-2.6246719160104987E-2</v>
      </c>
      <c r="C223">
        <v>1.3636363636363636E-2</v>
      </c>
      <c r="D223">
        <v>-6.8627450980392163E-2</v>
      </c>
      <c r="E223">
        <v>-7.3809523809523811E-2</v>
      </c>
      <c r="F223">
        <v>-3.5971223021582732E-2</v>
      </c>
      <c r="G223">
        <v>2.7355623100303952E-2</v>
      </c>
      <c r="H223">
        <v>-3.4749034749034749E-2</v>
      </c>
      <c r="I223">
        <v>-1.0273972602739725E-2</v>
      </c>
      <c r="J223">
        <f t="shared" si="6"/>
        <v>-2.206195289458095E-2</v>
      </c>
      <c r="K223">
        <f t="shared" si="7"/>
        <v>-1.1550628697460159</v>
      </c>
    </row>
    <row r="224" spans="1:11" x14ac:dyDescent="0.3">
      <c r="A224" s="1">
        <v>46267</v>
      </c>
      <c r="B224">
        <v>4.8517520215633422E-2</v>
      </c>
      <c r="C224">
        <v>-4.4843049327354259E-3</v>
      </c>
      <c r="D224">
        <v>6.6666666666666666E-2</v>
      </c>
      <c r="E224">
        <v>2.570694087403599E-2</v>
      </c>
      <c r="F224">
        <v>-7.462686567164179E-3</v>
      </c>
      <c r="G224">
        <v>-8.8757396449704144E-3</v>
      </c>
      <c r="H224">
        <v>0.02</v>
      </c>
      <c r="I224">
        <v>1.384083044982699E-2</v>
      </c>
      <c r="J224">
        <f t="shared" si="6"/>
        <v>2.1899312774873309E-2</v>
      </c>
      <c r="K224">
        <f t="shared" si="7"/>
        <v>1.1319106529363125</v>
      </c>
    </row>
    <row r="225" spans="1:11" x14ac:dyDescent="0.3">
      <c r="A225" s="2">
        <v>46297</v>
      </c>
      <c r="B225">
        <v>0</v>
      </c>
      <c r="C225">
        <v>0</v>
      </c>
      <c r="D225">
        <v>1.6447368421052631E-2</v>
      </c>
      <c r="E225">
        <v>1.7543859649122806E-2</v>
      </c>
      <c r="F225">
        <v>3.007518796992481E-2</v>
      </c>
      <c r="G225">
        <v>1.4925373134328358E-2</v>
      </c>
      <c r="H225">
        <v>1.1764705882352941E-2</v>
      </c>
      <c r="I225">
        <v>-1.0238907849829351E-2</v>
      </c>
      <c r="J225">
        <f t="shared" si="6"/>
        <v>8.3982491365036868E-3</v>
      </c>
      <c r="K225">
        <f t="shared" si="7"/>
        <v>0.42955200609565669</v>
      </c>
    </row>
    <row r="226" spans="1:11" x14ac:dyDescent="0.3">
      <c r="A226" s="1">
        <v>46328</v>
      </c>
      <c r="B226">
        <v>2.570694087403599E-2</v>
      </c>
      <c r="C226">
        <v>4.5045045045045045E-3</v>
      </c>
      <c r="D226">
        <v>2.2653721682847898E-2</v>
      </c>
      <c r="E226">
        <v>0.12315270935960591</v>
      </c>
      <c r="F226">
        <v>-1.4598540145985401E-2</v>
      </c>
      <c r="G226">
        <v>3.8235294117647062E-2</v>
      </c>
      <c r="H226">
        <v>0</v>
      </c>
      <c r="I226">
        <v>3.793103448275862E-2</v>
      </c>
      <c r="J226">
        <f t="shared" si="6"/>
        <v>2.4335066468623053E-2</v>
      </c>
      <c r="K226">
        <f t="shared" si="7"/>
        <v>1.2586245707581081</v>
      </c>
    </row>
    <row r="227" spans="1:11" x14ac:dyDescent="0.3">
      <c r="A227" s="2">
        <v>46358</v>
      </c>
      <c r="B227">
        <v>3.2581453634085211E-2</v>
      </c>
      <c r="C227">
        <v>-4.4843049327354259E-3</v>
      </c>
      <c r="D227">
        <v>9.4936708860759497E-3</v>
      </c>
      <c r="E227">
        <v>-3.5087719298245612E-2</v>
      </c>
      <c r="F227">
        <v>3.7037037037037038E-3</v>
      </c>
      <c r="G227">
        <v>8.4985835694051E-3</v>
      </c>
      <c r="H227">
        <v>-1.1627906976744186E-2</v>
      </c>
      <c r="I227">
        <v>0</v>
      </c>
      <c r="J227">
        <f t="shared" si="6"/>
        <v>5.9812390286456936E-3</v>
      </c>
      <c r="K227">
        <f t="shared" si="7"/>
        <v>0.3038131758652165</v>
      </c>
    </row>
    <row r="228" spans="1:11" x14ac:dyDescent="0.3">
      <c r="A228" s="3" t="s">
        <v>134</v>
      </c>
      <c r="B228">
        <v>-1.6990291262135922E-2</v>
      </c>
      <c r="C228">
        <v>-4.0540540540540543E-2</v>
      </c>
      <c r="D228">
        <v>9.4043887147335428E-3</v>
      </c>
      <c r="E228">
        <v>-2.2727272727272728E-2</v>
      </c>
      <c r="F228">
        <v>-1.8450184501845018E-2</v>
      </c>
      <c r="G228">
        <v>-3.0898876404494381E-2</v>
      </c>
      <c r="H228">
        <v>3.9215686274509803E-3</v>
      </c>
      <c r="I228">
        <v>-5.3156146179401995E-2</v>
      </c>
      <c r="J228">
        <f t="shared" si="6"/>
        <v>-2.2356922189177914E-2</v>
      </c>
      <c r="K228">
        <f t="shared" si="7"/>
        <v>-1.1704079003422634</v>
      </c>
    </row>
    <row r="229" spans="1:11" x14ac:dyDescent="0.3">
      <c r="A229" s="4" t="s">
        <v>135</v>
      </c>
      <c r="B229">
        <v>0</v>
      </c>
      <c r="C229">
        <v>1.4084507042253521E-2</v>
      </c>
      <c r="D229">
        <v>2.1739130434782608E-2</v>
      </c>
      <c r="E229">
        <v>0</v>
      </c>
      <c r="F229">
        <v>7.5187969924812026E-3</v>
      </c>
      <c r="G229">
        <v>1.1594202898550725E-2</v>
      </c>
      <c r="H229">
        <v>0</v>
      </c>
      <c r="I229">
        <v>1.4035087719298246E-2</v>
      </c>
      <c r="J229">
        <f t="shared" si="6"/>
        <v>9.0846585372008574E-3</v>
      </c>
      <c r="K229">
        <f t="shared" si="7"/>
        <v>0.46526071696212801</v>
      </c>
    </row>
    <row r="230" spans="1:11" x14ac:dyDescent="0.3">
      <c r="A230" s="3" t="s">
        <v>136</v>
      </c>
      <c r="B230">
        <v>4.4444444444444446E-2</v>
      </c>
      <c r="C230">
        <v>9.2592592592592587E-3</v>
      </c>
      <c r="D230">
        <v>7.29483282674772E-2</v>
      </c>
      <c r="E230">
        <v>-2.3255813953488372E-2</v>
      </c>
      <c r="F230">
        <v>-1.4925373134328358E-2</v>
      </c>
      <c r="G230">
        <v>-2.8653295128939827E-3</v>
      </c>
      <c r="H230">
        <v>-3.125E-2</v>
      </c>
      <c r="I230">
        <v>-1.0380622837370242E-2</v>
      </c>
      <c r="J230">
        <f t="shared" si="6"/>
        <v>2.0057883411418551E-2</v>
      </c>
      <c r="K230">
        <f t="shared" si="7"/>
        <v>1.0361149533817167</v>
      </c>
    </row>
    <row r="231" spans="1:11" x14ac:dyDescent="0.3">
      <c r="A231" s="4" t="s">
        <v>137</v>
      </c>
      <c r="B231">
        <v>-2.3640661938534278E-3</v>
      </c>
      <c r="C231">
        <v>4.5871559633027525E-3</v>
      </c>
      <c r="D231">
        <v>1.69971671388102E-2</v>
      </c>
      <c r="E231">
        <v>-3.8095238095238099E-2</v>
      </c>
      <c r="F231">
        <v>-7.575757575757576E-3</v>
      </c>
      <c r="G231">
        <v>0</v>
      </c>
      <c r="H231">
        <v>-4.0322580645161289E-2</v>
      </c>
      <c r="I231">
        <v>9.0909090909090912E-2</v>
      </c>
      <c r="J231">
        <f t="shared" si="6"/>
        <v>-7.293225266972801E-4</v>
      </c>
      <c r="K231">
        <f t="shared" si="7"/>
        <v>-4.5286795796037206E-2</v>
      </c>
    </row>
    <row r="232" spans="1:11" x14ac:dyDescent="0.3">
      <c r="A232" s="3" t="s">
        <v>138</v>
      </c>
      <c r="B232">
        <v>4.0284360189573459E-2</v>
      </c>
      <c r="C232">
        <v>3.6529680365296802E-2</v>
      </c>
      <c r="D232">
        <v>4.1782729805013928E-2</v>
      </c>
      <c r="E232">
        <v>5.9405940594059403E-2</v>
      </c>
      <c r="F232">
        <v>1.1450381679389313E-2</v>
      </c>
      <c r="G232">
        <v>2.0114942528735632E-2</v>
      </c>
      <c r="H232">
        <v>1.680672268907563E-2</v>
      </c>
      <c r="I232">
        <v>5.128205128205128E-2</v>
      </c>
      <c r="J232">
        <f t="shared" si="6"/>
        <v>3.6483305236341808E-2</v>
      </c>
      <c r="K232">
        <f t="shared" si="7"/>
        <v>1.89060592948182</v>
      </c>
    </row>
    <row r="233" spans="1:11" x14ac:dyDescent="0.3">
      <c r="A233" s="4" t="s">
        <v>139</v>
      </c>
      <c r="B233">
        <v>-2.2779043280182231E-3</v>
      </c>
      <c r="C233">
        <v>-8.8105726872246704E-3</v>
      </c>
      <c r="D233">
        <v>1.3368983957219251E-2</v>
      </c>
      <c r="E233">
        <v>-5.1401869158878503E-2</v>
      </c>
      <c r="F233">
        <v>-1.1320754716981131E-2</v>
      </c>
      <c r="G233">
        <v>8.4507042253521118E-3</v>
      </c>
      <c r="H233">
        <v>0</v>
      </c>
      <c r="I233">
        <v>-3.3536585365853661E-2</v>
      </c>
      <c r="J233">
        <f t="shared" si="6"/>
        <v>-7.4784904148994065E-3</v>
      </c>
      <c r="K233">
        <f t="shared" si="7"/>
        <v>-0.39639516416089376</v>
      </c>
    </row>
    <row r="234" spans="1:11" x14ac:dyDescent="0.3">
      <c r="A234" s="3" t="s">
        <v>140</v>
      </c>
      <c r="B234">
        <v>1.8264840182648401E-2</v>
      </c>
      <c r="C234">
        <v>1.7777777777777778E-2</v>
      </c>
      <c r="D234">
        <v>7.9155672823219003E-3</v>
      </c>
      <c r="E234">
        <v>-4.9261083743842365E-3</v>
      </c>
      <c r="F234">
        <v>1.5267175572519083E-2</v>
      </c>
      <c r="G234">
        <v>5.5865921787709499E-3</v>
      </c>
      <c r="H234">
        <v>-4.1322314049586778E-3</v>
      </c>
      <c r="I234">
        <v>5.993690851735016E-2</v>
      </c>
      <c r="J234">
        <f t="shared" si="6"/>
        <v>1.3545099306694902E-2</v>
      </c>
      <c r="K234">
        <f t="shared" si="7"/>
        <v>0.69730385275413498</v>
      </c>
    </row>
    <row r="235" spans="1:11" x14ac:dyDescent="0.3">
      <c r="A235" s="4" t="s">
        <v>141</v>
      </c>
      <c r="B235">
        <v>-2.914798206278027E-2</v>
      </c>
      <c r="C235">
        <v>4.3668122270742356E-3</v>
      </c>
      <c r="D235">
        <v>-4.712041884816754E-2</v>
      </c>
      <c r="E235">
        <v>-3.4653465346534656E-2</v>
      </c>
      <c r="F235">
        <v>1.1278195488721804E-2</v>
      </c>
      <c r="G235">
        <v>1.3888888888888888E-2</v>
      </c>
      <c r="H235">
        <v>-2.4896265560165973E-2</v>
      </c>
      <c r="I235">
        <v>-5.3571428571428568E-2</v>
      </c>
      <c r="J235">
        <f t="shared" si="6"/>
        <v>-1.4720283408884144E-2</v>
      </c>
      <c r="K235">
        <f t="shared" si="7"/>
        <v>-0.77313110617216219</v>
      </c>
    </row>
    <row r="236" spans="1:11" x14ac:dyDescent="0.3">
      <c r="A236" s="3" t="s">
        <v>142</v>
      </c>
      <c r="B236">
        <v>4.6189376443418013E-3</v>
      </c>
      <c r="C236">
        <v>3.9130434782608699E-2</v>
      </c>
      <c r="D236">
        <v>3.021978021978022E-2</v>
      </c>
      <c r="E236">
        <v>2.0512820512820513E-2</v>
      </c>
      <c r="F236">
        <v>-7.4349442379182153E-3</v>
      </c>
      <c r="G236">
        <v>-3.0136986301369864E-2</v>
      </c>
      <c r="H236">
        <v>1.276595744680851E-2</v>
      </c>
      <c r="I236">
        <v>-3.1446540880503146E-3</v>
      </c>
      <c r="J236">
        <f t="shared" si="6"/>
        <v>1.6508664833751546E-2</v>
      </c>
      <c r="K236">
        <f t="shared" si="7"/>
        <v>0.8514758446179167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Saham</vt:lpstr>
      <vt:lpstr>Return</vt:lpstr>
      <vt:lpstr>Korelasi</vt:lpstr>
      <vt:lpstr>Return Estimasi</vt:lpstr>
      <vt:lpstr>Residual</vt:lpstr>
      <vt:lpstr>Uji Asumsi</vt:lpstr>
      <vt:lpstr>Bi rate</vt:lpstr>
      <vt:lpstr>Perhitungan</vt:lpstr>
      <vt:lpstr>Indeks Sharpe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Fajrul Falla Kamal Musthofa</dc:creator>
  <cp:lastModifiedBy>Fajrul Falla Kamal Musthofa</cp:lastModifiedBy>
  <dcterms:created xsi:type="dcterms:W3CDTF">2026-03-16T04:39:06Z</dcterms:created>
  <dcterms:modified xsi:type="dcterms:W3CDTF">2026-03-30T12:27:59Z</dcterms:modified>
</cp:coreProperties>
</file>